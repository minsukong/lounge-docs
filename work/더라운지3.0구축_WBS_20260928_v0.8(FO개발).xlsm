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trionez-my.sharepoint.com/personal/ksk_trionez_com/Documents/04.Project/03.이브릿지/[PJT] 더라운지 3.0 구축 구글드라이브/11. 산출물/"/>
    </mc:Choice>
  </mc:AlternateContent>
  <xr:revisionPtr revIDLastSave="137" documentId="13_ncr:1_{17677617-8B16-4BB7-854A-2BCDEEAA9CE9}" xr6:coauthVersionLast="47" xr6:coauthVersionMax="47" xr10:uidLastSave="{4C1EAC48-208F-40FE-9DE7-12060B209ACD}"/>
  <bookViews>
    <workbookView xWindow="43080" yWindow="-120" windowWidth="38640" windowHeight="21120" tabRatio="636" activeTab="1" xr2:uid="{00000000-000D-0000-FFFF-FFFF00000000}"/>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9"/>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Schedule!$D$1:$CR$306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calcMode="auto" fullCalcOnLoad="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<sst xmlns="http://schemas.openxmlformats.org/spreadsheetml/2006/main" count="3987" uniqueCount="2232">
  <si>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</si>
  <si>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</si>
  <si>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</si>
  <si>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</si>
  <si>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</si>
  <si>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</si>
  <si>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</si>
  <si>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</si>
  <si>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</si>
  <si>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</si>
  <si>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</si>
  <si>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</si>
  <si>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</si>
  <si>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</si>
  <si>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</si>
  <si>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</si>
  <si>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</si>
  <si>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</si>
  <si>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</si>
  <si>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</si>
  <si>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</si>
  <si>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</si>
  <si>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</si>
  <si>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</si>
  <si>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</si>
  <si>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</si>
  <si>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</si>
  <si>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</si>
  <si>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</si>
  <si>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</si>
  <si>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</si>
  <si>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</si>
  <si>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</si>
  <si>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</si>
  <si>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</si>
  <si>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</si>
  <si>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</si>
  <si>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</si>
  <si>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</si>
  <si>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</si>
  <si>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</si>
  <si>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</si>
  <si>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</si>
  <si>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</si>
  <si>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</si>
  <si>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</si>
  <si>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</si>
  <si>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</si>
  <si>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</si>
  <si>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</si>
  <si>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</si>
  <si>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</si>
  <si>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</si>
  <si>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</si>
  <si>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</si>
  <si>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</si>
  <si>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</si>
  <si>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</si>
  <si>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</si>
  <si>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</si>
  <si>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</si>
  <si>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</si>
  <si>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</si>
  <si>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</si>
  <si>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</si>
  <si>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</si>
  <si>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</si>
  <si>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</si>
  <si>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</si>
  <si>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</si>
  <si>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</si>
  <si>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</si>
  <si>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</si>
  <si>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</si>
  <si>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</si>
  <si>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</si>
  <si>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</si>
  <si>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</si>
  <si>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</si>
  <si>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</si>
  <si>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</si>
  <si>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</si>
  <si>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</si>
  <si>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</si>
  <si>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</si>
  <si>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</si>
  <si>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</si>
  <si>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</si>
  <si>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</si>
  <si>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</si>
  <si>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</si>
  <si>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</si>
  <si>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</si>
  <si>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</si>
  <si>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</si>
  <si>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</si>
  <si>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</si>
  <si>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</si>
  <si>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</si>
  <si>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</si>
  <si>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</si>
  <si>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</si>
  <si>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</si>
  <si>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</si>
  <si>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</si>
  <si>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</si>
  <si>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</si>
  <si>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</si>
  <si>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</si>
  <si>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</si>
  <si>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</si>
  <si>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</si>
  <si>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</si>
  <si>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</si>
  <si>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</si>
  <si>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</si>
  <si>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</si>
  <si>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</si>
  <si>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</si>
  <si>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</si>
  <si>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</si>
  <si>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</si>
  <si>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</si>
  <si>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</si>
  <si>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</si>
  <si>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</si>
  <si>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</si>
  <si>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</si>
  <si>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</si>
  <si>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</si>
  <si>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</si>
  <si>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</si>
  <si>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</si>
  <si>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</si>
  <si>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</si>
  <si>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</si>
  <si>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</si>
  <si>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</si>
  <si>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</si>
  <si>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</si>
  <si>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</si>
  <si>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</si>
  <si>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</si>
  <si>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</si>
  <si>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</si>
  <si>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</si>
  <si>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</si>
  <si>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</si>
  <si>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</si>
  <si>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</si>
  <si>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</si>
  <si>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</si>
  <si>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</si>
  <si>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</si>
  <si>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</si>
  <si>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</si>
  <si>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</si>
  <si>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</si>
  <si>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</si>
  <si>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</si>
  <si>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</si>
  <si>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</si>
  <si>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</si>
  <si>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</si>
  <si>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</si>
  <si>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</si>
  <si>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</si>
  <si>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</si>
  <si>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</si>
  <si>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</si>
  <si>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</si>
  <si>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</si>
  <si>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</si>
  <si>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</si>
  <si>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</si>
  <si>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</si>
  <si>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</si>
  <si>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</si>
  <si>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</si>
  <si>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</si>
  <si>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</si>
  <si>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</si>
  <si>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</si>
  <si>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</si>
  <si>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</si>
  <si>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</si>
  <si>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</si>
  <si>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</si>
  <si>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</si>
  <si>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</si>
  <si>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</si>
  <si>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</si>
  <si>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</si>
  <si>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</si>
  <si>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</si>
  <si>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</si>
  <si>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</si>
  <si>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</si>
  <si>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</si>
  <si>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</si>
  <si>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</si>
  <si>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</si>
  <si>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</si>
  <si>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</si>
  <si>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</si>
  <si>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</si>
  <si>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</si>
  <si>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</si>
  <si>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</si>
  <si>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</si>
  <si>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</si>
  <si>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</si>
  <si>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</si>
  <si>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</si>
  <si>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</si>
  <si>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</si>
  <si>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</si>
  <si>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</si>
  <si>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</si>
  <si>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</si>
  <si>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</si>
  <si>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</si>
  <si>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</si>
  <si>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</si>
  <si>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</si>
  <si>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</si>
  <si>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</si>
  <si>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</si>
  <si>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</si>
  <si>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</si>
  <si>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</si>
  <si>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</si>
  <si>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</si>
  <si>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</si>
  <si>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</si>
  <si>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</si>
  <si>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</si>
  <si>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</si>
  <si>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</si>
  <si>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</si>
  <si>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</si>
  <si>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</si>
  <si>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</si>
  <si>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</si>
  <si>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</si>
  <si>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</si>
  <si>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</si>
  <si>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</si>
  <si>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</si>
  <si>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</si>
  <si>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</si>
  <si>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</si>
  <si>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</si>
  <si>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</si>
  <si>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</si>
  <si>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</si>
  <si>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</si>
  <si>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</si>
  <si>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</si>
  <si>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</si>
  <si>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</si>
  <si>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</si>
  <si>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</si>
  <si>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</si>
  <si>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</si>
  <si>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</si>
  <si>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</si>
  <si>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</si>
  <si>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</si>
  <si>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</si>
  <si>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</si>
  <si>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</si>
  <si>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</si>
  <si>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</si>
  <si>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</si>
  <si>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</si>
  <si>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</si>
  <si>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</si>
  <si>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</si>
  <si>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</si>
  <si>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</si>
  <si>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</si>
  <si>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</si>
  <si>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</si>
  <si>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</si>
  <si>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</si>
  <si>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</si>
  <si>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</si>
  <si>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</si>
  <si>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</si>
  <si>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</si>
  <si>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</si>
  <si>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</si>
  <si>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</si>
  <si>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</si>
  <si>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</si>
  <si>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</si>
  <si>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</si>
  <si>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</si>
  <si>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</si>
  <si>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</si>
  <si>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</si>
  <si>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</si>
  <si>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</si>
  <si>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</si>
  <si>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</si>
  <si>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</si>
  <si>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</si>
  <si>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</si>
  <si>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</si>
  <si>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</si>
  <si>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</si>
  <si>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</si>
  <si>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</si>
  <si>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</si>
  <si>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</si>
  <si>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</si>
  <si>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</si>
  <si>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</si>
  <si>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</si>
  <si>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</si>
  <si>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</si>
  <si>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</si>
  <si>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</si>
  <si>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</si>
  <si>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</si>
  <si>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</si>
  <si>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</si>
  <si>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</si>
  <si>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</si>
  <si>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</si>
  <si>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</si>
  <si>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</si>
  <si>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</si>
  <si>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</si>
  <si>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</si>
  <si>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</si>
  <si>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</si>
  <si>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</si>
  <si>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</si>
  <si>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</si>
  <si>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</si>
  <si>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</si>
  <si>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</si>
  <si>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</si>
  <si>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</si>
  <si>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</si>
  <si>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</si>
  <si>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</si>
  <si>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</si>
  <si>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</si>
  <si>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</si>
  <si>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</si>
  <si>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</si>
  <si>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</si>
  <si>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</si>
  <si>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</si>
  <si>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</si>
  <si>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</si>
  <si>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</si>
  <si>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</si>
  <si>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</si>
  <si>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</si>
  <si>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</si>
  <si>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</si>
  <si>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</si>
  <si>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</si>
  <si>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</si>
  <si>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</si>
  <si>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</si>
  <si>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</si>
  <si>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</si>
  <si>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</si>
  <si>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</si>
  <si>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</si>
  <si>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</si>
  <si>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</si>
  <si>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</si>
  <si>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</si>
  <si>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</si>
  <si>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</si>
  <si>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</si>
  <si>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</si>
  <si>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</si>
  <si>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</si>
  <si>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</si>
  <si>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</si>
  <si>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</si>
  <si>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</si>
  <si>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</si>
  <si>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</si>
  <si>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</si>
  <si>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</si>
  <si>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</si>
  <si>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</si>
  <si>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</si>
  <si>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</si>
  <si>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</si>
  <si>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</si>
  <si>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</si>
  <si>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</si>
  <si>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</si>
  <si>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</si>
  <si>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</si>
  <si>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</si>
  <si>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</si>
  <si>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</si>
  <si>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</si>
  <si>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</si>
  <si>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</si>
  <si>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</si>
  <si>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</si>
  <si>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</si>
  <si>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</si>
  <si>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</si>
  <si>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</si>
  <si>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</si>
  <si>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</si>
  <si>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</si>
  <si>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</si>
  <si>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</si>
  <si>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</si>
  <si>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</si>
  <si>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</si>
  <si>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</si>
  <si>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</si>
  <si>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</si>
  <si>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</si>
  <si>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</si>
  <si>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</si>
  <si>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</si>
  <si>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</si>
  <si>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</si>
  <si>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</si>
  <si>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</si>
  <si>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</si>
  <si>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</si>
  <si>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</si>
  <si>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</si>
  <si>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</si>
  <si>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</si>
  <si>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</si>
  <si>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</si>
  <si>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</si>
  <si>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</si>
  <si>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</si>
  <si>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</si>
  <si>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</si>
  <si>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</si>
  <si>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</si>
  <si>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</si>
  <si>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</si>
  <si>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</si>
  <si>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</si>
  <si>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</si>
  <si>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</si>
  <si>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</si>
  <si>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</si>
  <si>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</si>
  <si>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</si>
  <si>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</si>
  <si>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</si>
  <si>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</si>
  <si>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</si>
  <si>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</si>
  <si>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</si>
  <si>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</si>
  <si>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</si>
  <si>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</si>
  <si>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</si>
  <si>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</si>
  <si>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</si>
  <si>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</si>
  <si>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</si>
  <si>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</si>
  <si>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</si>
  <si>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</si>
  <si>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</si>
  <si>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</si>
  <si>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</si>
  <si>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</si>
  <si>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</si>
  <si>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</si>
  <si>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</si>
  <si>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</si>
  <si>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</si>
  <si>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</si>
  <si>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</si>
  <si>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</si>
  <si>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</si>
  <si>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</si>
  <si>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</si>
  <si>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</si>
  <si>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</si>
  <si>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</si>
  <si>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</si>
  <si>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</si>
  <si>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</si>
  <si>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</si>
  <si>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</si>
  <si>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</si>
  <si>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</si>
  <si>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</si>
  <si>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</si>
  <si>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</si>
  <si>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</si>
  <si>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</si>
  <si>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</si>
  <si>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</si>
  <si>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</si>
  <si>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</si>
  <si>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</si>
  <si>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</si>
  <si>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</si>
  <si>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</si>
  <si>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</si>
  <si>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</si>
  <si>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</si>
  <si>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</si>
  <si>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</si>
  <si>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</si>
  <si>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</si>
  <si>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</si>
  <si>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</si>
  <si>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</si>
  <si>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</si>
  <si>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</si>
  <si>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</si>
  <si>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</si>
  <si>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</si>
  <si>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</si>
  <si>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</si>
  <si>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</si>
  <si>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</si>
  <si>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</si>
  <si>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</si>
  <si>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</si>
  <si>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</si>
  <si>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</si>
  <si>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</si>
  <si>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</si>
  <si>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</si>
  <si>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</si>
  <si>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</si>
  <si>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</si>
  <si>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</si>
  <si>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</si>
  <si>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</si>
  <si>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</si>
  <si>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</si>
  <si>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</si>
  <si>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</si>
  <si>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</si>
  <si>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</si>
  <si>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</si>
  <si>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</si>
  <si>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</si>
  <si>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</si>
  <si>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</si>
  <si>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</si>
  <si>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</si>
  <si>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</si>
  <si>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</si>
  <si>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</si>
  <si>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</si>
  <si>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</si>
  <si>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</si>
  <si>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</si>
  <si>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</si>
  <si>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</si>
  <si>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</si>
  <si>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</si>
  <si>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</si>
  <si>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</si>
  <si>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</si>
  <si>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</si>
  <si>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</si>
  <si>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</si>
  <si>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</si>
  <si>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</si>
  <si>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</si>
  <si>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</si>
  <si>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</si>
  <si>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</si>
  <si>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</si>
  <si>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</si>
  <si>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</si>
  <si>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</si>
  <si>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</si>
  <si>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</si>
  <si>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</si>
  <si>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</si>
  <si>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</si>
  <si>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</si>
  <si>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</si>
  <si>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</si>
  <si>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</si>
  <si>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</si>
  <si>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</si>
  <si>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</si>
  <si>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</si>
  <si>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</si>
  <si>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</si>
  <si>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</si>
  <si>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</si>
  <si>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</si>
  <si>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</si>
  <si>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</si>
  <si>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</si>
  <si>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</si>
  <si>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</si>
  <si>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</si>
  <si>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</si>
  <si>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</si>
  <si>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</si>
  <si>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</si>
  <si>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</si>
  <si>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</si>
  <si>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</si>
  <si>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</si>
  <si>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</si>
  <si>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</si>
  <si>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</si>
  <si>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</si>
  <si>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</si>
  <si>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</si>
  <si>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</si>
  <si>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</si>
  <si>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</si>
  <si>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</si>
  <si>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</si>
  <si>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</si>
  <si>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</si>
  <si>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</si>
  <si>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</si>
  <si>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</si>
  <si>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</si>
  <si>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</si>
  <si>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</si>
  <si>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</si>
  <si>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</si>
  <si>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</si>
  <si>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</si>
  <si>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</si>
  <si>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</si>
  <si>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</si>
  <si>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</si>
  <si>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</si>
  <si>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</si>
  <si>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</si>
  <si>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</si>
  <si>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</si>
  <si>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</si>
  <si>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</si>
  <si>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</si>
  <si>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</si>
  <si>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</si>
  <si>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</si>
  <si>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</si>
  <si>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</si>
  <si>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</si>
  <si>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</si>
  <si>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</si>
  <si>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</si>
  <si>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</si>
  <si>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</si>
  <si>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</si>
  <si>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</si>
  <si>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</si>
  <si>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</si>
  <si>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</si>
  <si>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</si>
  <si>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</si>
  <si>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</si>
  <si>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</si>
  <si>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</si>
  <si>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</si>
  <si>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</si>
  <si>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</si>
  <si>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</si>
  <si>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</si>
  <si>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</si>
  <si>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</si>
  <si>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</si>
  <si>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</si>
  <si>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</si>
  <si>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</si>
  <si>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</si>
  <si>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</si>
  <si>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</si>
  <si>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</si>
  <si>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</si>
  <si>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</si>
  <si>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</si>
  <si>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</si>
  <si>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</si>
  <si>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</si>
  <si>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</si>
  <si>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</si>
  <si>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</si>
  <si>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</si>
  <si>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</si>
  <si>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</si>
  <si>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</si>
  <si>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</si>
  <si>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</si>
  <si>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</si>
  <si>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</si>
  <si>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</si>
  <si>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</si>
  <si>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</si>
  <si>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</si>
  <si>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</si>
  <si>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</si>
  <si>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</si>
  <si>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</si>
  <si>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</si>
  <si>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</si>
  <si>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</si>
  <si>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</si>
  <si>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</si>
  <si>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</si>
  <si>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</si>
  <si>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</si>
  <si>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</si>
  <si>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</si>
  <si>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</si>
  <si>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</si>
  <si>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</si>
  <si>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</si>
  <si>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</si>
  <si>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</si>
  <si>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</si>
  <si>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</si>
  <si>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</si>
  <si>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</si>
  <si>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</si>
  <si>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</si>
  <si>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</si>
  <si>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</si>
  <si>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</si>
  <si>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</si>
  <si>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</si>
  <si>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</si>
  <si>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</si>
  <si>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</si>
  <si>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</si>
  <si>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</si>
  <si>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</si>
  <si>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</si>
  <si>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</si>
  <si>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</si>
  <si>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</si>
  <si>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</si>
  <si>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</si>
  <si>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</si>
  <si>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</si>
  <si>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</si>
  <si>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</si>
  <si>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</si>
  <si>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</si>
  <si>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</si>
  <si>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</si>
  <si>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</si>
  <si>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</si>
  <si>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</si>
  <si>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</si>
  <si>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</si>
  <si>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</si>
  <si>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</si>
  <si>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</si>
  <si>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</si>
  <si>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</si>
  <si>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</si>
  <si>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</si>
  <si>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</si>
  <si>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</si>
  <si>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</si>
  <si>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</si>
  <si>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</si>
  <si>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</si>
  <si>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</si>
  <si>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</si>
  <si>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</si>
  <si>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</si>
  <si>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</si>
  <si>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</si>
  <si>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</si>
  <si>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</si>
  <si>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</si>
  <si>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</si>
  <si>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</si>
  <si>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</si>
  <si>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</si>
  <si>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</si>
  <si>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</si>
  <si>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</si>
  <si>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</si>
  <si>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</si>
  <si>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</si>
  <si>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</si>
  <si>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</si>
  <si>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</si>
  <si>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</si>
  <si>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</si>
  <si>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</si>
  <si>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</si>
  <si>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</si>
  <si>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</si>
  <si>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</si>
  <si>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</si>
  <si>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</si>
  <si>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</si>
  <si>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</si>
  <si>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</si>
  <si>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</si>
  <si>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</si>
  <si>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</si>
  <si>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</si>
  <si>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</si>
  <si>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</si>
  <si>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</si>
  <si>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</si>
  <si>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</si>
  <si>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</si>
  <si>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</si>
  <si>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</si>
  <si>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</si>
  <si>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</si>
  <si>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</si>
  <si>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</si>
  <si>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</si>
  <si>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</si>
  <si>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</si>
  <si>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</si>
  <si>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</si>
  <si>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</si>
  <si>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</si>
  <si>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</si>
  <si>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</si>
  <si>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</si>
  <si>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</si>
  <si>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</si>
  <si>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</si>
  <si>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</si>
  <si>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</si>
  <si>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</si>
  <si>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</si>
  <si>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</si>
  <si>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</si>
  <si>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</si>
  <si>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</si>
  <si>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</si>
  <si>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</si>
  <si>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</si>
  <si>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</si>
  <si>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</si>
  <si>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</si>
  <si>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</si>
  <si>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</si>
  <si>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</si>
  <si>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</si>
  <si>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</si>
  <si>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</si>
  <si>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</si>
  <si>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</si>
  <si>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</si>
  <si>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</si>
  <si>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</si>
  <si>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</si>
  <si>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</si>
  <si>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</si>
  <si>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</si>
  <si>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</si>
  <si>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</si>
  <si>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</si>
  <si>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</si>
  <si>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</si>
  <si>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</si>
  <si>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</si>
  <si>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</si>
  <si>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</si>
  <si>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</si>
  <si>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</si>
  <si>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</si>
  <si>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</si>
  <si>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</si>
  <si>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</si>
  <si>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</si>
  <si>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</si>
  <si>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</si>
  <si>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</si>
  <si>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</si>
  <si>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</si>
  <si>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</si>
  <si>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</si>
  <si>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</si>
  <si>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</si>
  <si>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</si>
  <si>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</si>
  <si>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</si>
  <si>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</si>
  <si>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</si>
  <si>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</si>
  <si>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</si>
  <si>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</si>
  <si>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</si>
  <si>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</si>
  <si>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</si>
  <si>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</si>
  <si>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</si>
  <si>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</si>
  <si>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</si>
  <si>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</si>
  <si>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</si>
  <si>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</si>
  <si>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</si>
  <si>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</si>
  <si>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</si>
  <si>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</si>
  <si>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</si>
  <si>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</si>
  <si>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</si>
  <si>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</si>
  <si>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</si>
  <si>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</si>
  <si>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</si>
  <si>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</si>
  <si>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</si>
  <si>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</si>
  <si>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</si>
  <si>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</si>
  <si>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</si>
  <si>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</si>
  <si>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</si>
  <si>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</si>
  <si>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</si>
  <si>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</si>
  <si>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</si>
  <si>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</si>
  <si>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</si>
  <si>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</si>
  <si>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</si>
  <si>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</si>
  <si>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</si>
  <si>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</si>
  <si>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</si>
  <si>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</si>
  <si>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</si>
  <si>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</si>
  <si>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</si>
  <si>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</si>
  <si>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</si>
  <si>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</si>
  <si>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</si>
  <si>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</si>
  <si>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</si>
  <si>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</si>
  <si>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</si>
  <si>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</si>
  <si>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</si>
  <si>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</si>
  <si>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</si>
  <si>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</si>
  <si>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</si>
  <si>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</si>
  <si>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</si>
  <si>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</si>
  <si>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</si>
  <si>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</si>
  <si>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</si>
  <si>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</si>
  <si>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</si>
  <si>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</si>
  <si>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</si>
  <si>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</si>
  <si>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</si>
  <si>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</si>
  <si>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</si>
  <si>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</si>
  <si>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</si>
  <si>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</si>
  <si>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</si>
  <si>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</si>
  <si>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</si>
  <si>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</si>
  <si>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</si>
  <si>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</si>
  <si>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</si>
  <si>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</si>
  <si>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</si>
  <si>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</si>
  <si>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</si>
  <si>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</si>
  <si>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</si>
  <si>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</si>
  <si>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</si>
  <si>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</si>
  <si>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</si>
  <si>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</si>
  <si>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</si>
  <si>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</si>
  <si>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</si>
  <si>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</si>
  <si>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</si>
  <si>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</si>
  <si>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</si>
  <si>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</si>
  <si>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</si>
  <si>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</si>
  <si>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</si>
  <si>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</si>
  <si>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</si>
  <si>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</si>
  <si>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</si>
  <si>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</si>
  <si>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</si>
  <si>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</si>
  <si>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</si>
  <si>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</si>
  <si>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</si>
  <si>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</si>
  <si>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</si>
  <si>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</si>
  <si>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</si>
  <si>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</si>
  <si>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</si>
  <si>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</si>
  <si>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</si>
  <si>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</si>
  <si>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</si>
  <si>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</si>
  <si>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</si>
  <si>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</si>
  <si>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</si>
  <si>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</si>
  <si>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</si>
  <si>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</si>
  <si>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</si>
  <si>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</si>
  <si>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</si>
  <si>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</si>
  <si>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</si>
  <si>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</si>
  <si>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</si>
  <si>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</si>
  <si>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</si>
  <si>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</si>
  <si>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</si>
  <si>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</si>
  <si>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</si>
  <si>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</si>
  <si>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</si>
  <si>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</si>
  <si>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</si>
  <si>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</si>
  <si>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</si>
  <si>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</si>
  <si>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</si>
  <si>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</si>
  <si>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</si>
  <si>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</si>
  <si>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</si>
  <si>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</si>
  <si>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</si>
  <si>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</si>
  <si>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</si>
  <si>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</si>
  <si>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</si>
  <si>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</si>
  <si>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</si>
  <si>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</si>
  <si>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</si>
  <si>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</si>
  <si>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</si>
  <si>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</si>
  <si>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</si>
  <si>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</si>
  <si>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</si>
  <si>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</si>
  <si>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</si>
  <si>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</si>
  <si>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</si>
  <si>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</si>
  <si>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</si>
  <si>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</si>
  <si>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</si>
  <si>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</si>
  <si>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</si>
  <si>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</si>
  <si>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</si>
  <si>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</si>
  <si>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</si>
  <si>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</si>
  <si>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</si>
  <si>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</si>
  <si>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</si>
  <si>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</si>
  <si>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</si>
  <si>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</si>
  <si>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</si>
  <si>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</si>
  <si>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</si>
  <si>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</si>
  <si>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</si>
  <si>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</si>
  <si>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</si>
  <si>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</si>
  <si>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</si>
  <si>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</si>
  <si>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</si>
  <si>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</si>
  <si>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</si>
  <si>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</si>
  <si>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</si>
  <si>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</si>
  <si>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</si>
  <si>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</si>
  <si>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</si>
  <si>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</si>
  <si>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</si>
  <si>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</si>
  <si>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</si>
  <si>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</si>
  <si>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</si>
  <si>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</si>
  <si>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</si>
  <si>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</si>
  <si>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</si>
  <si>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</si>
  <si>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</si>
  <si>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</si>
  <si>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</si>
  <si>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</si>
  <si>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</si>
  <si>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</si>
  <si>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</si>
  <si>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</si>
  <si>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</si>
  <si>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</si>
  <si>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</si>
  <si>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</si>
  <si>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</si>
  <si>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</si>
  <si>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</si>
  <si>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</si>
  <si>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</si>
  <si>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</si>
  <si>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</si>
  <si>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</si>
  <si>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</si>
  <si>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</si>
  <si>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</si>
  <si>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</si>
  <si>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</si>
  <si>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</si>
  <si>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</si>
  <si>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</si>
  <si>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</si>
  <si>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</si>
  <si>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</si>
  <si>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</si>
  <si>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</si>
  <si>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</si>
  <si>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</si>
  <si>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</si>
  <si>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</si>
  <si>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</si>
  <si>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</si>
  <si>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</si>
  <si>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</si>
  <si>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</si>
  <si>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</si>
  <si>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</si>
  <si>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</si>
  <si>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</si>
  <si>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</si>
  <si>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</si>
  <si>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</si>
  <si>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</si>
  <si>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</si>
  <si>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</si>
  <si>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</si>
  <si>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</si>
  <si>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</si>
  <si>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</si>
  <si>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</si>
  <si>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</si>
  <si>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</si>
  <si>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</si>
  <si>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</si>
  <si>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</si>
  <si>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</si>
  <si>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</si>
  <si>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</si>
  <si>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</si>
  <si>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</si>
  <si>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</si>
  <si>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</si>
  <si>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</si>
  <si>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</si>
  <si>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</si>
  <si>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</si>
  <si>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</si>
  <si>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</si>
  <si>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</si>
  <si>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</si>
  <si>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</si>
  <si>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</si>
  <si>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</si>
  <si>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</si>
  <si>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</si>
  <si>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</si>
  <si>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</si>
  <si>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</si>
  <si>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</si>
  <si>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</si>
  <si>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</si>
  <si>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</si>
  <si>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</si>
  <si>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</si>
  <si>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</si>
  <si>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</si>
  <si>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</si>
  <si>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</si>
  <si>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</si>
  <si>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</si>
  <si>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</si>
  <si>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</si>
  <si>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</si>
  <si>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</si>
  <si>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</si>
  <si>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</si>
  <si>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</si>
  <si>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</si>
  <si>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</si>
  <si>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</si>
  <si>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</si>
  <si>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</si>
  <si>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</si>
  <si>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</si>
  <si>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</si>
  <si>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</si>
  <si>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</si>
  <si>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</si>
  <si>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</si>
  <si>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</si>
  <si>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</si>
  <si>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</si>
  <si>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</si>
  <si>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</si>
  <si>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</si>
  <si>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</si>
  <si>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</si>
  <si>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</si>
  <si>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</si>
  <si>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</si>
  <si>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</si>
  <si>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</si>
  <si>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</si>
  <si>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</si>
  <si>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</si>
  <si>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</si>
  <si>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</si>
  <si>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</si>
  <si>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</si>
  <si>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</si>
  <si>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</si>
  <si>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</si>
  <si>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</si>
  <si>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</si>
  <si>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</si>
  <si>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</si>
  <si>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</si>
  <si>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</si>
  <si>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</si>
  <si>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</si>
  <si>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</si>
  <si>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</si>
  <si>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</si>
  <si>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</si>
  <si>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</si>
  <si>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</si>
  <si>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</si>
  <si>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</si>
  <si>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</si>
  <si>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</si>
  <si>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</si>
  <si>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</si>
  <si>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</si>
  <si>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</si>
  <si>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</si>
  <si>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</si>
  <si>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</si>
  <si>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</si>
  <si>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</si>
  <si>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</si>
  <si>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</si>
  <si>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</si>
  <si>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</si>
  <si>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</si>
  <si>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</si>
  <si>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</si>
  <si>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</si>
  <si>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</si>
  <si>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</si>
  <si>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</si>
  <si>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</si>
  <si>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</si>
  <si>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</si>
  <si>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</si>
  <si>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</si>
  <si>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</si>
  <si>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</si>
  <si>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</si>
  <si>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</si>
  <si>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</si>
  <si>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</si>
  <si>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</si>
  <si>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</si>
  <si>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</si>
  <si>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</si>
  <si>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</si>
  <si>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</si>
  <si>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</si>
  <si>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</si>
  <si>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</si>
  <si>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</si>
  <si>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</si>
  <si>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</si>
  <si>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</si>
  <si>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</si>
  <si>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</si>
  <si>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</si>
  <si>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</si>
  <si>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</si>
  <si>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</si>
  <si>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</si>
  <si>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</si>
  <si>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</si>
  <si>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</si>
  <si>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</si>
  <si>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</si>
  <si>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</si>
  <si>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</si>
  <si>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</si>
  <si>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</si>
  <si>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</si>
  <si>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</si>
  <si>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</si>
  <si>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</si>
  <si>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</si>
  <si>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</si>
  <si>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</si>
  <si>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분석</t>
  </si>
  <si>
    <t>1.1.1</t>
  </si>
  <si>
    <t>1.2.1</t>
  </si>
  <si>
    <t>1.2.2</t>
  </si>
  <si>
    <t>설계</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</si>
  <si>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</si>
  <si>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</si>
  <si>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</si>
  <si>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</si>
  <si>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</si>
  <si>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</si>
  <si>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</si>
  <si>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</si>
  <si>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</si>
  <si>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</si>
  <si>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</si>
  <si>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</si>
  <si>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</si>
  <si>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</si>
  <si>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</si>
  <si>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</si>
  <si>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</si>
  <si>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</si>
  <si>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</si>
  <si>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</si>
  <si>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</si>
  <si>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</si>
  <si>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</si>
  <si>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</si>
  <si>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</si>
  <si>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</si>
  <si>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</si>
  <si>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</si>
  <si>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</si>
  <si>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</si>
  <si>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</si>
  <si>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</si>
  <si>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</si>
  <si>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</si>
  <si>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</si>
  <si>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</si>
  <si>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</si>
  <si>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</si>
  <si>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</si>
  <si>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</si>
  <si>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</si>
  <si>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</si>
  <si>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</si>
  <si>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</si>
  <si>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</si>
  <si>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</si>
  <si>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</si>
  <si>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</si>
  <si>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</si>
  <si>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</si>
  <si>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</si>
  <si>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</si>
  <si>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</si>
  <si>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</si>
  <si>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</si>
  <si>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</si>
  <si>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</si>
  <si>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</si>
  <si>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</si>
  <si>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</si>
  <si>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</si>
  <si>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</si>
  <si>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</si>
  <si>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</si>
  <si>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</si>
  <si>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</si>
  <si>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</si>
  <si>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</si>
  <si>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</si>
  <si>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</si>
  <si>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</si>
  <si>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</si>
  <si>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</si>
  <si>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</si>
  <si>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</si>
  <si>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</si>
  <si>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</si>
  <si>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</si>
  <si>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</si>
  <si>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</si>
  <si>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</si>
  <si>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</si>
  <si>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</si>
  <si>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</si>
  <si>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</si>
  <si>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</si>
  <si>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</si>
  <si>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</si>
  <si>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1.1.2.1</t>
  </si>
  <si>
    <t>1;6</t>
  </si>
  <si>
    <t>1.1.2.2</t>
  </si>
  <si>
    <t>중간보고</t>
  </si>
  <si>
    <t>1.3.1</t>
  </si>
  <si>
    <t>1.3.2</t>
  </si>
  <si>
    <t>종료보고</t>
  </si>
  <si>
    <t>1;16</t>
  </si>
  <si>
    <t>2.1.1</t>
  </si>
  <si>
    <t>2.2.1</t>
  </si>
  <si>
    <t>2.2.2</t>
  </si>
  <si>
    <t>시스템 설계</t>
  </si>
  <si>
    <t>2.2.2.1</t>
  </si>
  <si>
    <t>2.2.2.2</t>
  </si>
  <si>
    <t>2.2.2.3</t>
  </si>
  <si>
    <t>개발</t>
  </si>
  <si>
    <t>2.3.1</t>
  </si>
  <si>
    <t>2.3.1.1</t>
  </si>
  <si>
    <t>2.3.1.2</t>
  </si>
  <si>
    <t>2.3.1.2.1</t>
  </si>
  <si>
    <t>2.3.1.2.2</t>
  </si>
  <si>
    <t>2.3.1.2.3</t>
  </si>
  <si>
    <t>2.3.1.2.4</t>
  </si>
  <si>
    <t>2.3.2</t>
  </si>
  <si>
    <t>2.3.2.1</t>
  </si>
  <si>
    <t>2.3.2.2</t>
  </si>
  <si>
    <t>구현</t>
  </si>
  <si>
    <t>2.4.1</t>
  </si>
  <si>
    <t>2.4.1.1</t>
  </si>
  <si>
    <t>2.4.2</t>
  </si>
  <si>
    <t>1;52</t>
  </si>
  <si>
    <t>W13</t>
  </si>
  <si>
    <t>W17</t>
  </si>
  <si>
    <t>W21</t>
  </si>
  <si>
    <t>1.3</t>
  </si>
  <si>
    <t>2</t>
  </si>
  <si>
    <t>2.1</t>
  </si>
  <si>
    <t>2.2</t>
  </si>
  <si>
    <t>2.3</t>
  </si>
  <si>
    <t>2.4</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</si>
  <si>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</si>
  <si>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</si>
  <si>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</si>
  <si>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</si>
  <si>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</si>
  <si>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</si>
  <si>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</si>
  <si>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</si>
  <si>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</si>
  <si>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</si>
  <si>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</si>
  <si>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</si>
  <si>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</si>
  <si>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</si>
  <si>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</si>
  <si>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</si>
  <si>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</si>
  <si>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</si>
  <si>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</si>
  <si>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</si>
  <si>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</si>
  <si>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</si>
  <si>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</si>
  <si>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</si>
  <si>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</si>
  <si>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</si>
  <si>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</si>
  <si>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</si>
  <si>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</si>
  <si>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</si>
  <si>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</si>
  <si>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</si>
  <si>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</si>
  <si>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</si>
  <si>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</si>
  <si>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</si>
  <si>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</si>
  <si>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</si>
  <si>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</si>
  <si>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</si>
  <si>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</si>
  <si>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</si>
  <si>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</si>
  <si>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</si>
  <si>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</si>
  <si>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</si>
  <si>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</si>
  <si>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</si>
  <si>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</si>
  <si>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</si>
  <si>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</si>
  <si>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</si>
  <si>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</si>
  <si>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</si>
  <si>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</si>
  <si>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</si>
  <si>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</si>
  <si>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</si>
  <si>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</si>
  <si>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</si>
  <si>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</si>
  <si>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</si>
  <si>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</si>
  <si>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</si>
  <si>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</si>
  <si>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</si>
  <si>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</si>
  <si>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</si>
  <si>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</si>
  <si>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</si>
  <si>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</si>
  <si>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</si>
  <si>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</si>
  <si>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</si>
  <si>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</si>
  <si>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</si>
  <si>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</si>
  <si>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</si>
  <si>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</si>
  <si>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</si>
  <si>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</si>
  <si>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</si>
  <si>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</si>
  <si>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</si>
  <si>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</si>
  <si>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</si>
  <si>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</si>
  <si>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</si>
  <si>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</si>
  <si>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</si>
  <si>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</si>
  <si>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</si>
  <si>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</si>
  <si>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</si>
  <si>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</si>
  <si>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</si>
  <si>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</si>
  <si>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</si>
  <si>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</si>
  <si>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</si>
  <si>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</si>
  <si>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</si>
  <si>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</si>
  <si>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</si>
  <si>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</si>
  <si>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</si>
  <si>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</si>
  <si>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</si>
  <si>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</si>
  <si>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</si>
  <si>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</si>
  <si>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</si>
  <si>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</si>
  <si>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</si>
  <si>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</si>
  <si>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</si>
  <si>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</si>
  <si>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</si>
  <si>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</si>
  <si>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</si>
  <si>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</si>
  <si>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</si>
  <si>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</si>
  <si>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더라운지시스템 3.0 구축</t>
    <phoneticPr fontId="1" type="noConversion"/>
  </si>
  <si>
    <t>사업관리</t>
  </si>
  <si>
    <t>계획수립</t>
  </si>
  <si>
    <t>테일러링</t>
  </si>
  <si>
    <t>착수 및 계획수립</t>
  </si>
  <si>
    <t>사업수행 계획수립</t>
  </si>
  <si>
    <t>품질보증 계획수립</t>
  </si>
  <si>
    <t>착수보고</t>
  </si>
  <si>
    <t xml:space="preserve"> ISP</t>
  </si>
  <si>
    <t>ISP 인터뷰</t>
  </si>
  <si>
    <t>ISP 계획</t>
  </si>
  <si>
    <t>ISP 결과보고</t>
  </si>
  <si>
    <t>관리통제</t>
  </si>
  <si>
    <t>변경관리</t>
  </si>
  <si>
    <t>변경요청 및 영향평가</t>
  </si>
  <si>
    <t>위험관리</t>
  </si>
  <si>
    <t>위험 식별 및 분석</t>
  </si>
  <si>
    <t>프로젝트 테일러링</t>
  </si>
  <si>
    <t>이슈 식별 및 분석</t>
  </si>
  <si>
    <t>수행 및 통제</t>
  </si>
  <si>
    <t>주간보고</t>
  </si>
  <si>
    <t>월간보고</t>
  </si>
  <si>
    <t>인력관리</t>
  </si>
  <si>
    <t>분석/설계</t>
  </si>
  <si>
    <t>데이터수집</t>
  </si>
  <si>
    <t>프로젝트 데이터수집</t>
  </si>
  <si>
    <t>상태보고</t>
  </si>
  <si>
    <t>프로젝트 현황 파악</t>
  </si>
  <si>
    <t>개발통제</t>
  </si>
  <si>
    <t>베이스라인 수립</t>
  </si>
  <si>
    <t>베이스라인</t>
  </si>
  <si>
    <t>품질보증</t>
  </si>
  <si>
    <t>품질보증 활동수행</t>
  </si>
  <si>
    <t>종료</t>
  </si>
  <si>
    <t>검수</t>
  </si>
  <si>
    <t>산출물 제출</t>
  </si>
  <si>
    <t>검수 요청 및 확인</t>
  </si>
  <si>
    <t>고객만족도 조사</t>
  </si>
  <si>
    <t>고객만족도 조사 수행</t>
  </si>
  <si>
    <t>개발관리</t>
  </si>
  <si>
    <t>ISP</t>
  </si>
  <si>
    <t>ISP 수행</t>
  </si>
  <si>
    <t>ISP 계획 수립</t>
  </si>
  <si>
    <t>메뉴 및 구조화</t>
  </si>
  <si>
    <t>ISP 결과 보고</t>
  </si>
  <si>
    <t>요구사항 정의</t>
  </si>
  <si>
    <t>요구사항 분석</t>
  </si>
  <si>
    <t>보안 교육</t>
  </si>
  <si>
    <t>오픈소스 교육</t>
  </si>
  <si>
    <t>프로세스 정의</t>
  </si>
  <si>
    <t>개발 기술 Rule 수립</t>
  </si>
  <si>
    <t>AS-IS 업무 분석</t>
  </si>
  <si>
    <t>TO-BE 업무 프로세스 정의</t>
  </si>
  <si>
    <t>프로세스 세부 규칙 정의</t>
  </si>
  <si>
    <t>아키텍쳐 설계</t>
  </si>
  <si>
    <t>네이밍,코드스타일,디렉토리구조 정의</t>
  </si>
  <si>
    <t>페이지별 기능설명,사용자 Flow, 예외처리 로직상세 정의</t>
  </si>
  <si>
    <t>html/css작성 규칙,공통클래스사용법 안내,브라우저 지원범위 정의</t>
  </si>
  <si>
    <t>데이타베이스 설계</t>
  </si>
  <si>
    <t>API 엔드포인트, 데이터형식, 에러코드 정의</t>
  </si>
  <si>
    <t>공통컴포넌트,공통모듈 설계</t>
  </si>
  <si>
    <t>데이터 이전 계획 수립</t>
  </si>
  <si>
    <t>Front Office 개발</t>
  </si>
  <si>
    <t>Back Office 개발</t>
  </si>
  <si>
    <t>인터페이스 개발</t>
  </si>
  <si>
    <t>단위테스트계획 수립</t>
  </si>
  <si>
    <t>단위테스트 수행</t>
  </si>
  <si>
    <t>테스트 계획</t>
  </si>
  <si>
    <t>통합테스트 계획 수립</t>
  </si>
  <si>
    <t>웹/소스코드 취약점검사 계획 수립</t>
  </si>
  <si>
    <t>테스트</t>
  </si>
  <si>
    <t>통합테스트 수행</t>
  </si>
  <si>
    <t>보안성심의 수행</t>
  </si>
  <si>
    <t>성능테스트 계획 수립</t>
  </si>
  <si>
    <t>성능테스트 수행</t>
  </si>
  <si>
    <t>사용자 승인 테스트 수행</t>
  </si>
  <si>
    <t>품질보증 활동</t>
  </si>
  <si>
    <t>데이타이전</t>
  </si>
  <si>
    <t>데이터 이전 계획 조정</t>
  </si>
  <si>
    <t>데이터 이전 수행</t>
  </si>
  <si>
    <t>오픈</t>
  </si>
  <si>
    <t>시스템 오픈</t>
  </si>
  <si>
    <t>시스템 오픈 계획 수립</t>
  </si>
  <si>
    <t>시스템 오픈 결과 작성</t>
  </si>
  <si>
    <t>안정화</t>
  </si>
  <si>
    <t>장애처리 계획 수립</t>
  </si>
  <si>
    <t>기술이전 계획 수립</t>
  </si>
  <si>
    <t>하자보수 계획 수립</t>
  </si>
  <si>
    <t>QA</t>
  </si>
  <si>
    <t>PMO</t>
  </si>
  <si>
    <t>테일러링 내역서</t>
  </si>
  <si>
    <t>품질보증계획서</t>
  </si>
  <si>
    <t>컨설팅</t>
  </si>
  <si>
    <t>주간보고서</t>
  </si>
  <si>
    <t>월간보고서</t>
  </si>
  <si>
    <t>중간보고서</t>
  </si>
  <si>
    <t>수행인력현황</t>
  </si>
  <si>
    <t>산출물 목록서</t>
  </si>
  <si>
    <t>품질보증결과서</t>
  </si>
  <si>
    <t>종료 보고서</t>
  </si>
  <si>
    <t>검수확인서</t>
  </si>
  <si>
    <t>고객만족도 결과서</t>
  </si>
  <si>
    <t>기획</t>
  </si>
  <si>
    <t>회의록</t>
  </si>
  <si>
    <t>AA</t>
  </si>
  <si>
    <t>프레임워크선정협의서</t>
  </si>
  <si>
    <t>아키텍쳐설계서</t>
  </si>
  <si>
    <t>디자인</t>
  </si>
  <si>
    <t>DA</t>
  </si>
  <si>
    <t>개발표준가이드</t>
  </si>
  <si>
    <t>데이터베이스설계서</t>
  </si>
  <si>
    <t>DBA</t>
  </si>
  <si>
    <t>소스코드</t>
  </si>
  <si>
    <t>단위테스트계획서(선공정:화면/IF설계서),
시나리오</t>
  </si>
  <si>
    <t>단위테스트결과서</t>
  </si>
  <si>
    <t>보안성심의계획서</t>
  </si>
  <si>
    <t>통합테스트결과서</t>
  </si>
  <si>
    <t>보안성심의결과서</t>
  </si>
  <si>
    <t>TA</t>
  </si>
  <si>
    <t>성능테스트계획서</t>
  </si>
  <si>
    <t>성능테스트결과서</t>
  </si>
  <si>
    <t>사용자승인테스트결과보고서</t>
  </si>
  <si>
    <t>장애처리계획서</t>
  </si>
  <si>
    <t>하자보고계획서</t>
  </si>
  <si>
    <t>05/10
W20</t>
  </si>
  <si>
    <t>06/07
W24</t>
  </si>
  <si>
    <t>07/05
W28</t>
  </si>
  <si>
    <t>08/02
W32</t>
  </si>
  <si>
    <t>08/30
W36</t>
  </si>
  <si>
    <t>09/27
W40</t>
  </si>
  <si>
    <t>10/25
W44</t>
  </si>
  <si>
    <t>W25</t>
  </si>
  <si>
    <t>11/22
W48</t>
  </si>
  <si>
    <t>W29</t>
  </si>
  <si>
    <t>12/20
W52</t>
  </si>
  <si>
    <t>W33</t>
  </si>
  <si>
    <t>2027
W4</t>
  </si>
  <si>
    <t>W37</t>
  </si>
  <si>
    <t>02/14
W8</t>
  </si>
  <si>
    <t>W41</t>
  </si>
  <si>
    <t>03/14
W12</t>
  </si>
  <si>
    <t>W45</t>
  </si>
  <si>
    <t>04/11
W16</t>
  </si>
  <si>
    <t>W49</t>
  </si>
  <si>
    <t>05/09
W20</t>
  </si>
  <si>
    <t>W53</t>
  </si>
  <si>
    <t>사업수행계획서;WBS</t>
  </si>
  <si>
    <t>Easy-Ware 內 변경관리</t>
  </si>
  <si>
    <t>ISP 계획서</t>
  </si>
  <si>
    <t>ISP 결과 보고서</t>
  </si>
  <si>
    <t>정보구조도(IA)</t>
  </si>
  <si>
    <t>보안가이드(개인정보보호,안정성확보조치)</t>
  </si>
  <si>
    <t>보안가이드(오픈소스사용가이드)</t>
  </si>
  <si>
    <t>요구사항기술서, 요구사항추적표</t>
  </si>
  <si>
    <t>AS-IS현황분석서</t>
  </si>
  <si>
    <t>TO-BE프로세스정의서</t>
  </si>
  <si>
    <t>화면설계서(F/O:Figma, B/O:PPT)</t>
  </si>
  <si>
    <t>스타일가이드(Figma)</t>
  </si>
  <si>
    <t>BO개발PL</t>
  </si>
  <si>
    <t>인터페이스설계서(RedDoc)</t>
  </si>
  <si>
    <t>공통설계가이드(Figma)</t>
  </si>
  <si>
    <t>데이터Migration계획서</t>
  </si>
  <si>
    <t>FO 개발PL</t>
  </si>
  <si>
    <t>BO 개발PL</t>
  </si>
  <si>
    <t>BO/FO 개발PL, 기획</t>
  </si>
  <si>
    <t>BO/FO 개발PL</t>
  </si>
  <si>
    <t>통합테스트계획서,시나리오</t>
  </si>
  <si>
    <t>데이터Migration결과서</t>
  </si>
  <si>
    <t>기술이전계획서(관리자/사용자 교육계획서 포함)</t>
  </si>
  <si>
    <t>기술이전결과서(관리자/사용자 교육결과서 및 매뉴얼 포함)</t>
  </si>
  <si>
    <t>1.1.1.1</t>
  </si>
  <si>
    <t>1.1.2.3</t>
  </si>
  <si>
    <t>1.1.3</t>
  </si>
  <si>
    <t>1.1.3.1</t>
  </si>
  <si>
    <t>1.1.3.2</t>
  </si>
  <si>
    <t>1.1.3.3</t>
  </si>
  <si>
    <t>1.2.1.1</t>
  </si>
  <si>
    <t>1.2.2.1</t>
  </si>
  <si>
    <t>1.2.2.2</t>
  </si>
  <si>
    <t>1.2.3.1</t>
  </si>
  <si>
    <t>1.2.3.2</t>
  </si>
  <si>
    <t>1.2.3.3</t>
  </si>
  <si>
    <t>1.2.3.4</t>
  </si>
  <si>
    <t>1.3.1.1</t>
  </si>
  <si>
    <t>1.3.2.1</t>
  </si>
  <si>
    <t>1.4</t>
  </si>
  <si>
    <t>1.4.1</t>
  </si>
  <si>
    <t>1.4.1.1</t>
  </si>
  <si>
    <t>1.4.2</t>
  </si>
  <si>
    <t>1.4.2.1</t>
  </si>
  <si>
    <t>1.5</t>
  </si>
  <si>
    <t>1.5.1</t>
  </si>
  <si>
    <t>1.5.1.1</t>
  </si>
  <si>
    <t>1.5.1.2</t>
  </si>
  <si>
    <t>1.5.1.3</t>
  </si>
  <si>
    <t>1.5.2</t>
  </si>
  <si>
    <t>1.5.2.1</t>
  </si>
  <si>
    <t>2.1.1.1</t>
  </si>
  <si>
    <t>2.1.1.2</t>
  </si>
  <si>
    <t>2.1.1.3</t>
  </si>
  <si>
    <t>2.2.1.1</t>
  </si>
  <si>
    <t>2.2.1.2</t>
  </si>
  <si>
    <t>2.2.1.3</t>
  </si>
  <si>
    <t>2.2.1.4</t>
  </si>
  <si>
    <t>2.3.1.3</t>
  </si>
  <si>
    <t>2.3.1.4</t>
  </si>
  <si>
    <t>2.3.1.5</t>
  </si>
  <si>
    <t>2.3.1.6</t>
  </si>
  <si>
    <t>2.3.1.7</t>
  </si>
  <si>
    <t>2.3.1.8</t>
  </si>
  <si>
    <t>2.4.1.2</t>
  </si>
  <si>
    <t>2.5</t>
  </si>
  <si>
    <t>2.5.1</t>
  </si>
  <si>
    <t>2.5.1.1</t>
  </si>
  <si>
    <t>2.5.1.2</t>
  </si>
  <si>
    <t>2.5.1.3</t>
  </si>
  <si>
    <t>2.5.1.4</t>
  </si>
  <si>
    <t>2.5.1.5</t>
  </si>
  <si>
    <t>2.5.1.6</t>
  </si>
  <si>
    <t>2.5.2</t>
  </si>
  <si>
    <t>2.5.2.1</t>
  </si>
  <si>
    <t>2.5.2.2</t>
  </si>
  <si>
    <t>2.6</t>
  </si>
  <si>
    <t>2.6.1</t>
  </si>
  <si>
    <t>2.6.2</t>
  </si>
  <si>
    <t>2.6.3</t>
  </si>
  <si>
    <t>2.7</t>
  </si>
  <si>
    <t>2.7.1</t>
  </si>
  <si>
    <t>2.7.2</t>
  </si>
  <si>
    <t>2.7.3</t>
  </si>
  <si>
    <t>2.7.4</t>
  </si>
  <si>
    <t>착수보고서</t>
  </si>
  <si>
    <t>상품</t>
  </si>
  <si>
    <t>정산</t>
  </si>
  <si>
    <t>전시관리</t>
  </si>
  <si>
    <t xml:space="preserve">공통 </t>
  </si>
  <si>
    <t>2.3.1.2.5</t>
  </si>
  <si>
    <t>2.3.1.2.6</t>
  </si>
  <si>
    <t>2.3.1.2.7</t>
  </si>
  <si>
    <t>2.3.1.2.8</t>
  </si>
  <si>
    <t>2.4.3</t>
  </si>
  <si>
    <t>2.4.3.1</t>
  </si>
  <si>
    <t>2.4.3.2</t>
  </si>
  <si>
    <t>제휴판매</t>
  </si>
  <si>
    <t>파트너오피스(PO)</t>
  </si>
  <si>
    <t>제휴카드</t>
  </si>
  <si>
    <t>프로모션/이벤트</t>
  </si>
  <si>
    <t>회원/멤버십/포인트</t>
  </si>
  <si>
    <t>주문/결제/취소</t>
  </si>
  <si>
    <t>할인쿠폰</t>
  </si>
  <si>
    <t>통계</t>
  </si>
  <si>
    <t>App</t>
  </si>
  <si>
    <t>고객센터</t>
  </si>
  <si>
    <t>현장운영시스템</t>
  </si>
  <si>
    <t>권한/운영관리</t>
  </si>
  <si>
    <t>2.3.1.2.9</t>
  </si>
  <si>
    <t>2.3.1.2.10</t>
  </si>
  <si>
    <t>2.3.1.2.11</t>
  </si>
  <si>
    <t>2.3.1.2.12</t>
  </si>
  <si>
    <t>2.3.1.2.13</t>
  </si>
  <si>
    <t>2.3.1.2.14</t>
  </si>
  <si>
    <t>2.3.1.2.15</t>
  </si>
  <si>
    <t>Front Office(FO)</t>
  </si>
  <si>
    <t>Back Office(BO)</t>
  </si>
  <si>
    <t>2.3.1.4.1</t>
  </si>
  <si>
    <t>2.3.1.4.1.1</t>
  </si>
  <si>
    <t>2.3.1.4.1.2</t>
  </si>
  <si>
    <t>2.3.1.4.1.3</t>
  </si>
  <si>
    <t>2.3.1.4.1.4</t>
  </si>
  <si>
    <t>2.3.1.4.1.5</t>
  </si>
  <si>
    <t>2.3.1.4.1.6</t>
  </si>
  <si>
    <t>2.3.1.4.1.7</t>
  </si>
  <si>
    <t>2.3.1.4.1.8</t>
  </si>
  <si>
    <t>2.3.1.4.1.9</t>
  </si>
  <si>
    <t>2.3.1.4.1.10</t>
  </si>
  <si>
    <t>2.3.1.4.1.11</t>
  </si>
  <si>
    <t>2.3.1.4.1.12</t>
  </si>
  <si>
    <t>2.3.1.4.1.13</t>
  </si>
  <si>
    <t>2.3.1.4.2</t>
  </si>
  <si>
    <t>2.3.1.4.2.1</t>
  </si>
  <si>
    <t>2.3.1.4.2.2</t>
  </si>
  <si>
    <t>2.3.1.4.2.3</t>
  </si>
  <si>
    <t>2.3.1.4.2.4</t>
  </si>
  <si>
    <t>2.3.1.4.2.5</t>
  </si>
  <si>
    <t>2.3.1.4.2.6</t>
  </si>
  <si>
    <t>2.3.1.4.2.7</t>
  </si>
  <si>
    <t>2.3.1.4.2.8</t>
  </si>
  <si>
    <t>2.3.1.4.2.9</t>
  </si>
  <si>
    <t>2.3.1.4.2.10</t>
  </si>
  <si>
    <t>2.3.1.4.2.11</t>
  </si>
  <si>
    <t>2.3.1.4.2.12</t>
  </si>
  <si>
    <t>2.3.1.4.2.13</t>
  </si>
  <si>
    <t>2.3.1.4.2.14</t>
  </si>
  <si>
    <t>정책정의서</t>
  </si>
  <si>
    <t>메인</t>
  </si>
  <si>
    <t>메인(대시보드)</t>
  </si>
  <si>
    <t>FO 디자인</t>
  </si>
  <si>
    <t>2.3.1.4.1.14</t>
  </si>
  <si>
    <t>2.3.1.4.2.15</t>
  </si>
  <si>
    <t>2.3.1.5.1</t>
  </si>
  <si>
    <t>2.3.1.5.2</t>
  </si>
  <si>
    <t>2.3.1.5.3</t>
  </si>
  <si>
    <t>사용처 카테고리</t>
  </si>
  <si>
    <t>월렛</t>
  </si>
  <si>
    <t>글로벌 eSIM</t>
  </si>
  <si>
    <t>EVENT</t>
  </si>
  <si>
    <t>혜택</t>
  </si>
  <si>
    <t>마이페이지</t>
  </si>
  <si>
    <t>판매채널</t>
  </si>
  <si>
    <t>주문</t>
  </si>
  <si>
    <t>공통</t>
  </si>
  <si>
    <t>회원 관리</t>
  </si>
  <si>
    <t>기준정보 관리</t>
  </si>
  <si>
    <t>제휴•사용처관리</t>
  </si>
  <si>
    <t>상품관리</t>
  </si>
  <si>
    <t>제휴카드 관리</t>
  </si>
  <si>
    <t>발행발송관리</t>
  </si>
  <si>
    <t>마케팅 관리</t>
  </si>
  <si>
    <t>주문/결제 취소 관리</t>
  </si>
  <si>
    <t>전시 템플릿관리</t>
  </si>
  <si>
    <t>시스템 관리</t>
  </si>
  <si>
    <t>운영관리</t>
  </si>
  <si>
    <t>2.3.1.4.2.16</t>
  </si>
  <si>
    <t>FO 시안</t>
  </si>
  <si>
    <t>시안 이미지</t>
  </si>
  <si>
    <t>2.3.1.5.4</t>
  </si>
  <si>
    <t>2.4.2.1</t>
  </si>
  <si>
    <t>2.4.2.2</t>
  </si>
  <si>
    <t>2.4.2.2.1</t>
  </si>
  <si>
    <t>2.4.2.2.2</t>
  </si>
  <si>
    <t>2.4.2.2.3</t>
  </si>
  <si>
    <t>2.4.2.2.4</t>
  </si>
  <si>
    <t>2.4.2.2.5</t>
  </si>
  <si>
    <t>2.4.2.2.6</t>
  </si>
  <si>
    <t>2.4.2.2.7</t>
  </si>
  <si>
    <t>2.4.2.2.8</t>
  </si>
  <si>
    <t>2.4.2.2.9</t>
  </si>
  <si>
    <t>2.4.2.2.10</t>
  </si>
  <si>
    <t>2.4.2.2.11</t>
  </si>
  <si>
    <t>2.4.2.2.12</t>
  </si>
  <si>
    <t>2.4.2.2.13</t>
  </si>
  <si>
    <t>2.4.2.2.14</t>
  </si>
  <si>
    <t>2.4.2.3</t>
  </si>
  <si>
    <t>2.4.2.3.1</t>
  </si>
  <si>
    <t>2.4.2.3.2</t>
  </si>
  <si>
    <t>2.4.2.3.3</t>
  </si>
  <si>
    <t>2.4.2.3.4</t>
  </si>
  <si>
    <t>2.4.2.3.5</t>
  </si>
  <si>
    <t>2.4.2.3.6</t>
  </si>
  <si>
    <t>2.4.2.3.7</t>
  </si>
  <si>
    <t>2.4.2.3.8</t>
  </si>
  <si>
    <t>2.4.2.3.9</t>
  </si>
  <si>
    <t>2.4.2.3.10</t>
  </si>
  <si>
    <t>2.4.2.3.11</t>
  </si>
  <si>
    <t>2.4.2.3.12</t>
  </si>
  <si>
    <t>2.4.2.3.13</t>
  </si>
  <si>
    <t>2.4.2.3.14</t>
  </si>
  <si>
    <t>2.4.2.3.15</t>
  </si>
  <si>
    <t>2.4.2.3.16</t>
  </si>
  <si>
    <t>2.4.2.4</t>
  </si>
  <si>
    <t>2.4.2.5</t>
  </si>
  <si>
    <t>2.4.2.6</t>
  </si>
  <si>
    <t>디자인 가이드(컬러,타이포그래피,아이콘,그리드 정의)</t>
  </si>
  <si>
    <t>디자인 가이드(Figma)</t>
  </si>
  <si>
    <t>2.4.1.2.1</t>
  </si>
  <si>
    <t>2.4.1.2.2</t>
  </si>
  <si>
    <t>2.4.1.2.3</t>
  </si>
  <si>
    <t>2.4.1.2.4</t>
  </si>
  <si>
    <t>2.4.1.2.5</t>
  </si>
  <si>
    <t>2.4.1.2.6</t>
  </si>
  <si>
    <t>2.4.1.2.7</t>
  </si>
  <si>
    <t>2.4.1.2.8</t>
  </si>
  <si>
    <t>2.4.1.2.9</t>
  </si>
  <si>
    <t>2.4.1.2.10</t>
  </si>
  <si>
    <t>2.4.1.2.11</t>
  </si>
  <si>
    <t>2.4.1.2.12</t>
  </si>
  <si>
    <t>2.4.1.2.13</t>
  </si>
  <si>
    <t>2.4.1.2.14</t>
  </si>
  <si>
    <t>담당</t>
  </si>
  <si>
    <t>담당별_x000D_
진행률</t>
  </si>
  <si>
    <t>작업</t>
  </si>
  <si>
    <t>자원배정비율</t>
  </si>
  <si>
    <t>총작업량(A)_x000D_
Man-day</t>
  </si>
  <si>
    <t>계획작업량(B)_x000D_
Man-day</t>
  </si>
  <si>
    <t>실적기성( C )_x000D_
Man-day</t>
  </si>
  <si>
    <t>계획(B/A)</t>
  </si>
  <si>
    <t>실적(C/A)</t>
  </si>
  <si>
    <t>차이(실적-계획)</t>
  </si>
  <si>
    <t>(담당자미지정)</t>
  </si>
  <si>
    <t>(담당자미지정) 요약</t>
  </si>
  <si>
    <t>AA 요약</t>
  </si>
  <si>
    <t>BO 개발PL 요약</t>
  </si>
  <si>
    <t>BO/FO 개발PL 요약</t>
  </si>
  <si>
    <t>BO개발PL 요약</t>
  </si>
  <si>
    <t>DA 요약</t>
  </si>
  <si>
    <t>DBA 요약</t>
  </si>
  <si>
    <t>FO 개발PL 요약</t>
  </si>
  <si>
    <t>PMO 요약</t>
  </si>
  <si>
    <t>QA 요약</t>
  </si>
  <si>
    <t>TA 요약</t>
  </si>
  <si>
    <t>기획 요약</t>
  </si>
  <si>
    <t>디자인 요약</t>
  </si>
  <si>
    <t>컨설팅 요약</t>
  </si>
  <si>
    <t>총합계</t>
  </si>
  <si>
    <t>더라운지 eSIM</t>
  </si>
  <si>
    <t>Front Office Backend API개발</t>
  </si>
  <si>
    <t>박지만, 최선</t>
  </si>
  <si>
    <t>TBD_3</t>
  </si>
  <si>
    <t>회원(로그인, 가입, 인증)</t>
  </si>
  <si>
    <t>이인호</t>
  </si>
  <si>
    <t>사용처</t>
  </si>
  <si>
    <t>TBD_2</t>
  </si>
  <si>
    <t>정진형</t>
  </si>
  <si>
    <t>한주형</t>
  </si>
  <si>
    <t>주문/결제(회원/비회원)</t>
  </si>
  <si>
    <t>김진향</t>
  </si>
  <si>
    <t>프로모션/이벤트/쿠폰북</t>
  </si>
  <si>
    <t>이승현, 한주형</t>
  </si>
  <si>
    <t>공항안내</t>
  </si>
  <si>
    <t>TBD_4</t>
  </si>
  <si>
    <t>설정</t>
  </si>
  <si>
    <t>이승현</t>
  </si>
  <si>
    <t>2.4.2.4.1</t>
  </si>
  <si>
    <t>2.4.2.4.2</t>
  </si>
  <si>
    <t>2.4.2.4.3</t>
  </si>
  <si>
    <t>2.4.2.4.4</t>
  </si>
  <si>
    <t>정진형, 이인호</t>
  </si>
  <si>
    <t>2.4.2.4.5</t>
  </si>
  <si>
    <t>2.4.2.4.6</t>
  </si>
  <si>
    <t>2.4.2.4.7</t>
  </si>
  <si>
    <t>2.4.2.4.8</t>
  </si>
  <si>
    <t>정진형, 이승현</t>
  </si>
  <si>
    <t>2.4.2.4.9</t>
  </si>
  <si>
    <t>2.4.2.4.10</t>
  </si>
  <si>
    <t>2.4.2.4.11</t>
  </si>
  <si>
    <t>2.4.2.4.12</t>
  </si>
  <si>
    <t>2.4.2.4.13</t>
  </si>
  <si>
    <t>2.4.2.4.14</t>
  </si>
  <si>
    <t>정진형, TBD_2</t>
  </si>
  <si>
    <t>2.4.2.4.15</t>
  </si>
  <si>
    <t>TBD_5</t>
  </si>
  <si>
    <t>2.4.2.4.16</t>
  </si>
  <si>
    <t>TBD_6</t>
  </si>
  <si>
    <t>인터페이스 개발(외부API, 표준/신규 API, InApp, 인프라)</t>
  </si>
  <si>
    <t>정진형, 이승현, TBD_6</t>
  </si>
  <si>
    <t>Kafka 메시징/큐 관리 개발 </t>
  </si>
  <si>
    <t>2.4.2.7</t>
  </si>
  <si>
    <t>배치 프로그램 개발</t>
  </si>
  <si>
    <t>2.4.2.7.1</t>
  </si>
  <si>
    <t>배치/스케줄러 개발</t>
  </si>
  <si>
    <t>2.4.2.8</t>
  </si>
  <si>
    <t>2.4.2.9</t>
  </si>
  <si>
    <t>김동오</t>
  </si>
  <si>
    <t>김수현</t>
  </si>
  <si>
    <t>박선미</t>
  </si>
  <si>
    <t>유재희</t>
  </si>
  <si>
    <t>이채원</t>
  </si>
  <si>
    <t>함유진</t>
  </si>
  <si>
    <t>이윤희</t>
  </si>
  <si>
    <t>오지원</t>
  </si>
  <si>
    <t>오지원,박선미</t>
  </si>
  <si>
    <t>현장운영시스템(OO)</t>
  </si>
  <si>
    <t>리무진(PO-K)</t>
  </si>
  <si>
    <t>리무진현장시스템(OO-K)</t>
  </si>
  <si>
    <t>2.4.2.4.17</t>
  </si>
  <si>
    <t>2.4.2.4.18</t>
  </si>
  <si>
    <t>2.4.2.2.15</t>
  </si>
  <si>
    <t>상품마스터 관리</t>
  </si>
  <si>
    <t>판매상품 관리</t>
  </si>
  <si>
    <t>옵션 관리</t>
  </si>
  <si>
    <t>2.3.1.4.2.6.1</t>
  </si>
  <si>
    <t>2.3.1.4.2.6.2</t>
  </si>
  <si>
    <t>2.3.1.4.2.6.3</t>
  </si>
  <si>
    <t>제휴카드 조회</t>
  </si>
  <si>
    <t>제휴카드 등록</t>
  </si>
  <si>
    <t>옵션/혜택관리</t>
  </si>
  <si>
    <t>2.3.1.4.2.7.1</t>
  </si>
  <si>
    <t>2.3.1.4.2.7.2</t>
  </si>
  <si>
    <t>2.3.1.4.2.7.3</t>
  </si>
  <si>
    <t>발행관리</t>
  </si>
  <si>
    <t>발송관리</t>
  </si>
  <si>
    <t>원장관리</t>
  </si>
  <si>
    <t>사용관리</t>
  </si>
  <si>
    <t>2.3.1.4.2.8.1</t>
  </si>
  <si>
    <t>2.3.1.4.2.8.2</t>
  </si>
  <si>
    <t>2.3.1.4.2.8.3</t>
  </si>
  <si>
    <t>2.3.1.4.2.8.4</t>
  </si>
  <si>
    <t>기업관리</t>
  </si>
  <si>
    <t>2.3.1.4.2.5.1</t>
  </si>
  <si>
    <t>제휴 판매</t>
  </si>
  <si>
    <t>사용처(일반)관리</t>
  </si>
  <si>
    <t>사용처(운수사)관리</t>
  </si>
  <si>
    <t>2.3.1.4.2.5.2</t>
  </si>
  <si>
    <t>2.3.1.4.2.5.3</t>
  </si>
  <si>
    <t>2.3.1.4.2.5.4</t>
  </si>
  <si>
    <t>로그인/회원가입/탈퇴</t>
  </si>
  <si>
    <t>2.3.1.4.1.15</t>
  </si>
  <si>
    <t>2.3.1.4.1.16</t>
  </si>
  <si>
    <t>2.3.1.4.1.17</t>
  </si>
  <si>
    <t>2.3.1.4.1.2.1</t>
  </si>
  <si>
    <t>2.3.1.4.1.2.2</t>
  </si>
  <si>
    <t>쿠폰북</t>
  </si>
  <si>
    <t>주문/결제 취소</t>
  </si>
  <si>
    <t>ETC</t>
  </si>
  <si>
    <t>2.3.1.4.1.18</t>
  </si>
  <si>
    <t>헤더</t>
  </si>
  <si>
    <t>검색</t>
  </si>
  <si>
    <t>플로팅</t>
  </si>
  <si>
    <t>GNB</t>
  </si>
  <si>
    <t>Footer</t>
  </si>
  <si>
    <t>2.3.1.4.1.1.1</t>
  </si>
  <si>
    <t>2.3.1.4.1.1.2</t>
  </si>
  <si>
    <t>2.3.1.4.1.1.3</t>
  </si>
  <si>
    <t>2.3.1.4.1.1.4</t>
  </si>
  <si>
    <t>2.3.1.4.1.1.5</t>
  </si>
  <si>
    <t>결제</t>
  </si>
  <si>
    <t>2.3.1.4.1.16.1</t>
  </si>
  <si>
    <t>2.3.1.4.1.16.2</t>
  </si>
  <si>
    <t>2.3.1.4.1.16.3</t>
  </si>
  <si>
    <t>주문조회</t>
  </si>
  <si>
    <t>공지</t>
  </si>
  <si>
    <t>문의</t>
  </si>
  <si>
    <t>2.3.1.4.1.17.1</t>
  </si>
  <si>
    <t>2.3.1.4.1.17.2</t>
  </si>
  <si>
    <t>2.3.1.4.1.17.3</t>
  </si>
  <si>
    <t>2.3.1.4.1.17.4</t>
  </si>
  <si>
    <t>2.3.1.4.1.17.5</t>
  </si>
  <si>
    <t>OO</t>
  </si>
  <si>
    <t>PO-K</t>
  </si>
  <si>
    <t>OO-K</t>
  </si>
  <si>
    <t>2.3.1.4.1.18.1</t>
  </si>
  <si>
    <t>2.3.1.4.1.18.2</t>
  </si>
  <si>
    <t>2.3.1.4.1.18.3</t>
  </si>
  <si>
    <t>프로모션 관리</t>
  </si>
  <si>
    <t>이벤트 관리</t>
  </si>
  <si>
    <t>리포팅</t>
  </si>
  <si>
    <t>업셀링</t>
  </si>
  <si>
    <t>2.3.1.4.2.9.1</t>
  </si>
  <si>
    <t>2.3.1.4.2.9.2</t>
  </si>
  <si>
    <t>2.3.1.4.2.9.3</t>
  </si>
  <si>
    <t>2.3.1.4.2.9.4</t>
  </si>
  <si>
    <t>2.3.1.4.2.9.5</t>
  </si>
  <si>
    <t>주문관리</t>
  </si>
  <si>
    <t>주문결제취소 관리</t>
  </si>
  <si>
    <t>매입매출관리</t>
  </si>
  <si>
    <t>기초데이터 관리</t>
  </si>
  <si>
    <t>라운지 실적</t>
  </si>
  <si>
    <t>더라운지 실적</t>
  </si>
  <si>
    <t>이용객 통계</t>
  </si>
  <si>
    <t>상품통계</t>
  </si>
  <si>
    <t>2.3.1.4.2.10.1</t>
  </si>
  <si>
    <t>2.3.1.4.2.10.2</t>
  </si>
  <si>
    <t>2.3.1.4.2.11.1</t>
  </si>
  <si>
    <t>2.3.1.4.2.11.2</t>
  </si>
  <si>
    <t>2.3.1.4.2.12.1</t>
  </si>
  <si>
    <t>2.3.1.4.2.12.2</t>
  </si>
  <si>
    <t>2.3.1.4.2.12.3</t>
  </si>
  <si>
    <t>2.3.1.4.2.12.4</t>
  </si>
  <si>
    <t>회원조회</t>
  </si>
  <si>
    <t>주문/결제취소 조회</t>
  </si>
  <si>
    <t>1:1 문의</t>
  </si>
  <si>
    <t>문의사항</t>
  </si>
  <si>
    <t>템플릿관리</t>
  </si>
  <si>
    <t>2.3.1.4.2.13.1</t>
  </si>
  <si>
    <t>2.3.1.4.2.13.2</t>
  </si>
  <si>
    <t>2.3.1.4.2.13.3</t>
  </si>
  <si>
    <t>2.3.1.4.2.13.4</t>
  </si>
  <si>
    <t>2.3.1.4.2.14.1</t>
  </si>
  <si>
    <t>2.3.1.4.2.14.2</t>
  </si>
  <si>
    <t>로그이력관리</t>
  </si>
  <si>
    <t>관리자 인증 오류 이력</t>
  </si>
  <si>
    <t>연동 인터페이스 관리</t>
  </si>
  <si>
    <t>2.3.1.4.2.15.1</t>
  </si>
  <si>
    <t>2.3.1.4.2.15.2</t>
  </si>
  <si>
    <t>2.3.1.4.2.15.3</t>
  </si>
  <si>
    <t>외부통보</t>
  </si>
  <si>
    <t>서비스 환경관리</t>
  </si>
  <si>
    <t>접속제어</t>
  </si>
  <si>
    <t>알림 발송 설정</t>
  </si>
  <si>
    <t>앱 시스템 설정</t>
  </si>
  <si>
    <t>보안관리</t>
  </si>
  <si>
    <t>다국어 관리</t>
  </si>
  <si>
    <t>앱 운영 관리</t>
  </si>
  <si>
    <t>약관 정책 관리</t>
  </si>
  <si>
    <t>게시판 관리</t>
  </si>
  <si>
    <t>메시징 관리</t>
  </si>
  <si>
    <t>결제설정</t>
  </si>
  <si>
    <t>공통 유틸리티</t>
  </si>
  <si>
    <t>2.3.1.4.2.15.4</t>
  </si>
  <si>
    <t>2.3.1.4.2.15.5</t>
  </si>
  <si>
    <t>2.3.1.4.2.15.6</t>
  </si>
  <si>
    <t>2.3.1.4.2.15.7</t>
  </si>
  <si>
    <t>2.3.1.4.2.15.8</t>
  </si>
  <si>
    <t>2.3.1.4.2.15.9</t>
  </si>
  <si>
    <t>2.3.1.4.2.15.10</t>
  </si>
  <si>
    <t>2.3.1.4.2.16.1</t>
  </si>
  <si>
    <t>2.3.1.4.2.16.2</t>
  </si>
  <si>
    <t>2.3.1.4.2.16.3</t>
  </si>
  <si>
    <t>2.3.1.4.2.16.4</t>
  </si>
  <si>
    <t>2.3.1.4.2.16.5</t>
  </si>
  <si>
    <t>2.3.1.4.2.16.6</t>
  </si>
  <si>
    <t>회원/비회원</t>
  </si>
  <si>
    <t>선물하기</t>
  </si>
  <si>
    <t>2.3.1.4.1.7.1</t>
  </si>
  <si>
    <t>2.3.1.4.1.8.1</t>
  </si>
  <si>
    <t>내 정보관리</t>
  </si>
  <si>
    <t>내 제휴카드</t>
  </si>
  <si>
    <t>내 주문관리</t>
  </si>
  <si>
    <t>내 활동관리</t>
  </si>
  <si>
    <t>마이 포인트</t>
  </si>
  <si>
    <t>선물함</t>
  </si>
  <si>
    <t>쿠폰함</t>
  </si>
  <si>
    <t>내 여정관리</t>
  </si>
  <si>
    <t>2.3.1.4.1.2.2.1</t>
  </si>
  <si>
    <t>2.3.1.4.1.2.2.2</t>
  </si>
  <si>
    <t>2.3.1.4.1.2.2.3</t>
  </si>
  <si>
    <t>2.3.1.4.1.2.2.4</t>
  </si>
  <si>
    <t>2.3.1.4.1.2.2.5</t>
  </si>
  <si>
    <t>2.3.1.4.1.2.2.6</t>
  </si>
  <si>
    <t>2.3.1.4.1.2.2.7</t>
  </si>
  <si>
    <t>2.3.1.4.1.2.2.8</t>
  </si>
  <si>
    <t>2.3.1.4.1.2.2.9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</si>
</sst>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yyyy\-mm\-dd"/>
  </numFmts>
  <fonts count="77">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9"/>
      <name val="Malgun Gothic"/>
      <family val="3"/>
      <charset val="129"/>
    </font>
    <font>
      <sz val="9"/>
      <name val="Noto Sans"/>
      <family val="2"/>
    </font>
    <font>
      <b/>
      <sz val="9"/>
      <name val="Malgun Gothic"/>
      <family val="3"/>
      <charset val="129"/>
    </font>
    <font>
      <sz val="9"/>
      <name val="Arial"/>
      <family val="2"/>
    </font>
    <font>
      <sz val="9"/>
      <name val="맑은 고딕"/>
      <family val="2"/>
      <charset val="129"/>
    </font>
    <font>
      <b/>
      <sz val="11"/>
      <name val="Calibri"/>
      <family val="2"/>
    </font>
    <font>
      <sz val="11"/>
      <color rgb="FFFF0000"/>
      <name val="Calibri"/>
      <family val="2"/>
    </font>
    <font>
      <sz val="9"/>
      <name val="맑은 고딕"/>
      <family val="3"/>
      <charset val="129"/>
    </font>
    <font>
      <sz val="9"/>
      <name val="돋움"/>
      <family val="2"/>
      <charset val="129"/>
    </font>
  </fonts>
  <fills count="2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FFFFFFFF"/>
        <bgColor rgb="FFFFFFFF"/>
      </patternFill>
    </fill>
    <fill>
      <patternFill patternType="solid">
        <fgColor theme="3" tint="0.79995117038483843"/>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cellStyleXfs>
  <cellXfs count="308">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4"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center"/>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0" fontId="46" fillId="17" borderId="27" xfId="0" applyFont="1" applyFill="1" applyBorder="1" applyAlignment="1">
      <alignment horizontal="left" vertical="center"/>
    </xf>
    <xf numFmtId="0" fontId="60" fillId="0" borderId="0" xfId="0" applyFont="1" applyAlignment="1">
      <alignment horizontal="left" vertical="center"/>
    </xf>
    <xf numFmtId="0" fontId="62" fillId="19" borderId="0" xfId="0" applyFont="1" applyFill="1" applyAlignment="1">
      <alignment vertical="top"/>
    </xf>
    <xf numFmtId="0" fontId="62" fillId="19" borderId="0" xfId="0" applyFont="1" applyFill="1" applyAlignment="1">
      <alignment horizontal="left" vertical="top" wrapText="1"/>
    </xf>
    <xf numFmtId="0" fontId="66" fillId="0" borderId="0" xfId="0" applyFont="1" applyAlignment="1">
      <alignment vertical="top"/>
    </xf>
    <xf numFmtId="0" fontId="67" fillId="0" borderId="0" xfId="0" applyFont="1" applyAlignment="1">
      <alignment vertical="top"/>
    </xf>
    <xf numFmtId="0" fontId="66"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0" fontId="7" fillId="0" borderId="0" xfId="0" applyFont="1"/>
    <xf numFmtId="10" fontId="7" fillId="0" borderId="0" xfId="0" applyNumberFormat="1" applyFont="1"/>
    <xf numFmtId="0" fontId="46" fillId="17" borderId="26" xfId="0" applyFont="1" applyFill="1" applyBorder="1" applyAlignment="1">
      <alignment horizontal="left" vertical="center"/>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48" fillId="15" borderId="0" xfId="0" applyFont="1" applyFill="1" applyAlignment="1">
      <alignment horizontal="left" vertical="center"/>
    </xf>
    <xf numFmtId="14" fontId="49" fillId="15" borderId="0" xfId="0" applyNumberFormat="1" applyFont="1" applyFill="1" applyAlignment="1">
      <alignment vertical="center"/>
    </xf>
    <xf numFmtId="14" fontId="50" fillId="15" borderId="0" xfId="0" applyNumberFormat="1" applyFont="1" applyFill="1" applyAlignment="1">
      <alignment horizontal="left" vertical="center" wrapText="1"/>
    </xf>
    <xf numFmtId="178" fontId="51" fillId="15" borderId="0" xfId="0" applyNumberFormat="1" applyFont="1" applyFill="1" applyAlignment="1">
      <alignment horizontal="center" vertical="center"/>
    </xf>
    <xf numFmtId="178" fontId="47" fillId="15" borderId="0" xfId="0" applyNumberFormat="1" applyFont="1" applyFill="1" applyAlignment="1">
      <alignment horizontal="center" vertical="center"/>
    </xf>
    <xf numFmtId="178" fontId="49" fillId="15" borderId="0" xfId="0" applyNumberFormat="1" applyFont="1" applyFill="1" applyAlignment="1">
      <alignment horizontal="center" vertical="center"/>
    </xf>
    <xf numFmtId="14" fontId="49" fillId="15" borderId="0" xfId="0" applyNumberFormat="1" applyFont="1" applyFill="1" applyAlignment="1">
      <alignment horizontal="center" vertical="center"/>
    </xf>
    <xf numFmtId="1" fontId="49" fillId="15" borderId="0" xfId="0" applyNumberFormat="1" applyFont="1" applyFill="1" applyAlignment="1">
      <alignment horizontal="center" vertical="center"/>
    </xf>
    <xf numFmtId="0" fontId="51" fillId="15" borderId="0" xfId="1" applyFont="1" applyFill="1" applyBorder="1" applyAlignment="1">
      <alignment vertical="center" wrapText="1"/>
    </xf>
    <xf numFmtId="0" fontId="51" fillId="15" borderId="0" xfId="1" applyNumberFormat="1" applyFont="1" applyFill="1" applyBorder="1" applyAlignment="1">
      <alignment vertical="center"/>
    </xf>
    <xf numFmtId="0" fontId="52" fillId="15" borderId="0" xfId="0" applyFont="1" applyFill="1" applyAlignment="1">
      <alignment vertical="center"/>
    </xf>
    <xf numFmtId="0" fontId="52" fillId="15" borderId="0" xfId="1" applyNumberFormat="1" applyFont="1" applyFill="1" applyBorder="1" applyAlignment="1">
      <alignment horizontal="right" vertical="center"/>
    </xf>
    <xf numFmtId="10" fontId="52" fillId="15" borderId="0" xfId="0" applyNumberFormat="1" applyFont="1" applyFill="1" applyAlignment="1">
      <alignment horizontal="right" vertical="center"/>
    </xf>
    <xf numFmtId="178" fontId="52" fillId="15" borderId="0" xfId="1" applyNumberFormat="1" applyFont="1" applyFill="1" applyBorder="1" applyAlignment="1">
      <alignment horizontal="right" vertical="center"/>
    </xf>
    <xf numFmtId="0" fontId="53" fillId="15" borderId="0" xfId="1" applyNumberFormat="1" applyFont="1" applyFill="1" applyBorder="1" applyAlignment="1">
      <alignment vertical="center"/>
    </xf>
    <xf numFmtId="0" fontId="53" fillId="15" borderId="0" xfId="1" applyNumberFormat="1" applyFont="1" applyFill="1" applyBorder="1" applyAlignment="1">
      <alignment horizontal="right" vertical="center"/>
    </xf>
    <xf numFmtId="0" fontId="18" fillId="0" borderId="23" xfId="0" applyFont="1" applyBorder="1" applyAlignment="1" applyProtection="1">
      <alignment vertical="center"/>
      <protection locked="0"/>
    </xf>
    <xf numFmtId="0" fontId="18" fillId="0" borderId="23" xfId="0" quotePrefix="1" applyFont="1" applyBorder="1" applyAlignment="1" applyProtection="1">
      <alignment horizontal="left" vertical="center"/>
      <protection locked="0"/>
    </xf>
    <xf numFmtId="14" fontId="18" fillId="0" borderId="23" xfId="0" applyNumberFormat="1" applyFont="1" applyBorder="1" applyAlignment="1" applyProtection="1">
      <alignment horizontal="center" vertical="center"/>
      <protection locked="0"/>
    </xf>
    <xf numFmtId="178" fontId="18" fillId="0" borderId="23" xfId="0" applyNumberFormat="1" applyFont="1" applyBorder="1" applyAlignment="1" applyProtection="1">
      <alignment horizontal="center" vertical="center"/>
      <protection locked="0"/>
    </xf>
    <xf numFmtId="177" fontId="18" fillId="0" borderId="23" xfId="0" applyNumberFormat="1" applyFont="1" applyBorder="1" applyAlignment="1" applyProtection="1">
      <alignment horizontal="center" vertical="center"/>
      <protection locked="0"/>
    </xf>
    <xf numFmtId="1" fontId="18" fillId="0" borderId="23" xfId="0" applyNumberFormat="1" applyFont="1" applyBorder="1" applyAlignment="1" applyProtection="1">
      <alignment horizontal="center" vertical="center"/>
      <protection locked="0"/>
    </xf>
    <xf numFmtId="10" fontId="18" fillId="0" borderId="23" xfId="2" applyNumberFormat="1" applyFont="1" applyFill="1" applyBorder="1" applyAlignment="1" applyProtection="1">
      <alignment horizontal="right" vertical="center" wrapText="1"/>
      <protection locked="0"/>
    </xf>
    <xf numFmtId="10" fontId="58" fillId="19" borderId="23" xfId="2" applyNumberFormat="1" applyFont="1" applyFill="1" applyBorder="1" applyAlignment="1" applyProtection="1">
      <alignment horizontal="right" vertical="center"/>
      <protection locked="0"/>
    </xf>
    <xf numFmtId="10" fontId="58" fillId="15" borderId="23" xfId="2" applyNumberFormat="1" applyFont="1" applyFill="1" applyBorder="1" applyAlignment="1" applyProtection="1">
      <alignment horizontal="right" vertical="center"/>
      <protection locked="0"/>
    </xf>
    <xf numFmtId="10" fontId="18" fillId="15" borderId="23" xfId="2" applyNumberFormat="1" applyFont="1" applyFill="1" applyBorder="1" applyAlignment="1" applyProtection="1">
      <alignment horizontal="right" vertical="center"/>
      <protection locked="0"/>
    </xf>
    <xf numFmtId="10" fontId="18" fillId="15" borderId="23" xfId="2" applyNumberFormat="1" applyFont="1" applyFill="1" applyBorder="1" applyAlignment="1" applyProtection="1">
      <alignment horizontal="right" vertical="center" wrapText="1"/>
      <protection locked="0"/>
    </xf>
    <xf numFmtId="10" fontId="18" fillId="22" borderId="23" xfId="2" applyNumberFormat="1" applyFont="1" applyFill="1" applyBorder="1" applyAlignment="1" applyProtection="1">
      <alignment horizontal="right" vertical="center"/>
      <protection locked="0"/>
    </xf>
    <xf numFmtId="10" fontId="58" fillId="22" borderId="23" xfId="2" applyNumberFormat="1" applyFont="1" applyFill="1" applyBorder="1" applyAlignment="1" applyProtection="1">
      <alignment horizontal="right" vertical="center"/>
      <protection locked="0"/>
    </xf>
    <xf numFmtId="0" fontId="18" fillId="0" borderId="30" xfId="0" applyFont="1" applyBorder="1" applyAlignment="1" applyProtection="1">
      <alignment vertical="center"/>
      <protection locked="0"/>
    </xf>
    <xf numFmtId="0" fontId="18" fillId="0" borderId="30" xfId="0" applyFont="1" applyBorder="1" applyAlignment="1" applyProtection="1">
      <alignment horizontal="center" vertical="center"/>
      <protection locked="0"/>
    </xf>
    <xf numFmtId="0" fontId="18" fillId="0" borderId="30" xfId="0" applyFont="1" applyBorder="1" applyAlignment="1" applyProtection="1">
      <alignment horizontal="left" vertical="center"/>
      <protection locked="0"/>
    </xf>
    <xf numFmtId="14" fontId="18" fillId="0" borderId="30" xfId="0" applyNumberFormat="1" applyFont="1" applyBorder="1" applyAlignment="1" applyProtection="1">
      <alignment horizontal="center" vertical="center"/>
      <protection locked="0"/>
    </xf>
    <xf numFmtId="178" fontId="18" fillId="0" borderId="30" xfId="0" applyNumberFormat="1" applyFont="1" applyBorder="1" applyAlignment="1" applyProtection="1">
      <alignment horizontal="center" vertical="center"/>
      <protection locked="0"/>
    </xf>
    <xf numFmtId="177" fontId="18" fillId="0" borderId="30" xfId="0" applyNumberFormat="1" applyFont="1" applyBorder="1" applyAlignment="1" applyProtection="1">
      <alignment horizontal="center" vertical="center"/>
      <protection locked="0"/>
    </xf>
    <xf numFmtId="1" fontId="18" fillId="0" borderId="30" xfId="0" applyNumberFormat="1" applyFont="1" applyBorder="1" applyAlignment="1" applyProtection="1">
      <alignment horizontal="center" vertical="center"/>
      <protection locked="0"/>
    </xf>
    <xf numFmtId="10" fontId="18" fillId="0" borderId="30" xfId="0" applyNumberFormat="1" applyFont="1" applyBorder="1" applyAlignment="1" applyProtection="1">
      <alignment horizontal="right" vertical="center" wrapText="1"/>
      <protection locked="0"/>
    </xf>
    <xf numFmtId="10" fontId="18" fillId="0" borderId="30" xfId="0" applyNumberFormat="1" applyFont="1" applyBorder="1" applyAlignment="1" applyProtection="1">
      <alignment horizontal="right" vertical="center"/>
      <protection locked="0"/>
    </xf>
    <xf numFmtId="0" fontId="18" fillId="0" borderId="5" xfId="0" applyFont="1" applyBorder="1" applyAlignment="1" applyProtection="1">
      <alignment vertical="center"/>
      <protection locked="0"/>
    </xf>
    <xf numFmtId="0" fontId="18" fillId="0" borderId="5" xfId="0" applyFont="1" applyBorder="1" applyAlignment="1" applyProtection="1">
      <alignment horizontal="center" vertical="center"/>
      <protection locked="0"/>
    </xf>
    <xf numFmtId="0" fontId="18" fillId="0" borderId="5" xfId="0" applyFont="1" applyBorder="1" applyAlignment="1" applyProtection="1">
      <alignment horizontal="left" vertical="center"/>
      <protection locked="0"/>
    </xf>
    <xf numFmtId="14" fontId="18" fillId="0" borderId="5" xfId="0" applyNumberFormat="1" applyFont="1" applyBorder="1" applyAlignment="1" applyProtection="1">
      <alignment horizontal="center" vertical="center"/>
      <protection locked="0"/>
    </xf>
    <xf numFmtId="178" fontId="18" fillId="0" borderId="5" xfId="0" applyNumberFormat="1" applyFont="1" applyBorder="1" applyAlignment="1" applyProtection="1">
      <alignment horizontal="center" vertical="center"/>
      <protection locked="0"/>
    </xf>
    <xf numFmtId="177" fontId="18" fillId="0" borderId="5" xfId="0" applyNumberFormat="1" applyFont="1" applyBorder="1" applyAlignment="1" applyProtection="1">
      <alignment horizontal="center" vertical="center"/>
      <protection locked="0"/>
    </xf>
    <xf numFmtId="1" fontId="18" fillId="0" borderId="5" xfId="0" applyNumberFormat="1" applyFont="1" applyBorder="1" applyAlignment="1" applyProtection="1">
      <alignment horizontal="center" vertical="center"/>
      <protection locked="0"/>
    </xf>
    <xf numFmtId="10" fontId="18" fillId="0" borderId="5" xfId="0" applyNumberFormat="1" applyFont="1" applyBorder="1" applyAlignment="1" applyProtection="1">
      <alignment horizontal="right" vertical="center" wrapText="1"/>
      <protection locked="0"/>
    </xf>
    <xf numFmtId="10" fontId="18" fillId="0" borderId="5" xfId="0" applyNumberFormat="1" applyFont="1" applyBorder="1" applyAlignment="1" applyProtection="1">
      <alignment horizontal="right" vertical="center"/>
      <protection locked="0"/>
    </xf>
    <xf numFmtId="0" fontId="45" fillId="15" borderId="0" xfId="0" applyFont="1" applyFill="1" applyAlignment="1">
      <alignment horizontal="left" vertical="center"/>
    </xf>
    <xf numFmtId="10" fontId="18" fillId="19" borderId="23" xfId="2" applyNumberFormat="1" applyFont="1" applyFill="1" applyBorder="1" applyAlignment="1" applyProtection="1">
      <alignment horizontal="right" vertical="center"/>
      <protection locked="0"/>
    </xf>
    <xf numFmtId="0" fontId="68" fillId="0" borderId="23" xfId="0" applyFont="1" applyBorder="1" applyAlignment="1">
      <alignment vertical="center"/>
    </xf>
    <xf numFmtId="0" fontId="69" fillId="0" borderId="23" xfId="0" applyFont="1" applyBorder="1" applyAlignment="1">
      <alignment horizontal="left" vertical="center"/>
    </xf>
    <xf numFmtId="0" fontId="68" fillId="23" borderId="23" xfId="0" applyFont="1" applyFill="1" applyBorder="1" applyAlignment="1">
      <alignment vertical="center"/>
    </xf>
    <xf numFmtId="0" fontId="69" fillId="23" borderId="23" xfId="0" applyFont="1" applyFill="1" applyBorder="1" applyAlignment="1">
      <alignment horizontal="left" vertical="center"/>
    </xf>
    <xf numFmtId="0" fontId="69" fillId="0" borderId="23" xfId="0" applyFont="1" applyBorder="1" applyAlignment="1">
      <alignment vertical="center"/>
    </xf>
    <xf numFmtId="0" fontId="68" fillId="0" borderId="23" xfId="0" applyFont="1" applyBorder="1" applyAlignment="1">
      <alignment horizontal="left" vertical="center"/>
    </xf>
    <xf numFmtId="0" fontId="71" fillId="0" borderId="23" xfId="0" applyFont="1" applyBorder="1" applyAlignment="1">
      <alignment horizontal="left" vertical="center" wrapText="1"/>
    </xf>
    <xf numFmtId="0" fontId="72" fillId="0" borderId="23" xfId="0" applyFont="1" applyBorder="1" applyAlignment="1">
      <alignment horizontal="left" vertical="center"/>
    </xf>
    <xf numFmtId="180" fontId="68" fillId="0" borderId="23" xfId="0" applyNumberFormat="1" applyFont="1" applyBorder="1" applyAlignment="1">
      <alignment horizontal="center" vertical="center"/>
    </xf>
    <xf numFmtId="180" fontId="70" fillId="0" borderId="23" xfId="0" applyNumberFormat="1" applyFont="1" applyBorder="1" applyAlignment="1">
      <alignment horizontal="center" vertical="center"/>
    </xf>
    <xf numFmtId="0" fontId="7" fillId="0" borderId="0" xfId="0" quotePrefix="1" applyFont="1"/>
    <xf numFmtId="0" fontId="2" fillId="0" borderId="0" xfId="1" quotePrefix="1" applyBorder="1"/>
    <xf numFmtId="14" fontId="73" fillId="24" borderId="0" xfId="0" quotePrefix="1" applyNumberFormat="1" applyFont="1" applyFill="1"/>
    <xf numFmtId="0" fontId="2" fillId="24" borderId="0" xfId="1" quotePrefix="1" applyFill="1" applyBorder="1"/>
    <xf numFmtId="0" fontId="7" fillId="24" borderId="0" xfId="0" quotePrefix="1" applyFont="1" applyFill="1"/>
    <xf numFmtId="14" fontId="7" fillId="24" borderId="0" xfId="0" applyNumberFormat="1" applyFont="1" applyFill="1"/>
    <xf numFmtId="10" fontId="7" fillId="24" borderId="0" xfId="0" applyNumberFormat="1" applyFont="1" applyFill="1"/>
    <xf numFmtId="0" fontId="7" fillId="24" borderId="0" xfId="0" applyFont="1" applyFill="1"/>
    <xf numFmtId="0" fontId="73" fillId="24" borderId="0" xfId="0" quotePrefix="1" applyFont="1" applyFill="1"/>
    <xf numFmtId="0" fontId="73" fillId="24" borderId="0" xfId="0" applyFont="1" applyFill="1"/>
    <xf numFmtId="10" fontId="74" fillId="0" borderId="0" xfId="0" applyNumberFormat="1" applyFont="1"/>
    <xf numFmtId="10" fontId="74" fillId="24" borderId="0" xfId="0" applyNumberFormat="1" applyFont="1" applyFill="1"/>
    <xf numFmtId="0" fontId="75" fillId="0" borderId="23" xfId="0" applyFont="1" applyBorder="1" applyAlignment="1">
      <alignment horizontal="left" vertical="center"/>
    </xf>
    <xf numFmtId="0" fontId="18" fillId="12" borderId="23" xfId="0" quotePrefix="1" applyFont="1" applyFill="1" applyBorder="1" applyAlignment="1" applyProtection="1">
      <alignment horizontal="left" vertical="center"/>
      <protection locked="0"/>
    </xf>
    <xf numFmtId="10" fontId="18" fillId="0" borderId="23" xfId="2" applyNumberFormat="1" applyFont="1" applyFill="1" applyBorder="1" applyAlignment="1" applyProtection="1">
      <alignment horizontal="right" vertical="center"/>
      <protection locked="0"/>
    </xf>
    <xf numFmtId="10" fontId="18" fillId="19" borderId="23" xfId="2" applyNumberFormat="1" applyFont="1" applyFill="1" applyBorder="1" applyAlignment="1" applyProtection="1">
      <alignment horizontal="right" vertical="center" wrapText="1"/>
      <protection locked="0"/>
    </xf>
    <xf numFmtId="0" fontId="58" fillId="0" borderId="23" xfId="0" quotePrefix="1" applyFont="1" applyBorder="1" applyAlignment="1" applyProtection="1">
      <alignment horizontal="left" vertical="center"/>
      <protection locked="0"/>
    </xf>
    <xf numFmtId="0" fontId="58" fillId="0" borderId="23" xfId="0" applyFont="1" applyBorder="1" applyAlignment="1" applyProtection="1">
      <alignment horizontal="left" vertical="center"/>
      <protection locked="0"/>
    </xf>
    <xf numFmtId="10" fontId="58" fillId="25" borderId="23" xfId="2" applyNumberFormat="1" applyFont="1" applyFill="1" applyBorder="1" applyAlignment="1" applyProtection="1">
      <alignment horizontal="right" vertical="center"/>
      <protection locked="0"/>
    </xf>
    <xf numFmtId="0" fontId="75" fillId="0" borderId="23" xfId="0" applyFont="1" applyBorder="1" applyAlignment="1">
      <alignment vertical="center"/>
    </xf>
    <xf numFmtId="0" fontId="76" fillId="0" borderId="23" xfId="0" applyFont="1" applyBorder="1" applyAlignment="1">
      <alignment vertical="center"/>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31" fillId="17" borderId="27" xfId="0" applyFont="1" applyFill="1" applyBorder="1" applyAlignment="1">
      <alignment horizontal="left" vertical="center"/>
    </xf>
    <xf numFmtId="14" fontId="17" fillId="7" borderId="2" xfId="0" applyNumberFormat="1" applyFont="1" applyFill="1" applyBorder="1" applyAlignment="1">
      <alignment horizontal="center" vertical="center"/>
    </xf>
    <xf numFmtId="14" fontId="17" fillId="16" borderId="2" xfId="0" applyNumberFormat="1" applyFont="1" applyFill="1" applyBorder="1" applyAlignment="1">
      <alignment horizontal="center" vertical="center"/>
    </xf>
    <xf numFmtId="14" fontId="18" fillId="7" borderId="2" xfId="0" applyNumberFormat="1" applyFont="1" applyFill="1" applyBorder="1" applyAlignment="1">
      <alignment horizontal="center" vertical="center"/>
    </xf>
    <xf numFmtId="14" fontId="18" fillId="16" borderId="2" xfId="0" applyNumberFormat="1" applyFont="1" applyFill="1" applyBorder="1" applyAlignment="1">
      <alignment horizontal="center" vertical="center"/>
    </xf>
    <xf numFmtId="14" fontId="17" fillId="7"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17" fillId="7" borderId="2" xfId="0" applyFont="1" applyFill="1" applyBorder="1" applyAlignment="1">
      <alignment horizontal="center" vertical="center"/>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0" fontId="18" fillId="7" borderId="2" xfId="0" applyFont="1" applyFill="1" applyBorder="1" applyAlignment="1">
      <alignment horizontal="center" vertical="center"/>
    </xf>
    <xf numFmtId="0" fontId="18" fillId="16" borderId="2" xfId="0" applyFont="1" applyFill="1" applyBorder="1" applyAlignment="1">
      <alignment horizontal="center" vertical="center"/>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1" fillId="0" borderId="18" xfId="0" applyFont="1" applyBorder="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5"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0" fontId="72" fillId="0" borderId="23" xfId="0" applyFont="1" applyBorder="1" applyAlignment="1">
      <alignment vertical="center"/>
    </xf>
  </cellXfs>
  <cellStyles count="3">
    <cellStyle name="백분율" xfId="2" builtinId="5"/>
    <cellStyle name="표준" xfId="0" builtinId="0"/>
    <cellStyle name="하이퍼링크" xfId="1" builtinId="8"/>
  </cellStyles>
  <dxfs count="8">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2592FF"/>
      <color rgb="FF009900"/>
      <color rgb="FFFFFF99"/>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sheetMetadata" Target="metadata.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sharedStrings" Target="sharedStrings.xml" /><Relationship Id="rId5" Type="http://schemas.openxmlformats.org/officeDocument/2006/relationships/worksheet" Target="worksheets/sheet5.xml" /><Relationship Id="rId10" Type="http://schemas.openxmlformats.org/officeDocument/2006/relationships/styles" Target="styles.xml" /><Relationship Id="rId4" Type="http://schemas.openxmlformats.org/officeDocument/2006/relationships/worksheet" Target="worksheets/sheet4.xml" /><Relationship Id="rId9" Type="http://schemas.openxmlformats.org/officeDocument/2006/relationships/theme" Target="theme/theme1.xml" /><Relationship Id="rId14" Type="http://schemas.microsoft.com/office/2006/relationships/vbaProject" Target="vbaProject.bin" /></Relationships>
</file>

<file path=xl/drawings/drawing1.xml><?xml version="1.0" encoding="utf-8"?>
<xdr:wsDr xmlns:xdr="http://schemas.openxmlformats.org/drawingml/2006/spreadsheetDrawing" xmlns:a="http://schemas.openxmlformats.org/drawingml/2006/main">
  <xdr:twoCellAnchor>
    <xdr:from>
      <xdr:col>30</xdr:col>
      <xdr:colOff>622663</xdr:colOff>
      <xdr:row>47</xdr:row>
      <xdr:rowOff>15240</xdr:rowOff>
    </xdr:from>
    <xdr:to>
      <xdr:col>31</xdr:col>
      <xdr:colOff>0</xdr:colOff>
      <xdr:row>47</xdr:row>
      <xdr:rowOff>129540</xdr:rowOff>
    </xdr:to>
    <xdr:sp macro="" textlink="">
      <xdr:nvSpPr>
        <xdr:cNvPr id="121" name="44">
          <a:extLst>
            <a:ext uri="{FF2B5EF4-FFF2-40B4-BE49-F238E27FC236}">
              <a16:creationId xmlns:a16="http://schemas.microsoft.com/office/drawing/2014/main" id="{47725D3E-16DD-40A3-997B-CBB7C065B702}"/>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30</xdr:col>
      <xdr:colOff>622663</xdr:colOff>
      <xdr:row>47</xdr:row>
      <xdr:rowOff>72390</xdr:rowOff>
    </xdr:to>
    <xdr:cxnSp macro="">
      <xdr:nvCxnSpPr>
        <xdr:cNvPr id="122" name="직선 화살표 연결선 121">
          <a:extLst>
            <a:ext uri="{FF2B5EF4-FFF2-40B4-BE49-F238E27FC236}">
              <a16:creationId xmlns:a16="http://schemas.microsoft.com/office/drawing/2014/main" id="{CE85DEEC-E881-4A67-A832-D6E5E1738B50}"/>
            </a:ext>
          </a:extLst>
        </xdr:cNvPr>
        <xdr:cNvCxnSpPr/>
      </xdr:nvCxnSpPr>
      <xdr:spPr>
        <a:xfrm>
          <a:off x="11366863"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123" name="43">
          <a:extLst>
            <a:ext uri="{FF2B5EF4-FFF2-40B4-BE49-F238E27FC236}">
              <a16:creationId xmlns:a16="http://schemas.microsoft.com/office/drawing/2014/main" id="{6A26EDB5-53EF-46EC-A7B2-F27D77FAD818}"/>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30</xdr:col>
      <xdr:colOff>622663</xdr:colOff>
      <xdr:row>46</xdr:row>
      <xdr:rowOff>72390</xdr:rowOff>
    </xdr:to>
    <xdr:cxnSp macro="">
      <xdr:nvCxnSpPr>
        <xdr:cNvPr id="124" name="직선 화살표 연결선 123">
          <a:extLst>
            <a:ext uri="{FF2B5EF4-FFF2-40B4-BE49-F238E27FC236}">
              <a16:creationId xmlns:a16="http://schemas.microsoft.com/office/drawing/2014/main" id="{6832A363-28B3-49A1-BE7A-884904BCFAEB}"/>
            </a:ext>
          </a:extLst>
        </xdr:cNvPr>
        <xdr:cNvCxnSpPr/>
      </xdr:nvCxnSpPr>
      <xdr:spPr>
        <a:xfrm>
          <a:off x="11366863"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125" name="42">
          <a:extLst>
            <a:ext uri="{FF2B5EF4-FFF2-40B4-BE49-F238E27FC236}">
              <a16:creationId xmlns:a16="http://schemas.microsoft.com/office/drawing/2014/main" id="{033B7DC9-65A8-4630-858C-3AFC88D7AA14}"/>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30</xdr:col>
      <xdr:colOff>622663</xdr:colOff>
      <xdr:row>45</xdr:row>
      <xdr:rowOff>72390</xdr:rowOff>
    </xdr:to>
    <xdr:cxnSp macro="">
      <xdr:nvCxnSpPr>
        <xdr:cNvPr id="126" name="직선 화살표 연결선 125">
          <a:extLst>
            <a:ext uri="{FF2B5EF4-FFF2-40B4-BE49-F238E27FC236}">
              <a16:creationId xmlns:a16="http://schemas.microsoft.com/office/drawing/2014/main" id="{9FB5AE73-787A-4F19-88F2-361C55E873FE}"/>
            </a:ext>
          </a:extLst>
        </xdr:cNvPr>
        <xdr:cNvCxnSpPr/>
      </xdr:nvCxnSpPr>
      <xdr:spPr>
        <a:xfrm>
          <a:off x="11366863"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127" name="41">
          <a:extLst>
            <a:ext uri="{FF2B5EF4-FFF2-40B4-BE49-F238E27FC236}">
              <a16:creationId xmlns:a16="http://schemas.microsoft.com/office/drawing/2014/main" id="{853D7E46-9996-45D0-BAA6-58F338C39DE6}"/>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30</xdr:col>
      <xdr:colOff>622663</xdr:colOff>
      <xdr:row>44</xdr:row>
      <xdr:rowOff>72390</xdr:rowOff>
    </xdr:to>
    <xdr:cxnSp macro="">
      <xdr:nvCxnSpPr>
        <xdr:cNvPr id="22976" name="직선 화살표 연결선 22975">
          <a:extLst>
            <a:ext uri="{FF2B5EF4-FFF2-40B4-BE49-F238E27FC236}">
              <a16:creationId xmlns:a16="http://schemas.microsoft.com/office/drawing/2014/main" id="{6584522A-87B5-4A0C-8397-68886C476BF1}"/>
            </a:ext>
          </a:extLst>
        </xdr:cNvPr>
        <xdr:cNvCxnSpPr/>
      </xdr:nvCxnSpPr>
      <xdr:spPr>
        <a:xfrm>
          <a:off x="11366863"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3140" name="10">
          <a:extLst>
            <a:ext uri="{FF2B5EF4-FFF2-40B4-BE49-F238E27FC236}">
              <a16:creationId xmlns:a16="http://schemas.microsoft.com/office/drawing/2014/main" id="{3DB34EBB-1A38-45AC-9DF4-123BBEBA0B6C}"/>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30</xdr:col>
      <xdr:colOff>622663</xdr:colOff>
      <xdr:row>13</xdr:row>
      <xdr:rowOff>72390</xdr:rowOff>
    </xdr:to>
    <xdr:cxnSp macro="">
      <xdr:nvCxnSpPr>
        <xdr:cNvPr id="23141" name="직선 화살표 연결선 23140">
          <a:extLst>
            <a:ext uri="{FF2B5EF4-FFF2-40B4-BE49-F238E27FC236}">
              <a16:creationId xmlns:a16="http://schemas.microsoft.com/office/drawing/2014/main" id="{5C54670E-76EA-4D82-84E4-C0EF0F03CD51}"/>
            </a:ext>
          </a:extLst>
        </xdr:cNvPr>
        <xdr:cNvCxnSpPr/>
      </xdr:nvCxnSpPr>
      <xdr:spPr>
        <a:xfrm>
          <a:off x="11366863"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3142" name="9">
          <a:extLst>
            <a:ext uri="{FF2B5EF4-FFF2-40B4-BE49-F238E27FC236}">
              <a16:creationId xmlns:a16="http://schemas.microsoft.com/office/drawing/2014/main" id="{8D032937-4CB9-4109-9EA1-9CE1B959999E}"/>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30</xdr:col>
      <xdr:colOff>622663</xdr:colOff>
      <xdr:row>12</xdr:row>
      <xdr:rowOff>72390</xdr:rowOff>
    </xdr:to>
    <xdr:cxnSp macro="">
      <xdr:nvCxnSpPr>
        <xdr:cNvPr id="23143" name="직선 화살표 연결선 23142">
          <a:extLst>
            <a:ext uri="{FF2B5EF4-FFF2-40B4-BE49-F238E27FC236}">
              <a16:creationId xmlns:a16="http://schemas.microsoft.com/office/drawing/2014/main" id="{63BA969B-7968-4787-B851-3E245A7E3DD9}"/>
            </a:ext>
          </a:extLst>
        </xdr:cNvPr>
        <xdr:cNvCxnSpPr/>
      </xdr:nvCxnSpPr>
      <xdr:spPr>
        <a:xfrm>
          <a:off x="11366863"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3144" name="8">
          <a:extLst>
            <a:ext uri="{FF2B5EF4-FFF2-40B4-BE49-F238E27FC236}">
              <a16:creationId xmlns:a16="http://schemas.microsoft.com/office/drawing/2014/main" id="{2C2F25F8-B796-4EDD-A6D7-14ECD691563A}"/>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3145" name="직선 화살표 연결선 23144">
          <a:extLst>
            <a:ext uri="{FF2B5EF4-FFF2-40B4-BE49-F238E27FC236}">
              <a16:creationId xmlns:a16="http://schemas.microsoft.com/office/drawing/2014/main" id="{7B21DFD4-EDBF-42D3-8E17-9A877F856602}"/>
            </a:ext>
          </a:extLst>
        </xdr:cNvPr>
        <xdr:cNvCxnSpPr/>
      </xdr:nvCxnSpPr>
      <xdr:spPr>
        <a:xfrm>
          <a:off x="11366863" y="1958340"/>
          <a:ext cx="310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3146" name="7">
          <a:extLst>
            <a:ext uri="{FF2B5EF4-FFF2-40B4-BE49-F238E27FC236}">
              <a16:creationId xmlns:a16="http://schemas.microsoft.com/office/drawing/2014/main" id="{2EB4E5CC-AECF-4147-A7BE-65C26EC19106}"/>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3147" name="6">
          <a:extLst>
            <a:ext uri="{FF2B5EF4-FFF2-40B4-BE49-F238E27FC236}">
              <a16:creationId xmlns:a16="http://schemas.microsoft.com/office/drawing/2014/main" id="{216C3B98-28A6-453B-8AF0-62F7F26FB656}"/>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3148" name="직선 화살표 연결선 23147">
          <a:extLst>
            <a:ext uri="{FF2B5EF4-FFF2-40B4-BE49-F238E27FC236}">
              <a16:creationId xmlns:a16="http://schemas.microsoft.com/office/drawing/2014/main" id="{0C5D3059-C789-491D-BBF1-6F90F62CD65A}"/>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3149" name="5">
          <a:extLst>
            <a:ext uri="{FF2B5EF4-FFF2-40B4-BE49-F238E27FC236}">
              <a16:creationId xmlns:a16="http://schemas.microsoft.com/office/drawing/2014/main" id="{CFD1C332-5917-4CBF-9D72-5E8A0AE21440}"/>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3150" name="직선 화살표 연결선 23149">
          <a:extLst>
            <a:ext uri="{FF2B5EF4-FFF2-40B4-BE49-F238E27FC236}">
              <a16:creationId xmlns:a16="http://schemas.microsoft.com/office/drawing/2014/main" id="{27C789E4-8E94-42DE-B214-BF848F706DCD}"/>
            </a:ext>
          </a:extLst>
        </xdr:cNvPr>
        <xdr:cNvCxnSpPr/>
      </xdr:nvCxnSpPr>
      <xdr:spPr>
        <a:xfrm>
          <a:off x="11366863" y="1501140"/>
          <a:ext cx="1396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3151" name="4">
          <a:extLst>
            <a:ext uri="{FF2B5EF4-FFF2-40B4-BE49-F238E27FC236}">
              <a16:creationId xmlns:a16="http://schemas.microsoft.com/office/drawing/2014/main" id="{F2B44F1E-BA13-4769-8F90-4F03C4604AF4}"/>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3152" name="직선 화살표 연결선 23151">
          <a:extLst>
            <a:ext uri="{FF2B5EF4-FFF2-40B4-BE49-F238E27FC236}">
              <a16:creationId xmlns:a16="http://schemas.microsoft.com/office/drawing/2014/main" id="{503BE8BA-D606-4576-B4B4-8F15320BFAC8}"/>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3153" name="3">
          <a:extLst>
            <a:ext uri="{FF2B5EF4-FFF2-40B4-BE49-F238E27FC236}">
              <a16:creationId xmlns:a16="http://schemas.microsoft.com/office/drawing/2014/main" id="{CA2EAE5E-A788-4F94-9B29-0264EF27EB55}"/>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3154" name="직선 화살표 연결선 23153">
          <a:extLst>
            <a:ext uri="{FF2B5EF4-FFF2-40B4-BE49-F238E27FC236}">
              <a16:creationId xmlns:a16="http://schemas.microsoft.com/office/drawing/2014/main" id="{923670B6-9F91-4854-84BA-81658FF04914}"/>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3155" name="2">
          <a:extLst>
            <a:ext uri="{FF2B5EF4-FFF2-40B4-BE49-F238E27FC236}">
              <a16:creationId xmlns:a16="http://schemas.microsoft.com/office/drawing/2014/main" id="{231AD858-6BA8-4E75-AA8B-2900D58D309E}"/>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3156" name="직선 화살표 연결선 23155">
          <a:extLst>
            <a:ext uri="{FF2B5EF4-FFF2-40B4-BE49-F238E27FC236}">
              <a16:creationId xmlns:a16="http://schemas.microsoft.com/office/drawing/2014/main" id="{C40D3B90-C553-4147-8C8B-24C8DBCE08AF}"/>
            </a:ext>
          </a:extLst>
        </xdr:cNvPr>
        <xdr:cNvCxnSpPr/>
      </xdr:nvCxnSpPr>
      <xdr:spPr>
        <a:xfrm>
          <a:off x="11366863" y="1043940"/>
          <a:ext cx="2164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3157" name="1">
          <a:extLst>
            <a:ext uri="{FF2B5EF4-FFF2-40B4-BE49-F238E27FC236}">
              <a16:creationId xmlns:a16="http://schemas.microsoft.com/office/drawing/2014/main" id="{EDA9AC59-0563-487D-863C-65FA24EAB6CE}"/>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3158" name="직선 화살표 연결선 23157">
          <a:extLst>
            <a:ext uri="{FF2B5EF4-FFF2-40B4-BE49-F238E27FC236}">
              <a16:creationId xmlns:a16="http://schemas.microsoft.com/office/drawing/2014/main" id="{B8DCE219-0BE1-4D45-A81D-60ACB169F12E}"/>
            </a:ext>
          </a:extLst>
        </xdr:cNvPr>
        <xdr:cNvCxnSpPr/>
      </xdr:nvCxnSpPr>
      <xdr:spPr>
        <a:xfrm>
          <a:off x="11366863" y="891540"/>
          <a:ext cx="37932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3280" name="44">
          <a:extLst>
            <a:ext uri="{FF2B5EF4-FFF2-40B4-BE49-F238E27FC236}">
              <a16:creationId xmlns:a16="http://schemas.microsoft.com/office/drawing/2014/main" id="{532795B3-0ADD-4676-9480-91C157DBCF21}"/>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3281" name="직선 화살표 연결선 23280">
          <a:extLst>
            <a:ext uri="{FF2B5EF4-FFF2-40B4-BE49-F238E27FC236}">
              <a16:creationId xmlns:a16="http://schemas.microsoft.com/office/drawing/2014/main" id="{ABE87824-22C5-4648-B89D-E5F15E370863}"/>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3282" name="43">
          <a:extLst>
            <a:ext uri="{FF2B5EF4-FFF2-40B4-BE49-F238E27FC236}">
              <a16:creationId xmlns:a16="http://schemas.microsoft.com/office/drawing/2014/main" id="{B8DE4BB4-8FF9-48A5-9132-2046C49333BB}"/>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3283" name="직선 화살표 연결선 23282">
          <a:extLst>
            <a:ext uri="{FF2B5EF4-FFF2-40B4-BE49-F238E27FC236}">
              <a16:creationId xmlns:a16="http://schemas.microsoft.com/office/drawing/2014/main" id="{0012029F-AD68-49C0-B8E7-8654D9BF95B2}"/>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3284" name="42">
          <a:extLst>
            <a:ext uri="{FF2B5EF4-FFF2-40B4-BE49-F238E27FC236}">
              <a16:creationId xmlns:a16="http://schemas.microsoft.com/office/drawing/2014/main" id="{5E7CB184-A11B-4292-B706-D66D47BEB857}"/>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3285" name="직선 화살표 연결선 23284">
          <a:extLst>
            <a:ext uri="{FF2B5EF4-FFF2-40B4-BE49-F238E27FC236}">
              <a16:creationId xmlns:a16="http://schemas.microsoft.com/office/drawing/2014/main" id="{CF84B3ED-1C5E-4CB8-8528-AC5F0620A7D6}"/>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3286" name="41">
          <a:extLst>
            <a:ext uri="{FF2B5EF4-FFF2-40B4-BE49-F238E27FC236}">
              <a16:creationId xmlns:a16="http://schemas.microsoft.com/office/drawing/2014/main" id="{99E88FD6-C043-4E20-81D8-2D9C254055BC}"/>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3287" name="직선 화살표 연결선 23286">
          <a:extLst>
            <a:ext uri="{FF2B5EF4-FFF2-40B4-BE49-F238E27FC236}">
              <a16:creationId xmlns:a16="http://schemas.microsoft.com/office/drawing/2014/main" id="{4BE6DEDA-B254-492E-B89F-B00F41D2953D}"/>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3347" name="10">
          <a:extLst>
            <a:ext uri="{FF2B5EF4-FFF2-40B4-BE49-F238E27FC236}">
              <a16:creationId xmlns:a16="http://schemas.microsoft.com/office/drawing/2014/main" id="{5DFBBBAD-7B4E-402B-ACB4-BA63C053BB05}"/>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3348" name="직선 화살표 연결선 23347">
          <a:extLst>
            <a:ext uri="{FF2B5EF4-FFF2-40B4-BE49-F238E27FC236}">
              <a16:creationId xmlns:a16="http://schemas.microsoft.com/office/drawing/2014/main" id="{3F66B6D7-C068-414D-BE30-C99FD8236A1C}"/>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3349" name="9">
          <a:extLst>
            <a:ext uri="{FF2B5EF4-FFF2-40B4-BE49-F238E27FC236}">
              <a16:creationId xmlns:a16="http://schemas.microsoft.com/office/drawing/2014/main" id="{EBC1E31A-4B39-4DDA-802F-7C8B60B1580A}"/>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3350" name="직선 화살표 연결선 23349">
          <a:extLst>
            <a:ext uri="{FF2B5EF4-FFF2-40B4-BE49-F238E27FC236}">
              <a16:creationId xmlns:a16="http://schemas.microsoft.com/office/drawing/2014/main" id="{69E9093E-402B-4588-8672-22FF6E793614}"/>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3351" name="8">
          <a:extLst>
            <a:ext uri="{FF2B5EF4-FFF2-40B4-BE49-F238E27FC236}">
              <a16:creationId xmlns:a16="http://schemas.microsoft.com/office/drawing/2014/main" id="{AB56765F-1CB9-4AC3-A96F-32404829590D}"/>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3352" name="직선 화살표 연결선 23351">
          <a:extLst>
            <a:ext uri="{FF2B5EF4-FFF2-40B4-BE49-F238E27FC236}">
              <a16:creationId xmlns:a16="http://schemas.microsoft.com/office/drawing/2014/main" id="{03B6B501-83E4-4A1E-BECB-98B8B6A0D3BE}"/>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3353" name="7">
          <a:extLst>
            <a:ext uri="{FF2B5EF4-FFF2-40B4-BE49-F238E27FC236}">
              <a16:creationId xmlns:a16="http://schemas.microsoft.com/office/drawing/2014/main" id="{FA6349C4-D2D2-45FE-99E8-0BFF4E9E5685}"/>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3354" name="6">
          <a:extLst>
            <a:ext uri="{FF2B5EF4-FFF2-40B4-BE49-F238E27FC236}">
              <a16:creationId xmlns:a16="http://schemas.microsoft.com/office/drawing/2014/main" id="{0EAC44E1-A515-4E78-98FA-32CDDAFF1A02}"/>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3355" name="직선 화살표 연결선 23354">
          <a:extLst>
            <a:ext uri="{FF2B5EF4-FFF2-40B4-BE49-F238E27FC236}">
              <a16:creationId xmlns:a16="http://schemas.microsoft.com/office/drawing/2014/main" id="{0BF812F5-4CC2-4493-A7B1-06A9B0A913E4}"/>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3356" name="5">
          <a:extLst>
            <a:ext uri="{FF2B5EF4-FFF2-40B4-BE49-F238E27FC236}">
              <a16:creationId xmlns:a16="http://schemas.microsoft.com/office/drawing/2014/main" id="{CAD968CD-1606-4AAB-96A5-02BBA7E289F5}"/>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3357" name="직선 화살표 연결선 23356">
          <a:extLst>
            <a:ext uri="{FF2B5EF4-FFF2-40B4-BE49-F238E27FC236}">
              <a16:creationId xmlns:a16="http://schemas.microsoft.com/office/drawing/2014/main" id="{78E3B0AF-EFAB-4BD2-8CCC-0E5A89662B05}"/>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3358" name="4">
          <a:extLst>
            <a:ext uri="{FF2B5EF4-FFF2-40B4-BE49-F238E27FC236}">
              <a16:creationId xmlns:a16="http://schemas.microsoft.com/office/drawing/2014/main" id="{7EFAFB79-4AE2-4F7D-ABBE-0254A6370E36}"/>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3359" name="직선 화살표 연결선 23358">
          <a:extLst>
            <a:ext uri="{FF2B5EF4-FFF2-40B4-BE49-F238E27FC236}">
              <a16:creationId xmlns:a16="http://schemas.microsoft.com/office/drawing/2014/main" id="{BF2555FD-F137-4FD3-85D3-52D1A53061DD}"/>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3360" name="3">
          <a:extLst>
            <a:ext uri="{FF2B5EF4-FFF2-40B4-BE49-F238E27FC236}">
              <a16:creationId xmlns:a16="http://schemas.microsoft.com/office/drawing/2014/main" id="{46977E04-1DE1-4684-8AD1-596BD03285D9}"/>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3361" name="직선 화살표 연결선 23360">
          <a:extLst>
            <a:ext uri="{FF2B5EF4-FFF2-40B4-BE49-F238E27FC236}">
              <a16:creationId xmlns:a16="http://schemas.microsoft.com/office/drawing/2014/main" id="{BFD2FD3F-C191-4E95-A7C6-29887D710DCB}"/>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3362" name="2">
          <a:extLst>
            <a:ext uri="{FF2B5EF4-FFF2-40B4-BE49-F238E27FC236}">
              <a16:creationId xmlns:a16="http://schemas.microsoft.com/office/drawing/2014/main" id="{73AC2040-A407-45CA-9610-59489EB05C70}"/>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3363" name="직선 화살표 연결선 23362">
          <a:extLst>
            <a:ext uri="{FF2B5EF4-FFF2-40B4-BE49-F238E27FC236}">
              <a16:creationId xmlns:a16="http://schemas.microsoft.com/office/drawing/2014/main" id="{1F30484B-663A-4312-915B-C8B220284D16}"/>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3364" name="1">
          <a:extLst>
            <a:ext uri="{FF2B5EF4-FFF2-40B4-BE49-F238E27FC236}">
              <a16:creationId xmlns:a16="http://schemas.microsoft.com/office/drawing/2014/main" id="{085CF361-6E94-4969-B4A6-562D1DC45E61}"/>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3365" name="직선 화살표 연결선 23364">
          <a:extLst>
            <a:ext uri="{FF2B5EF4-FFF2-40B4-BE49-F238E27FC236}">
              <a16:creationId xmlns:a16="http://schemas.microsoft.com/office/drawing/2014/main" id="{F4AE67CD-62B2-4B94-B82D-2E6D6E7811A6}"/>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3487" name="44">
          <a:extLst>
            <a:ext uri="{FF2B5EF4-FFF2-40B4-BE49-F238E27FC236}">
              <a16:creationId xmlns:a16="http://schemas.microsoft.com/office/drawing/2014/main" id="{7D8ED02A-D052-4C80-BEBD-85EBA603FFAA}"/>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3488" name="직선 화살표 연결선 23487">
          <a:extLst>
            <a:ext uri="{FF2B5EF4-FFF2-40B4-BE49-F238E27FC236}">
              <a16:creationId xmlns:a16="http://schemas.microsoft.com/office/drawing/2014/main" id="{57F5179B-62F7-4EB9-AFE1-31DC33CE3B48}"/>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3489" name="43">
          <a:extLst>
            <a:ext uri="{FF2B5EF4-FFF2-40B4-BE49-F238E27FC236}">
              <a16:creationId xmlns:a16="http://schemas.microsoft.com/office/drawing/2014/main" id="{2BD5FD73-7BE6-494B-A1F7-7111E777D79D}"/>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3490" name="직선 화살표 연결선 23489">
          <a:extLst>
            <a:ext uri="{FF2B5EF4-FFF2-40B4-BE49-F238E27FC236}">
              <a16:creationId xmlns:a16="http://schemas.microsoft.com/office/drawing/2014/main" id="{A33837E0-CE18-48F4-B99C-084DF9A613A6}"/>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3491" name="42">
          <a:extLst>
            <a:ext uri="{FF2B5EF4-FFF2-40B4-BE49-F238E27FC236}">
              <a16:creationId xmlns:a16="http://schemas.microsoft.com/office/drawing/2014/main" id="{34D51F3F-FECB-4BD0-BAAF-483678C4EB56}"/>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3492" name="직선 화살표 연결선 23491">
          <a:extLst>
            <a:ext uri="{FF2B5EF4-FFF2-40B4-BE49-F238E27FC236}">
              <a16:creationId xmlns:a16="http://schemas.microsoft.com/office/drawing/2014/main" id="{DE16A2A1-EB0B-4F64-966E-2CCFDC2E6B94}"/>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3493" name="41">
          <a:extLst>
            <a:ext uri="{FF2B5EF4-FFF2-40B4-BE49-F238E27FC236}">
              <a16:creationId xmlns:a16="http://schemas.microsoft.com/office/drawing/2014/main" id="{FCB1BCB7-ED68-4DB0-A808-6E837EF267E4}"/>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3494" name="직선 화살표 연결선 23493">
          <a:extLst>
            <a:ext uri="{FF2B5EF4-FFF2-40B4-BE49-F238E27FC236}">
              <a16:creationId xmlns:a16="http://schemas.microsoft.com/office/drawing/2014/main" id="{27FC032C-D684-45D1-A84E-1CA4D535EAEB}"/>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3554" name="10">
          <a:extLst>
            <a:ext uri="{FF2B5EF4-FFF2-40B4-BE49-F238E27FC236}">
              <a16:creationId xmlns:a16="http://schemas.microsoft.com/office/drawing/2014/main" id="{46FF70A7-5BDB-439F-951A-90E5A0CBD00B}"/>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3555" name="직선 화살표 연결선 23554">
          <a:extLst>
            <a:ext uri="{FF2B5EF4-FFF2-40B4-BE49-F238E27FC236}">
              <a16:creationId xmlns:a16="http://schemas.microsoft.com/office/drawing/2014/main" id="{A9F80FB6-0C09-4A70-BAD0-E4594D5E26EF}"/>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3556" name="9">
          <a:extLst>
            <a:ext uri="{FF2B5EF4-FFF2-40B4-BE49-F238E27FC236}">
              <a16:creationId xmlns:a16="http://schemas.microsoft.com/office/drawing/2014/main" id="{77FE7A93-343F-42EB-A3FA-4CE46C24108B}"/>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3557" name="직선 화살표 연결선 23556">
          <a:extLst>
            <a:ext uri="{FF2B5EF4-FFF2-40B4-BE49-F238E27FC236}">
              <a16:creationId xmlns:a16="http://schemas.microsoft.com/office/drawing/2014/main" id="{A138574B-1188-4BCC-ACE4-FBCC54B1B977}"/>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3558" name="8">
          <a:extLst>
            <a:ext uri="{FF2B5EF4-FFF2-40B4-BE49-F238E27FC236}">
              <a16:creationId xmlns:a16="http://schemas.microsoft.com/office/drawing/2014/main" id="{FEC28655-F73D-41CE-A1DA-116BD0D937AC}"/>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3559" name="직선 화살표 연결선 23558">
          <a:extLst>
            <a:ext uri="{FF2B5EF4-FFF2-40B4-BE49-F238E27FC236}">
              <a16:creationId xmlns:a16="http://schemas.microsoft.com/office/drawing/2014/main" id="{FEFFE40A-DFAD-46DF-9342-1496EEAD974A}"/>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3560" name="7">
          <a:extLst>
            <a:ext uri="{FF2B5EF4-FFF2-40B4-BE49-F238E27FC236}">
              <a16:creationId xmlns:a16="http://schemas.microsoft.com/office/drawing/2014/main" id="{7BF3810B-6A3D-4805-AC06-086200E61232}"/>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3561" name="6">
          <a:extLst>
            <a:ext uri="{FF2B5EF4-FFF2-40B4-BE49-F238E27FC236}">
              <a16:creationId xmlns:a16="http://schemas.microsoft.com/office/drawing/2014/main" id="{E30FEB08-4844-4687-8003-F22B481AF62A}"/>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3562" name="직선 화살표 연결선 23561">
          <a:extLst>
            <a:ext uri="{FF2B5EF4-FFF2-40B4-BE49-F238E27FC236}">
              <a16:creationId xmlns:a16="http://schemas.microsoft.com/office/drawing/2014/main" id="{A357008B-4357-4EF0-8024-3C429ADB904F}"/>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3563" name="5">
          <a:extLst>
            <a:ext uri="{FF2B5EF4-FFF2-40B4-BE49-F238E27FC236}">
              <a16:creationId xmlns:a16="http://schemas.microsoft.com/office/drawing/2014/main" id="{CD93B189-7B8A-45ED-AEC6-F3098DC13492}"/>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3564" name="직선 화살표 연결선 23563">
          <a:extLst>
            <a:ext uri="{FF2B5EF4-FFF2-40B4-BE49-F238E27FC236}">
              <a16:creationId xmlns:a16="http://schemas.microsoft.com/office/drawing/2014/main" id="{73655E6C-7229-4D17-A31A-2D00CB017888}"/>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3565" name="4">
          <a:extLst>
            <a:ext uri="{FF2B5EF4-FFF2-40B4-BE49-F238E27FC236}">
              <a16:creationId xmlns:a16="http://schemas.microsoft.com/office/drawing/2014/main" id="{41041F18-5DA4-4676-9044-6213C6AF6B02}"/>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3566" name="직선 화살표 연결선 23565">
          <a:extLst>
            <a:ext uri="{FF2B5EF4-FFF2-40B4-BE49-F238E27FC236}">
              <a16:creationId xmlns:a16="http://schemas.microsoft.com/office/drawing/2014/main" id="{D7F6D0F3-0DC5-4087-A722-F2B372052911}"/>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3567" name="3">
          <a:extLst>
            <a:ext uri="{FF2B5EF4-FFF2-40B4-BE49-F238E27FC236}">
              <a16:creationId xmlns:a16="http://schemas.microsoft.com/office/drawing/2014/main" id="{D76191FF-EB3B-4567-8E68-3EED8117300D}"/>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3568" name="직선 화살표 연결선 23567">
          <a:extLst>
            <a:ext uri="{FF2B5EF4-FFF2-40B4-BE49-F238E27FC236}">
              <a16:creationId xmlns:a16="http://schemas.microsoft.com/office/drawing/2014/main" id="{5C71A1E8-7D74-456F-AA2E-69F701AAE538}"/>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3569" name="2">
          <a:extLst>
            <a:ext uri="{FF2B5EF4-FFF2-40B4-BE49-F238E27FC236}">
              <a16:creationId xmlns:a16="http://schemas.microsoft.com/office/drawing/2014/main" id="{C6DD2553-D41A-4685-AC72-27478CBB85C7}"/>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3570" name="직선 화살표 연결선 23569">
          <a:extLst>
            <a:ext uri="{FF2B5EF4-FFF2-40B4-BE49-F238E27FC236}">
              <a16:creationId xmlns:a16="http://schemas.microsoft.com/office/drawing/2014/main" id="{CB3714C5-66F0-4F50-8171-ECDBFABA8B9E}"/>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3571" name="1">
          <a:extLst>
            <a:ext uri="{FF2B5EF4-FFF2-40B4-BE49-F238E27FC236}">
              <a16:creationId xmlns:a16="http://schemas.microsoft.com/office/drawing/2014/main" id="{B2E86927-955C-44AF-BC62-2B86887C9B05}"/>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3572" name="직선 화살표 연결선 23571">
          <a:extLst>
            <a:ext uri="{FF2B5EF4-FFF2-40B4-BE49-F238E27FC236}">
              <a16:creationId xmlns:a16="http://schemas.microsoft.com/office/drawing/2014/main" id="{D8BE312A-738A-4F15-9E82-76FB5802D5C1}"/>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3694" name="44">
          <a:extLst>
            <a:ext uri="{FF2B5EF4-FFF2-40B4-BE49-F238E27FC236}">
              <a16:creationId xmlns:a16="http://schemas.microsoft.com/office/drawing/2014/main" id="{ABB6D2D0-B6C7-4C2E-B459-EF5D1EF162C5}"/>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3695" name="직선 화살표 연결선 23694">
          <a:extLst>
            <a:ext uri="{FF2B5EF4-FFF2-40B4-BE49-F238E27FC236}">
              <a16:creationId xmlns:a16="http://schemas.microsoft.com/office/drawing/2014/main" id="{A8ED7528-6C5E-4319-90B3-A7254D592BC8}"/>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3696" name="43">
          <a:extLst>
            <a:ext uri="{FF2B5EF4-FFF2-40B4-BE49-F238E27FC236}">
              <a16:creationId xmlns:a16="http://schemas.microsoft.com/office/drawing/2014/main" id="{DC31BF8E-DC70-403B-841E-6E89FDCFDAA4}"/>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3697" name="직선 화살표 연결선 23696">
          <a:extLst>
            <a:ext uri="{FF2B5EF4-FFF2-40B4-BE49-F238E27FC236}">
              <a16:creationId xmlns:a16="http://schemas.microsoft.com/office/drawing/2014/main" id="{188803A1-6D42-4D84-8C12-1608383F8F6E}"/>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3698" name="42">
          <a:extLst>
            <a:ext uri="{FF2B5EF4-FFF2-40B4-BE49-F238E27FC236}">
              <a16:creationId xmlns:a16="http://schemas.microsoft.com/office/drawing/2014/main" id="{C84DD6F3-42E1-4F41-9C58-7EF225DB8255}"/>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3699" name="직선 화살표 연결선 23698">
          <a:extLst>
            <a:ext uri="{FF2B5EF4-FFF2-40B4-BE49-F238E27FC236}">
              <a16:creationId xmlns:a16="http://schemas.microsoft.com/office/drawing/2014/main" id="{6AB38C7F-BBCA-4E44-B484-35CD43FACCC7}"/>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3700" name="41">
          <a:extLst>
            <a:ext uri="{FF2B5EF4-FFF2-40B4-BE49-F238E27FC236}">
              <a16:creationId xmlns:a16="http://schemas.microsoft.com/office/drawing/2014/main" id="{39B9146A-6EFB-457F-8563-F81404F84788}"/>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3701" name="직선 화살표 연결선 23700">
          <a:extLst>
            <a:ext uri="{FF2B5EF4-FFF2-40B4-BE49-F238E27FC236}">
              <a16:creationId xmlns:a16="http://schemas.microsoft.com/office/drawing/2014/main" id="{63FF7E7A-47F4-495B-8F89-E954DB77BABC}"/>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3761" name="10">
          <a:extLst>
            <a:ext uri="{FF2B5EF4-FFF2-40B4-BE49-F238E27FC236}">
              <a16:creationId xmlns:a16="http://schemas.microsoft.com/office/drawing/2014/main" id="{2580A57B-6AA1-401C-9026-8692FC38A7E7}"/>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3762" name="직선 화살표 연결선 23761">
          <a:extLst>
            <a:ext uri="{FF2B5EF4-FFF2-40B4-BE49-F238E27FC236}">
              <a16:creationId xmlns:a16="http://schemas.microsoft.com/office/drawing/2014/main" id="{0DDA170A-B647-4925-9826-22FA0346C15E}"/>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3763" name="9">
          <a:extLst>
            <a:ext uri="{FF2B5EF4-FFF2-40B4-BE49-F238E27FC236}">
              <a16:creationId xmlns:a16="http://schemas.microsoft.com/office/drawing/2014/main" id="{57371405-9530-415C-BE07-219038693A7F}"/>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3764" name="직선 화살표 연결선 23763">
          <a:extLst>
            <a:ext uri="{FF2B5EF4-FFF2-40B4-BE49-F238E27FC236}">
              <a16:creationId xmlns:a16="http://schemas.microsoft.com/office/drawing/2014/main" id="{CD9FBCD6-7AB4-4C63-848C-199103027BD1}"/>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3765" name="8">
          <a:extLst>
            <a:ext uri="{FF2B5EF4-FFF2-40B4-BE49-F238E27FC236}">
              <a16:creationId xmlns:a16="http://schemas.microsoft.com/office/drawing/2014/main" id="{C3912578-E8E1-419F-AAEE-BF0F5BC9AE12}"/>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3766" name="직선 화살표 연결선 23765">
          <a:extLst>
            <a:ext uri="{FF2B5EF4-FFF2-40B4-BE49-F238E27FC236}">
              <a16:creationId xmlns:a16="http://schemas.microsoft.com/office/drawing/2014/main" id="{6DBA4490-E191-4C1F-89B9-C3B9BFE68A02}"/>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3767" name="7">
          <a:extLst>
            <a:ext uri="{FF2B5EF4-FFF2-40B4-BE49-F238E27FC236}">
              <a16:creationId xmlns:a16="http://schemas.microsoft.com/office/drawing/2014/main" id="{FD9773D0-3A07-4C68-BFAC-9026DDD81F44}"/>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3768" name="6">
          <a:extLst>
            <a:ext uri="{FF2B5EF4-FFF2-40B4-BE49-F238E27FC236}">
              <a16:creationId xmlns:a16="http://schemas.microsoft.com/office/drawing/2014/main" id="{6F271954-8052-415E-B55B-5DD8C73D44BE}"/>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3769" name="직선 화살표 연결선 23768">
          <a:extLst>
            <a:ext uri="{FF2B5EF4-FFF2-40B4-BE49-F238E27FC236}">
              <a16:creationId xmlns:a16="http://schemas.microsoft.com/office/drawing/2014/main" id="{1B345292-A1E8-48CB-8123-524E739D78A6}"/>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3770" name="5">
          <a:extLst>
            <a:ext uri="{FF2B5EF4-FFF2-40B4-BE49-F238E27FC236}">
              <a16:creationId xmlns:a16="http://schemas.microsoft.com/office/drawing/2014/main" id="{BF9B872E-7EE6-4B9D-AC86-416EB4CAB604}"/>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3771" name="직선 화살표 연결선 23770">
          <a:extLst>
            <a:ext uri="{FF2B5EF4-FFF2-40B4-BE49-F238E27FC236}">
              <a16:creationId xmlns:a16="http://schemas.microsoft.com/office/drawing/2014/main" id="{0C22A68D-F144-4FE0-9948-B0857EE1C286}"/>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3772" name="4">
          <a:extLst>
            <a:ext uri="{FF2B5EF4-FFF2-40B4-BE49-F238E27FC236}">
              <a16:creationId xmlns:a16="http://schemas.microsoft.com/office/drawing/2014/main" id="{8110A2B6-7797-40DB-98E2-B24DECAD3184}"/>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3773" name="직선 화살표 연결선 23772">
          <a:extLst>
            <a:ext uri="{FF2B5EF4-FFF2-40B4-BE49-F238E27FC236}">
              <a16:creationId xmlns:a16="http://schemas.microsoft.com/office/drawing/2014/main" id="{55449D80-876C-4229-9B93-E331A48D2A03}"/>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3774" name="3">
          <a:extLst>
            <a:ext uri="{FF2B5EF4-FFF2-40B4-BE49-F238E27FC236}">
              <a16:creationId xmlns:a16="http://schemas.microsoft.com/office/drawing/2014/main" id="{EF0379C4-24A0-4EA7-9DE3-462FAA0365D3}"/>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3775" name="직선 화살표 연결선 23774">
          <a:extLst>
            <a:ext uri="{FF2B5EF4-FFF2-40B4-BE49-F238E27FC236}">
              <a16:creationId xmlns:a16="http://schemas.microsoft.com/office/drawing/2014/main" id="{F877802E-F4CD-4D39-B2B0-8998D4A29F57}"/>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3776" name="2">
          <a:extLst>
            <a:ext uri="{FF2B5EF4-FFF2-40B4-BE49-F238E27FC236}">
              <a16:creationId xmlns:a16="http://schemas.microsoft.com/office/drawing/2014/main" id="{A10F53B3-77F9-4739-A65B-11AEFCDC9EEA}"/>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3777" name="직선 화살표 연결선 23776">
          <a:extLst>
            <a:ext uri="{FF2B5EF4-FFF2-40B4-BE49-F238E27FC236}">
              <a16:creationId xmlns:a16="http://schemas.microsoft.com/office/drawing/2014/main" id="{2A795706-5FCF-4560-979D-FD77C4A474A3}"/>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3778" name="1">
          <a:extLst>
            <a:ext uri="{FF2B5EF4-FFF2-40B4-BE49-F238E27FC236}">
              <a16:creationId xmlns:a16="http://schemas.microsoft.com/office/drawing/2014/main" id="{D7918257-5480-414F-9223-2E7711036DD7}"/>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3779" name="직선 화살표 연결선 23778">
          <a:extLst>
            <a:ext uri="{FF2B5EF4-FFF2-40B4-BE49-F238E27FC236}">
              <a16:creationId xmlns:a16="http://schemas.microsoft.com/office/drawing/2014/main" id="{EE8B5DFD-7179-40D4-9602-0D90FF50093D}"/>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3901" name="44">
          <a:extLst>
            <a:ext uri="{FF2B5EF4-FFF2-40B4-BE49-F238E27FC236}">
              <a16:creationId xmlns:a16="http://schemas.microsoft.com/office/drawing/2014/main" id="{107DDF01-404C-48A0-8B35-CA6557638DE3}"/>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3902" name="직선 화살표 연결선 23901">
          <a:extLst>
            <a:ext uri="{FF2B5EF4-FFF2-40B4-BE49-F238E27FC236}">
              <a16:creationId xmlns:a16="http://schemas.microsoft.com/office/drawing/2014/main" id="{A34791FD-E62F-49CB-B9B3-018CD93CF8F6}"/>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3903" name="43">
          <a:extLst>
            <a:ext uri="{FF2B5EF4-FFF2-40B4-BE49-F238E27FC236}">
              <a16:creationId xmlns:a16="http://schemas.microsoft.com/office/drawing/2014/main" id="{3D705C53-86B4-4F5D-877E-F7FD6ECB88F6}"/>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3904" name="직선 화살표 연결선 23903">
          <a:extLst>
            <a:ext uri="{FF2B5EF4-FFF2-40B4-BE49-F238E27FC236}">
              <a16:creationId xmlns:a16="http://schemas.microsoft.com/office/drawing/2014/main" id="{D0BF73E0-688A-45B3-8BD5-6EE954C27F6E}"/>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3905" name="42">
          <a:extLst>
            <a:ext uri="{FF2B5EF4-FFF2-40B4-BE49-F238E27FC236}">
              <a16:creationId xmlns:a16="http://schemas.microsoft.com/office/drawing/2014/main" id="{8344224A-C3C6-4AA0-9DBE-A8BBFA912EEA}"/>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3906" name="직선 화살표 연결선 23905">
          <a:extLst>
            <a:ext uri="{FF2B5EF4-FFF2-40B4-BE49-F238E27FC236}">
              <a16:creationId xmlns:a16="http://schemas.microsoft.com/office/drawing/2014/main" id="{6AB4F611-3499-429F-BD77-1C2BE164ACCB}"/>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3907" name="41">
          <a:extLst>
            <a:ext uri="{FF2B5EF4-FFF2-40B4-BE49-F238E27FC236}">
              <a16:creationId xmlns:a16="http://schemas.microsoft.com/office/drawing/2014/main" id="{3387971E-FECD-4BB6-B528-DC316FC94B00}"/>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3908" name="직선 화살표 연결선 23907">
          <a:extLst>
            <a:ext uri="{FF2B5EF4-FFF2-40B4-BE49-F238E27FC236}">
              <a16:creationId xmlns:a16="http://schemas.microsoft.com/office/drawing/2014/main" id="{278038B1-6F1D-44F2-A5A9-C0C0D141EC6A}"/>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3968" name="10">
          <a:extLst>
            <a:ext uri="{FF2B5EF4-FFF2-40B4-BE49-F238E27FC236}">
              <a16:creationId xmlns:a16="http://schemas.microsoft.com/office/drawing/2014/main" id="{1827A073-219B-4DA9-9D81-1F38EEF5B48C}"/>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3969" name="직선 화살표 연결선 23968">
          <a:extLst>
            <a:ext uri="{FF2B5EF4-FFF2-40B4-BE49-F238E27FC236}">
              <a16:creationId xmlns:a16="http://schemas.microsoft.com/office/drawing/2014/main" id="{DFF44C6F-95DC-4C9D-A7BA-90DB48B898EB}"/>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3970" name="9">
          <a:extLst>
            <a:ext uri="{FF2B5EF4-FFF2-40B4-BE49-F238E27FC236}">
              <a16:creationId xmlns:a16="http://schemas.microsoft.com/office/drawing/2014/main" id="{7D27009A-6AA0-495A-AA81-D1F84B0E4295}"/>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3971" name="직선 화살표 연결선 23970">
          <a:extLst>
            <a:ext uri="{FF2B5EF4-FFF2-40B4-BE49-F238E27FC236}">
              <a16:creationId xmlns:a16="http://schemas.microsoft.com/office/drawing/2014/main" id="{15676B3A-6055-4AE6-86E5-861649290C8E}"/>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3972" name="8">
          <a:extLst>
            <a:ext uri="{FF2B5EF4-FFF2-40B4-BE49-F238E27FC236}">
              <a16:creationId xmlns:a16="http://schemas.microsoft.com/office/drawing/2014/main" id="{B7064584-E883-4CD8-9629-5BE57339175A}"/>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3973" name="직선 화살표 연결선 23972">
          <a:extLst>
            <a:ext uri="{FF2B5EF4-FFF2-40B4-BE49-F238E27FC236}">
              <a16:creationId xmlns:a16="http://schemas.microsoft.com/office/drawing/2014/main" id="{880A1093-8F1B-49A8-A93F-0CF73C15C3F8}"/>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3974" name="7">
          <a:extLst>
            <a:ext uri="{FF2B5EF4-FFF2-40B4-BE49-F238E27FC236}">
              <a16:creationId xmlns:a16="http://schemas.microsoft.com/office/drawing/2014/main" id="{B4F0AC65-DEA6-497C-B5D9-21359BA09A50}"/>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3975" name="6">
          <a:extLst>
            <a:ext uri="{FF2B5EF4-FFF2-40B4-BE49-F238E27FC236}">
              <a16:creationId xmlns:a16="http://schemas.microsoft.com/office/drawing/2014/main" id="{81130033-DA93-4245-B0AA-AC14E786C692}"/>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3976" name="직선 화살표 연결선 23975">
          <a:extLst>
            <a:ext uri="{FF2B5EF4-FFF2-40B4-BE49-F238E27FC236}">
              <a16:creationId xmlns:a16="http://schemas.microsoft.com/office/drawing/2014/main" id="{F3D7405C-C42A-4C3C-A335-D75B80CF38CE}"/>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3977" name="5">
          <a:extLst>
            <a:ext uri="{FF2B5EF4-FFF2-40B4-BE49-F238E27FC236}">
              <a16:creationId xmlns:a16="http://schemas.microsoft.com/office/drawing/2014/main" id="{CB1B3287-79C4-4C02-AA22-9EA1FC26CD78}"/>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3978" name="직선 화살표 연결선 23977">
          <a:extLst>
            <a:ext uri="{FF2B5EF4-FFF2-40B4-BE49-F238E27FC236}">
              <a16:creationId xmlns:a16="http://schemas.microsoft.com/office/drawing/2014/main" id="{37337D5F-5C57-423F-A996-7FFACFC20895}"/>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3979" name="4">
          <a:extLst>
            <a:ext uri="{FF2B5EF4-FFF2-40B4-BE49-F238E27FC236}">
              <a16:creationId xmlns:a16="http://schemas.microsoft.com/office/drawing/2014/main" id="{9EFCAD32-C471-46AB-84FA-711255DA380B}"/>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3980" name="직선 화살표 연결선 23979">
          <a:extLst>
            <a:ext uri="{FF2B5EF4-FFF2-40B4-BE49-F238E27FC236}">
              <a16:creationId xmlns:a16="http://schemas.microsoft.com/office/drawing/2014/main" id="{14BD9C61-B8CA-405A-A2F0-84CF4BD3B9BE}"/>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3981" name="3">
          <a:extLst>
            <a:ext uri="{FF2B5EF4-FFF2-40B4-BE49-F238E27FC236}">
              <a16:creationId xmlns:a16="http://schemas.microsoft.com/office/drawing/2014/main" id="{2AD79EF8-7D9F-4E1B-8DF2-FB8BE5096294}"/>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3982" name="직선 화살표 연결선 23981">
          <a:extLst>
            <a:ext uri="{FF2B5EF4-FFF2-40B4-BE49-F238E27FC236}">
              <a16:creationId xmlns:a16="http://schemas.microsoft.com/office/drawing/2014/main" id="{3C32A732-A9C0-4A3B-A213-A27FA7100B30}"/>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3983" name="2">
          <a:extLst>
            <a:ext uri="{FF2B5EF4-FFF2-40B4-BE49-F238E27FC236}">
              <a16:creationId xmlns:a16="http://schemas.microsoft.com/office/drawing/2014/main" id="{D6524CE7-CBDF-4EA9-8FAF-77B59C52D078}"/>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3984" name="직선 화살표 연결선 23983">
          <a:extLst>
            <a:ext uri="{FF2B5EF4-FFF2-40B4-BE49-F238E27FC236}">
              <a16:creationId xmlns:a16="http://schemas.microsoft.com/office/drawing/2014/main" id="{6EA93284-0A95-4633-B2E5-5EF18A3627C1}"/>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3985" name="1">
          <a:extLst>
            <a:ext uri="{FF2B5EF4-FFF2-40B4-BE49-F238E27FC236}">
              <a16:creationId xmlns:a16="http://schemas.microsoft.com/office/drawing/2014/main" id="{E1309396-D6BD-453F-81D4-94AA592B3754}"/>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3986" name="직선 화살표 연결선 23985">
          <a:extLst>
            <a:ext uri="{FF2B5EF4-FFF2-40B4-BE49-F238E27FC236}">
              <a16:creationId xmlns:a16="http://schemas.microsoft.com/office/drawing/2014/main" id="{BFA783B9-F1BB-46EA-BCDA-DB44ECB8B828}"/>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4112" name="44">
          <a:extLst>
            <a:ext uri="{FF2B5EF4-FFF2-40B4-BE49-F238E27FC236}">
              <a16:creationId xmlns:a16="http://schemas.microsoft.com/office/drawing/2014/main" id="{ED7D0FA7-EE92-4E04-9B29-563A781940C7}"/>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4113" name="직선 화살표 연결선 24112">
          <a:extLst>
            <a:ext uri="{FF2B5EF4-FFF2-40B4-BE49-F238E27FC236}">
              <a16:creationId xmlns:a16="http://schemas.microsoft.com/office/drawing/2014/main" id="{1779030B-A256-48B8-B590-609B364D2450}"/>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4114" name="43">
          <a:extLst>
            <a:ext uri="{FF2B5EF4-FFF2-40B4-BE49-F238E27FC236}">
              <a16:creationId xmlns:a16="http://schemas.microsoft.com/office/drawing/2014/main" id="{6631AE35-134B-40D4-9E31-BB458178CE1F}"/>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4115" name="직선 화살표 연결선 24114">
          <a:extLst>
            <a:ext uri="{FF2B5EF4-FFF2-40B4-BE49-F238E27FC236}">
              <a16:creationId xmlns:a16="http://schemas.microsoft.com/office/drawing/2014/main" id="{828FDDBB-A132-4676-85CC-DF3F49F29E9E}"/>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4116" name="42">
          <a:extLst>
            <a:ext uri="{FF2B5EF4-FFF2-40B4-BE49-F238E27FC236}">
              <a16:creationId xmlns:a16="http://schemas.microsoft.com/office/drawing/2014/main" id="{F2E24E59-E5F6-4A58-A5C3-40BDD99E0D01}"/>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4117" name="직선 화살표 연결선 24116">
          <a:extLst>
            <a:ext uri="{FF2B5EF4-FFF2-40B4-BE49-F238E27FC236}">
              <a16:creationId xmlns:a16="http://schemas.microsoft.com/office/drawing/2014/main" id="{4C79C2AB-1BA5-4B1E-9219-AED0AE5D0412}"/>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4118" name="41">
          <a:extLst>
            <a:ext uri="{FF2B5EF4-FFF2-40B4-BE49-F238E27FC236}">
              <a16:creationId xmlns:a16="http://schemas.microsoft.com/office/drawing/2014/main" id="{11DD9310-7AD4-4922-B405-03AA90EDE84E}"/>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4119" name="직선 화살표 연결선 24118">
          <a:extLst>
            <a:ext uri="{FF2B5EF4-FFF2-40B4-BE49-F238E27FC236}">
              <a16:creationId xmlns:a16="http://schemas.microsoft.com/office/drawing/2014/main" id="{473D4510-E519-4B3A-BBAD-C260EBE32FF1}"/>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4179" name="10">
          <a:extLst>
            <a:ext uri="{FF2B5EF4-FFF2-40B4-BE49-F238E27FC236}">
              <a16:creationId xmlns:a16="http://schemas.microsoft.com/office/drawing/2014/main" id="{B865622B-86C4-4FA4-867D-E4C5AD3EE801}"/>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4180" name="직선 화살표 연결선 24179">
          <a:extLst>
            <a:ext uri="{FF2B5EF4-FFF2-40B4-BE49-F238E27FC236}">
              <a16:creationId xmlns:a16="http://schemas.microsoft.com/office/drawing/2014/main" id="{2DE87112-43C9-4ECE-9471-A85F9ED4AFC4}"/>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4181" name="9">
          <a:extLst>
            <a:ext uri="{FF2B5EF4-FFF2-40B4-BE49-F238E27FC236}">
              <a16:creationId xmlns:a16="http://schemas.microsoft.com/office/drawing/2014/main" id="{EA7BC8DC-CB3B-4453-971D-76F04F385B09}"/>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4182" name="직선 화살표 연결선 24181">
          <a:extLst>
            <a:ext uri="{FF2B5EF4-FFF2-40B4-BE49-F238E27FC236}">
              <a16:creationId xmlns:a16="http://schemas.microsoft.com/office/drawing/2014/main" id="{22A41D8D-24C7-4FA3-9E6A-3E2FA1D01468}"/>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4183" name="8">
          <a:extLst>
            <a:ext uri="{FF2B5EF4-FFF2-40B4-BE49-F238E27FC236}">
              <a16:creationId xmlns:a16="http://schemas.microsoft.com/office/drawing/2014/main" id="{7D83EB35-3ABF-4158-9E36-B962452929F4}"/>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4184" name="직선 화살표 연결선 24183">
          <a:extLst>
            <a:ext uri="{FF2B5EF4-FFF2-40B4-BE49-F238E27FC236}">
              <a16:creationId xmlns:a16="http://schemas.microsoft.com/office/drawing/2014/main" id="{8D567398-CAD9-44D0-902A-CFB6A5FB5E63}"/>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4185" name="7">
          <a:extLst>
            <a:ext uri="{FF2B5EF4-FFF2-40B4-BE49-F238E27FC236}">
              <a16:creationId xmlns:a16="http://schemas.microsoft.com/office/drawing/2014/main" id="{1F672C82-BAA7-4CC4-B927-9AC76F6768F3}"/>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4186" name="6">
          <a:extLst>
            <a:ext uri="{FF2B5EF4-FFF2-40B4-BE49-F238E27FC236}">
              <a16:creationId xmlns:a16="http://schemas.microsoft.com/office/drawing/2014/main" id="{C17E65F7-07B8-4BC5-AE72-43730384CA71}"/>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4187" name="직선 화살표 연결선 24186">
          <a:extLst>
            <a:ext uri="{FF2B5EF4-FFF2-40B4-BE49-F238E27FC236}">
              <a16:creationId xmlns:a16="http://schemas.microsoft.com/office/drawing/2014/main" id="{4F221A61-0DFC-4805-AFE9-4A54DD3A21C8}"/>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4188" name="5">
          <a:extLst>
            <a:ext uri="{FF2B5EF4-FFF2-40B4-BE49-F238E27FC236}">
              <a16:creationId xmlns:a16="http://schemas.microsoft.com/office/drawing/2014/main" id="{77D3106D-5574-4A34-AAA5-9041772BAAD7}"/>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4189" name="직선 화살표 연결선 24188">
          <a:extLst>
            <a:ext uri="{FF2B5EF4-FFF2-40B4-BE49-F238E27FC236}">
              <a16:creationId xmlns:a16="http://schemas.microsoft.com/office/drawing/2014/main" id="{C6AAC24B-C36C-453F-8771-1845DEEEC016}"/>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4190" name="4">
          <a:extLst>
            <a:ext uri="{FF2B5EF4-FFF2-40B4-BE49-F238E27FC236}">
              <a16:creationId xmlns:a16="http://schemas.microsoft.com/office/drawing/2014/main" id="{4E687EC3-9AD1-4776-A341-7B50DD5A73AA}"/>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4191" name="직선 화살표 연결선 24190">
          <a:extLst>
            <a:ext uri="{FF2B5EF4-FFF2-40B4-BE49-F238E27FC236}">
              <a16:creationId xmlns:a16="http://schemas.microsoft.com/office/drawing/2014/main" id="{0B50B2E5-2A21-4B3F-B37C-DCA5668E1174}"/>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4192" name="3">
          <a:extLst>
            <a:ext uri="{FF2B5EF4-FFF2-40B4-BE49-F238E27FC236}">
              <a16:creationId xmlns:a16="http://schemas.microsoft.com/office/drawing/2014/main" id="{CB839E72-D0D1-4E49-BB9A-34725C60CC53}"/>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4193" name="직선 화살표 연결선 24192">
          <a:extLst>
            <a:ext uri="{FF2B5EF4-FFF2-40B4-BE49-F238E27FC236}">
              <a16:creationId xmlns:a16="http://schemas.microsoft.com/office/drawing/2014/main" id="{4D246733-773A-4A0A-BA76-99BABE9E9477}"/>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4194" name="2">
          <a:extLst>
            <a:ext uri="{FF2B5EF4-FFF2-40B4-BE49-F238E27FC236}">
              <a16:creationId xmlns:a16="http://schemas.microsoft.com/office/drawing/2014/main" id="{63E7144E-1634-4D4B-B7D6-ECDA94E1DBEB}"/>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4195" name="직선 화살표 연결선 24194">
          <a:extLst>
            <a:ext uri="{FF2B5EF4-FFF2-40B4-BE49-F238E27FC236}">
              <a16:creationId xmlns:a16="http://schemas.microsoft.com/office/drawing/2014/main" id="{3E7F593A-3B0D-4E11-ACD4-8329073416B4}"/>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4196" name="1">
          <a:extLst>
            <a:ext uri="{FF2B5EF4-FFF2-40B4-BE49-F238E27FC236}">
              <a16:creationId xmlns:a16="http://schemas.microsoft.com/office/drawing/2014/main" id="{414C534F-1293-4438-98AC-E436B90A3C40}"/>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4197" name="직선 화살표 연결선 24196">
          <a:extLst>
            <a:ext uri="{FF2B5EF4-FFF2-40B4-BE49-F238E27FC236}">
              <a16:creationId xmlns:a16="http://schemas.microsoft.com/office/drawing/2014/main" id="{E6A0BEDD-3493-4D2A-B1D5-FC45D16A3CE0}"/>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4319" name="44">
          <a:extLst>
            <a:ext uri="{FF2B5EF4-FFF2-40B4-BE49-F238E27FC236}">
              <a16:creationId xmlns:a16="http://schemas.microsoft.com/office/drawing/2014/main" id="{7754227E-DC19-4A18-9DB2-BCFB4C92F044}"/>
            </a:ext>
          </a:extLst>
        </xdr:cNvPr>
        <xdr:cNvSpPr/>
      </xdr:nvSpPr>
      <xdr:spPr>
        <a:xfrm>
          <a:off x="113668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4320" name="직선 화살표 연결선 24319">
          <a:extLst>
            <a:ext uri="{FF2B5EF4-FFF2-40B4-BE49-F238E27FC236}">
              <a16:creationId xmlns:a16="http://schemas.microsoft.com/office/drawing/2014/main" id="{688812E4-2F5A-4B0E-9911-6B5D9D972082}"/>
            </a:ext>
          </a:extLst>
        </xdr:cNvPr>
        <xdr:cNvCxnSpPr/>
      </xdr:nvCxnSpPr>
      <xdr:spPr>
        <a:xfrm>
          <a:off x="113668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4321" name="43">
          <a:extLst>
            <a:ext uri="{FF2B5EF4-FFF2-40B4-BE49-F238E27FC236}">
              <a16:creationId xmlns:a16="http://schemas.microsoft.com/office/drawing/2014/main" id="{A89372EA-C4B9-4F82-8617-41307373DC5E}"/>
            </a:ext>
          </a:extLst>
        </xdr:cNvPr>
        <xdr:cNvSpPr/>
      </xdr:nvSpPr>
      <xdr:spPr>
        <a:xfrm>
          <a:off x="11366863" y="72351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4322" name="직선 화살표 연결선 24321">
          <a:extLst>
            <a:ext uri="{FF2B5EF4-FFF2-40B4-BE49-F238E27FC236}">
              <a16:creationId xmlns:a16="http://schemas.microsoft.com/office/drawing/2014/main" id="{4E267D3F-584A-44A7-BCB7-C65EF3E68ED3}"/>
            </a:ext>
          </a:extLst>
        </xdr:cNvPr>
        <xdr:cNvCxnSpPr/>
      </xdr:nvCxnSpPr>
      <xdr:spPr>
        <a:xfrm>
          <a:off x="113668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4323" name="42">
          <a:extLst>
            <a:ext uri="{FF2B5EF4-FFF2-40B4-BE49-F238E27FC236}">
              <a16:creationId xmlns:a16="http://schemas.microsoft.com/office/drawing/2014/main" id="{9A6BC1AA-EAB2-4E2F-8CDB-10E0045E95E4}"/>
            </a:ext>
          </a:extLst>
        </xdr:cNvPr>
        <xdr:cNvSpPr/>
      </xdr:nvSpPr>
      <xdr:spPr>
        <a:xfrm>
          <a:off x="11366863" y="7082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4324" name="직선 화살표 연결선 24323">
          <a:extLst>
            <a:ext uri="{FF2B5EF4-FFF2-40B4-BE49-F238E27FC236}">
              <a16:creationId xmlns:a16="http://schemas.microsoft.com/office/drawing/2014/main" id="{424A0737-977E-4490-B4D7-C31FE5AE3066}"/>
            </a:ext>
          </a:extLst>
        </xdr:cNvPr>
        <xdr:cNvCxnSpPr/>
      </xdr:nvCxnSpPr>
      <xdr:spPr>
        <a:xfrm>
          <a:off x="113668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4325" name="41">
          <a:extLst>
            <a:ext uri="{FF2B5EF4-FFF2-40B4-BE49-F238E27FC236}">
              <a16:creationId xmlns:a16="http://schemas.microsoft.com/office/drawing/2014/main" id="{83E788C1-2140-4166-97D8-C289ECB751D1}"/>
            </a:ext>
          </a:extLst>
        </xdr:cNvPr>
        <xdr:cNvSpPr/>
      </xdr:nvSpPr>
      <xdr:spPr>
        <a:xfrm>
          <a:off x="113668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4326" name="직선 화살표 연결선 24325">
          <a:extLst>
            <a:ext uri="{FF2B5EF4-FFF2-40B4-BE49-F238E27FC236}">
              <a16:creationId xmlns:a16="http://schemas.microsoft.com/office/drawing/2014/main" id="{7AAA3974-9D30-476A-976E-8184FCBE9EFB}"/>
            </a:ext>
          </a:extLst>
        </xdr:cNvPr>
        <xdr:cNvCxnSpPr/>
      </xdr:nvCxnSpPr>
      <xdr:spPr>
        <a:xfrm>
          <a:off x="113668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4386" name="10">
          <a:extLst>
            <a:ext uri="{FF2B5EF4-FFF2-40B4-BE49-F238E27FC236}">
              <a16:creationId xmlns:a16="http://schemas.microsoft.com/office/drawing/2014/main" id="{FE152CDC-C608-47F6-90C4-91373E28C464}"/>
            </a:ext>
          </a:extLst>
        </xdr:cNvPr>
        <xdr:cNvSpPr/>
      </xdr:nvSpPr>
      <xdr:spPr>
        <a:xfrm>
          <a:off x="11366863" y="2205990"/>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4387" name="직선 화살표 연결선 24386">
          <a:extLst>
            <a:ext uri="{FF2B5EF4-FFF2-40B4-BE49-F238E27FC236}">
              <a16:creationId xmlns:a16="http://schemas.microsoft.com/office/drawing/2014/main" id="{6BDBD69A-2244-415D-B4D4-589BC88453CE}"/>
            </a:ext>
          </a:extLst>
        </xdr:cNvPr>
        <xdr:cNvCxnSpPr/>
      </xdr:nvCxnSpPr>
      <xdr:spPr>
        <a:xfrm>
          <a:off x="1136686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4388" name="9">
          <a:extLst>
            <a:ext uri="{FF2B5EF4-FFF2-40B4-BE49-F238E27FC236}">
              <a16:creationId xmlns:a16="http://schemas.microsoft.com/office/drawing/2014/main" id="{A3476145-BE89-49FC-90ED-85DAD46C232B}"/>
            </a:ext>
          </a:extLst>
        </xdr:cNvPr>
        <xdr:cNvSpPr/>
      </xdr:nvSpPr>
      <xdr:spPr>
        <a:xfrm>
          <a:off x="11366863" y="20535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4389" name="직선 화살표 연결선 24388">
          <a:extLst>
            <a:ext uri="{FF2B5EF4-FFF2-40B4-BE49-F238E27FC236}">
              <a16:creationId xmlns:a16="http://schemas.microsoft.com/office/drawing/2014/main" id="{460552BE-4D3B-4222-A0B1-3EC9BE604CBD}"/>
            </a:ext>
          </a:extLst>
        </xdr:cNvPr>
        <xdr:cNvCxnSpPr/>
      </xdr:nvCxnSpPr>
      <xdr:spPr>
        <a:xfrm>
          <a:off x="1136686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4390" name="8">
          <a:extLst>
            <a:ext uri="{FF2B5EF4-FFF2-40B4-BE49-F238E27FC236}">
              <a16:creationId xmlns:a16="http://schemas.microsoft.com/office/drawing/2014/main" id="{9274602B-64E5-4701-B0DB-9F0751C45BD9}"/>
            </a:ext>
          </a:extLst>
        </xdr:cNvPr>
        <xdr:cNvSpPr/>
      </xdr:nvSpPr>
      <xdr:spPr>
        <a:xfrm>
          <a:off x="113668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4391" name="직선 화살표 연결선 24390">
          <a:extLst>
            <a:ext uri="{FF2B5EF4-FFF2-40B4-BE49-F238E27FC236}">
              <a16:creationId xmlns:a16="http://schemas.microsoft.com/office/drawing/2014/main" id="{37F9F3BD-4B5B-49DD-8A13-4762C6B331FE}"/>
            </a:ext>
          </a:extLst>
        </xdr:cNvPr>
        <xdr:cNvCxnSpPr/>
      </xdr:nvCxnSpPr>
      <xdr:spPr>
        <a:xfrm>
          <a:off x="113668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4392" name="7">
          <a:extLst>
            <a:ext uri="{FF2B5EF4-FFF2-40B4-BE49-F238E27FC236}">
              <a16:creationId xmlns:a16="http://schemas.microsoft.com/office/drawing/2014/main" id="{384B039C-380C-41EA-9172-7C8F4BDFEB55}"/>
            </a:ext>
          </a:extLst>
        </xdr:cNvPr>
        <xdr:cNvSpPr/>
      </xdr:nvSpPr>
      <xdr:spPr>
        <a:xfrm>
          <a:off x="113668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4393" name="6">
          <a:extLst>
            <a:ext uri="{FF2B5EF4-FFF2-40B4-BE49-F238E27FC236}">
              <a16:creationId xmlns:a16="http://schemas.microsoft.com/office/drawing/2014/main" id="{199B4841-E49B-4F4E-8B8C-5C1A014EDFD8}"/>
            </a:ext>
          </a:extLst>
        </xdr:cNvPr>
        <xdr:cNvSpPr/>
      </xdr:nvSpPr>
      <xdr:spPr>
        <a:xfrm>
          <a:off x="113668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4394" name="직선 화살표 연결선 24393">
          <a:extLst>
            <a:ext uri="{FF2B5EF4-FFF2-40B4-BE49-F238E27FC236}">
              <a16:creationId xmlns:a16="http://schemas.microsoft.com/office/drawing/2014/main" id="{9A0B5A03-A974-4709-A861-2D4DAA010909}"/>
            </a:ext>
          </a:extLst>
        </xdr:cNvPr>
        <xdr:cNvCxnSpPr/>
      </xdr:nvCxnSpPr>
      <xdr:spPr>
        <a:xfrm>
          <a:off x="113668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4395" name="5">
          <a:extLst>
            <a:ext uri="{FF2B5EF4-FFF2-40B4-BE49-F238E27FC236}">
              <a16:creationId xmlns:a16="http://schemas.microsoft.com/office/drawing/2014/main" id="{9E3CFB53-5A08-4779-9DBF-92C87F530468}"/>
            </a:ext>
          </a:extLst>
        </xdr:cNvPr>
        <xdr:cNvSpPr/>
      </xdr:nvSpPr>
      <xdr:spPr>
        <a:xfrm>
          <a:off x="113668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4396" name="직선 화살표 연결선 24395">
          <a:extLst>
            <a:ext uri="{FF2B5EF4-FFF2-40B4-BE49-F238E27FC236}">
              <a16:creationId xmlns:a16="http://schemas.microsoft.com/office/drawing/2014/main" id="{E15D31EA-9775-4082-A06C-94A261A30FA7}"/>
            </a:ext>
          </a:extLst>
        </xdr:cNvPr>
        <xdr:cNvCxnSpPr/>
      </xdr:nvCxnSpPr>
      <xdr:spPr>
        <a:xfrm>
          <a:off x="113668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4397" name="4">
          <a:extLst>
            <a:ext uri="{FF2B5EF4-FFF2-40B4-BE49-F238E27FC236}">
              <a16:creationId xmlns:a16="http://schemas.microsoft.com/office/drawing/2014/main" id="{5224A2CB-124B-4465-B88D-46A3BF7BF080}"/>
            </a:ext>
          </a:extLst>
        </xdr:cNvPr>
        <xdr:cNvSpPr/>
      </xdr:nvSpPr>
      <xdr:spPr>
        <a:xfrm>
          <a:off x="113668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4398" name="직선 화살표 연결선 24397">
          <a:extLst>
            <a:ext uri="{FF2B5EF4-FFF2-40B4-BE49-F238E27FC236}">
              <a16:creationId xmlns:a16="http://schemas.microsoft.com/office/drawing/2014/main" id="{155E7E7C-28D1-4C2E-9CA3-CF2F59F3F2E3}"/>
            </a:ext>
          </a:extLst>
        </xdr:cNvPr>
        <xdr:cNvCxnSpPr/>
      </xdr:nvCxnSpPr>
      <xdr:spPr>
        <a:xfrm>
          <a:off x="113668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4399" name="3">
          <a:extLst>
            <a:ext uri="{FF2B5EF4-FFF2-40B4-BE49-F238E27FC236}">
              <a16:creationId xmlns:a16="http://schemas.microsoft.com/office/drawing/2014/main" id="{C25C1911-772C-4795-802F-EAE342B89190}"/>
            </a:ext>
          </a:extLst>
        </xdr:cNvPr>
        <xdr:cNvSpPr/>
      </xdr:nvSpPr>
      <xdr:spPr>
        <a:xfrm>
          <a:off x="113668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4400" name="직선 화살표 연결선 24399">
          <a:extLst>
            <a:ext uri="{FF2B5EF4-FFF2-40B4-BE49-F238E27FC236}">
              <a16:creationId xmlns:a16="http://schemas.microsoft.com/office/drawing/2014/main" id="{8C1DE350-35D2-43D8-8998-422946BFBE3D}"/>
            </a:ext>
          </a:extLst>
        </xdr:cNvPr>
        <xdr:cNvCxnSpPr/>
      </xdr:nvCxnSpPr>
      <xdr:spPr>
        <a:xfrm>
          <a:off x="113668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4401" name="2">
          <a:extLst>
            <a:ext uri="{FF2B5EF4-FFF2-40B4-BE49-F238E27FC236}">
              <a16:creationId xmlns:a16="http://schemas.microsoft.com/office/drawing/2014/main" id="{828C0FF5-9FF4-45E5-A711-159936103F28}"/>
            </a:ext>
          </a:extLst>
        </xdr:cNvPr>
        <xdr:cNvSpPr/>
      </xdr:nvSpPr>
      <xdr:spPr>
        <a:xfrm>
          <a:off x="11366863" y="98679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4402" name="직선 화살표 연결선 24401">
          <a:extLst>
            <a:ext uri="{FF2B5EF4-FFF2-40B4-BE49-F238E27FC236}">
              <a16:creationId xmlns:a16="http://schemas.microsoft.com/office/drawing/2014/main" id="{F72451FC-8804-4AB4-A52D-016406A9E3DE}"/>
            </a:ext>
          </a:extLst>
        </xdr:cNvPr>
        <xdr:cNvCxnSpPr/>
      </xdr:nvCxnSpPr>
      <xdr:spPr>
        <a:xfrm>
          <a:off x="1136686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4403" name="1">
          <a:extLst>
            <a:ext uri="{FF2B5EF4-FFF2-40B4-BE49-F238E27FC236}">
              <a16:creationId xmlns:a16="http://schemas.microsoft.com/office/drawing/2014/main" id="{C0D3E940-BDDB-47B5-8825-B025E6D80004}"/>
            </a:ext>
          </a:extLst>
        </xdr:cNvPr>
        <xdr:cNvSpPr/>
      </xdr:nvSpPr>
      <xdr:spPr>
        <a:xfrm>
          <a:off x="113668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4404" name="직선 화살표 연결선 24403">
          <a:extLst>
            <a:ext uri="{FF2B5EF4-FFF2-40B4-BE49-F238E27FC236}">
              <a16:creationId xmlns:a16="http://schemas.microsoft.com/office/drawing/2014/main" id="{BDB41F31-D60D-4DCA-B49F-6198F0453ACC}"/>
            </a:ext>
          </a:extLst>
        </xdr:cNvPr>
        <xdr:cNvCxnSpPr/>
      </xdr:nvCxnSpPr>
      <xdr:spPr>
        <a:xfrm>
          <a:off x="113668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4526" name="44">
          <a:extLst>
            <a:ext uri="{FF2B5EF4-FFF2-40B4-BE49-F238E27FC236}">
              <a16:creationId xmlns:a16="http://schemas.microsoft.com/office/drawing/2014/main" id="{B99689B2-AB05-4597-A80C-89FF77E4A524}"/>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4527" name="직선 화살표 연결선 24526">
          <a:extLst>
            <a:ext uri="{FF2B5EF4-FFF2-40B4-BE49-F238E27FC236}">
              <a16:creationId xmlns:a16="http://schemas.microsoft.com/office/drawing/2014/main" id="{B37ECCC7-DBBB-4D75-9CEE-9DEBC60B1C6E}"/>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4528" name="43">
          <a:extLst>
            <a:ext uri="{FF2B5EF4-FFF2-40B4-BE49-F238E27FC236}">
              <a16:creationId xmlns:a16="http://schemas.microsoft.com/office/drawing/2014/main" id="{AB16002E-C38F-4FDC-856F-3B18C3753DC3}"/>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4529" name="직선 화살표 연결선 24528">
          <a:extLst>
            <a:ext uri="{FF2B5EF4-FFF2-40B4-BE49-F238E27FC236}">
              <a16:creationId xmlns:a16="http://schemas.microsoft.com/office/drawing/2014/main" id="{CB7A589A-1B55-438D-A914-92D8D6481DB0}"/>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4530" name="42">
          <a:extLst>
            <a:ext uri="{FF2B5EF4-FFF2-40B4-BE49-F238E27FC236}">
              <a16:creationId xmlns:a16="http://schemas.microsoft.com/office/drawing/2014/main" id="{0B512D77-0849-4618-A27E-6FBD72B1DF83}"/>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4531" name="직선 화살표 연결선 24530">
          <a:extLst>
            <a:ext uri="{FF2B5EF4-FFF2-40B4-BE49-F238E27FC236}">
              <a16:creationId xmlns:a16="http://schemas.microsoft.com/office/drawing/2014/main" id="{F7926DB6-6F45-4622-B267-0CDECFE5D9B3}"/>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4532" name="41">
          <a:extLst>
            <a:ext uri="{FF2B5EF4-FFF2-40B4-BE49-F238E27FC236}">
              <a16:creationId xmlns:a16="http://schemas.microsoft.com/office/drawing/2014/main" id="{29CF1CED-CA11-45FB-908E-2215D4552F83}"/>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4533" name="직선 화살표 연결선 24532">
          <a:extLst>
            <a:ext uri="{FF2B5EF4-FFF2-40B4-BE49-F238E27FC236}">
              <a16:creationId xmlns:a16="http://schemas.microsoft.com/office/drawing/2014/main" id="{4C40F757-FA13-4F4A-A730-B2801356AB02}"/>
            </a:ext>
          </a:extLst>
        </xdr:cNvPr>
        <xdr:cNvCxnSpPr/>
      </xdr:nvCxnSpPr>
      <xdr:spPr>
        <a:xfrm>
          <a:off x="123955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4593" name="10">
          <a:extLst>
            <a:ext uri="{FF2B5EF4-FFF2-40B4-BE49-F238E27FC236}">
              <a16:creationId xmlns:a16="http://schemas.microsoft.com/office/drawing/2014/main" id="{A0DF62AF-CF1D-4BDE-AB31-5757AD6A3926}"/>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4594" name="직선 화살표 연결선 24593">
          <a:extLst>
            <a:ext uri="{FF2B5EF4-FFF2-40B4-BE49-F238E27FC236}">
              <a16:creationId xmlns:a16="http://schemas.microsoft.com/office/drawing/2014/main" id="{48A6C487-A39C-419A-88D5-3E91D5D1B955}"/>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4595" name="9">
          <a:extLst>
            <a:ext uri="{FF2B5EF4-FFF2-40B4-BE49-F238E27FC236}">
              <a16:creationId xmlns:a16="http://schemas.microsoft.com/office/drawing/2014/main" id="{D6AD0711-78BC-4C4F-9371-345F2736846F}"/>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4596" name="직선 화살표 연결선 24595">
          <a:extLst>
            <a:ext uri="{FF2B5EF4-FFF2-40B4-BE49-F238E27FC236}">
              <a16:creationId xmlns:a16="http://schemas.microsoft.com/office/drawing/2014/main" id="{80B33C90-9D76-46E6-85DF-57A5CBDAC046}"/>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4597" name="8">
          <a:extLst>
            <a:ext uri="{FF2B5EF4-FFF2-40B4-BE49-F238E27FC236}">
              <a16:creationId xmlns:a16="http://schemas.microsoft.com/office/drawing/2014/main" id="{A6E90B9C-75CF-44F7-8741-47FBD7A74A0B}"/>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4598" name="직선 화살표 연결선 24597">
          <a:extLst>
            <a:ext uri="{FF2B5EF4-FFF2-40B4-BE49-F238E27FC236}">
              <a16:creationId xmlns:a16="http://schemas.microsoft.com/office/drawing/2014/main" id="{5D5F8B3A-9E7C-4EB9-82F5-DFED7229D2E7}"/>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4599" name="7">
          <a:extLst>
            <a:ext uri="{FF2B5EF4-FFF2-40B4-BE49-F238E27FC236}">
              <a16:creationId xmlns:a16="http://schemas.microsoft.com/office/drawing/2014/main" id="{37D7500D-07E5-4817-A533-9BB34B2F09D0}"/>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4600" name="6">
          <a:extLst>
            <a:ext uri="{FF2B5EF4-FFF2-40B4-BE49-F238E27FC236}">
              <a16:creationId xmlns:a16="http://schemas.microsoft.com/office/drawing/2014/main" id="{7F74024F-19C2-45A6-B402-C86044B5B62D}"/>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4601" name="직선 화살표 연결선 24600">
          <a:extLst>
            <a:ext uri="{FF2B5EF4-FFF2-40B4-BE49-F238E27FC236}">
              <a16:creationId xmlns:a16="http://schemas.microsoft.com/office/drawing/2014/main" id="{87C17406-7804-4772-B439-62831016F867}"/>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4602" name="5">
          <a:extLst>
            <a:ext uri="{FF2B5EF4-FFF2-40B4-BE49-F238E27FC236}">
              <a16:creationId xmlns:a16="http://schemas.microsoft.com/office/drawing/2014/main" id="{16AF38BA-806E-4474-A340-03A40ACA298E}"/>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4603" name="직선 화살표 연결선 24602">
          <a:extLst>
            <a:ext uri="{FF2B5EF4-FFF2-40B4-BE49-F238E27FC236}">
              <a16:creationId xmlns:a16="http://schemas.microsoft.com/office/drawing/2014/main" id="{456863FE-B5C7-43AD-B135-77328817D5A9}"/>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4604" name="4">
          <a:extLst>
            <a:ext uri="{FF2B5EF4-FFF2-40B4-BE49-F238E27FC236}">
              <a16:creationId xmlns:a16="http://schemas.microsoft.com/office/drawing/2014/main" id="{58607463-6DE2-417A-BBC8-665A5BA54AE8}"/>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4605" name="직선 화살표 연결선 24604">
          <a:extLst>
            <a:ext uri="{FF2B5EF4-FFF2-40B4-BE49-F238E27FC236}">
              <a16:creationId xmlns:a16="http://schemas.microsoft.com/office/drawing/2014/main" id="{812BC816-027A-4C3B-9746-ECE3B463528F}"/>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4606" name="3">
          <a:extLst>
            <a:ext uri="{FF2B5EF4-FFF2-40B4-BE49-F238E27FC236}">
              <a16:creationId xmlns:a16="http://schemas.microsoft.com/office/drawing/2014/main" id="{FC919BFA-184A-42B3-9F70-E52BDC00BDB2}"/>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4607" name="직선 화살표 연결선 24606">
          <a:extLst>
            <a:ext uri="{FF2B5EF4-FFF2-40B4-BE49-F238E27FC236}">
              <a16:creationId xmlns:a16="http://schemas.microsoft.com/office/drawing/2014/main" id="{5A7BF68B-E30D-4C9B-9CAB-239200A6ABF0}"/>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4608" name="2">
          <a:extLst>
            <a:ext uri="{FF2B5EF4-FFF2-40B4-BE49-F238E27FC236}">
              <a16:creationId xmlns:a16="http://schemas.microsoft.com/office/drawing/2014/main" id="{5C277EE6-9EF9-4FF2-8CE0-20EE35B51419}"/>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4609" name="직선 화살표 연결선 24608">
          <a:extLst>
            <a:ext uri="{FF2B5EF4-FFF2-40B4-BE49-F238E27FC236}">
              <a16:creationId xmlns:a16="http://schemas.microsoft.com/office/drawing/2014/main" id="{14F10316-FAAE-4406-BCFC-24C57345F1D2}"/>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4610" name="1">
          <a:extLst>
            <a:ext uri="{FF2B5EF4-FFF2-40B4-BE49-F238E27FC236}">
              <a16:creationId xmlns:a16="http://schemas.microsoft.com/office/drawing/2014/main" id="{4C8B20C7-ADA3-415A-93A8-32A21E4AA4DF}"/>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4611" name="직선 화살표 연결선 24610">
          <a:extLst>
            <a:ext uri="{FF2B5EF4-FFF2-40B4-BE49-F238E27FC236}">
              <a16:creationId xmlns:a16="http://schemas.microsoft.com/office/drawing/2014/main" id="{100C97EC-06C8-4B24-800B-C2ED6FF0F91D}"/>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4733" name="44">
          <a:extLst>
            <a:ext uri="{FF2B5EF4-FFF2-40B4-BE49-F238E27FC236}">
              <a16:creationId xmlns:a16="http://schemas.microsoft.com/office/drawing/2014/main" id="{D6C9BEA6-9EA8-412C-8A60-A33A1CA18D22}"/>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4734" name="직선 화살표 연결선 24733">
          <a:extLst>
            <a:ext uri="{FF2B5EF4-FFF2-40B4-BE49-F238E27FC236}">
              <a16:creationId xmlns:a16="http://schemas.microsoft.com/office/drawing/2014/main" id="{F5FC044C-DFAD-4477-B9C6-23CE18E19650}"/>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4735" name="43">
          <a:extLst>
            <a:ext uri="{FF2B5EF4-FFF2-40B4-BE49-F238E27FC236}">
              <a16:creationId xmlns:a16="http://schemas.microsoft.com/office/drawing/2014/main" id="{AB565DB3-D6CF-43CC-8E8E-67BBC49D96F9}"/>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4736" name="직선 화살표 연결선 24735">
          <a:extLst>
            <a:ext uri="{FF2B5EF4-FFF2-40B4-BE49-F238E27FC236}">
              <a16:creationId xmlns:a16="http://schemas.microsoft.com/office/drawing/2014/main" id="{5A4CB356-9244-45B7-A4CF-E46D36AC8972}"/>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4737" name="42">
          <a:extLst>
            <a:ext uri="{FF2B5EF4-FFF2-40B4-BE49-F238E27FC236}">
              <a16:creationId xmlns:a16="http://schemas.microsoft.com/office/drawing/2014/main" id="{F945EFDC-D1B7-435D-9574-B8E0B88F885D}"/>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4738" name="직선 화살표 연결선 24737">
          <a:extLst>
            <a:ext uri="{FF2B5EF4-FFF2-40B4-BE49-F238E27FC236}">
              <a16:creationId xmlns:a16="http://schemas.microsoft.com/office/drawing/2014/main" id="{6EE3813F-8742-4EB9-84EB-72FD31F2EA66}"/>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4739" name="41">
          <a:extLst>
            <a:ext uri="{FF2B5EF4-FFF2-40B4-BE49-F238E27FC236}">
              <a16:creationId xmlns:a16="http://schemas.microsoft.com/office/drawing/2014/main" id="{ECEC100B-16D6-4B3C-AEF5-3F0F57302891}"/>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4740" name="직선 화살표 연결선 24739">
          <a:extLst>
            <a:ext uri="{FF2B5EF4-FFF2-40B4-BE49-F238E27FC236}">
              <a16:creationId xmlns:a16="http://schemas.microsoft.com/office/drawing/2014/main" id="{6EACDD2A-5132-4C2F-A9F0-F6868CC9F672}"/>
            </a:ext>
          </a:extLst>
        </xdr:cNvPr>
        <xdr:cNvCxnSpPr/>
      </xdr:nvCxnSpPr>
      <xdr:spPr>
        <a:xfrm>
          <a:off x="12395563" y="6987540"/>
          <a:ext cx="14000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4800" name="10">
          <a:extLst>
            <a:ext uri="{FF2B5EF4-FFF2-40B4-BE49-F238E27FC236}">
              <a16:creationId xmlns:a16="http://schemas.microsoft.com/office/drawing/2014/main" id="{F9BCA495-79F6-4075-BF38-8C51F9CA11AB}"/>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4801" name="직선 화살표 연결선 24800">
          <a:extLst>
            <a:ext uri="{FF2B5EF4-FFF2-40B4-BE49-F238E27FC236}">
              <a16:creationId xmlns:a16="http://schemas.microsoft.com/office/drawing/2014/main" id="{CA20EFB7-3C88-45AD-869A-62DE45FDC6CF}"/>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4802" name="9">
          <a:extLst>
            <a:ext uri="{FF2B5EF4-FFF2-40B4-BE49-F238E27FC236}">
              <a16:creationId xmlns:a16="http://schemas.microsoft.com/office/drawing/2014/main" id="{BD757DFF-B05E-47D1-A543-F3986DE676E1}"/>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4803" name="직선 화살표 연결선 24802">
          <a:extLst>
            <a:ext uri="{FF2B5EF4-FFF2-40B4-BE49-F238E27FC236}">
              <a16:creationId xmlns:a16="http://schemas.microsoft.com/office/drawing/2014/main" id="{F72439C2-301E-4B64-B5BB-C953BA16AF73}"/>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4804" name="8">
          <a:extLst>
            <a:ext uri="{FF2B5EF4-FFF2-40B4-BE49-F238E27FC236}">
              <a16:creationId xmlns:a16="http://schemas.microsoft.com/office/drawing/2014/main" id="{004CD36A-AF7A-438F-9F4D-D23D63C136AD}"/>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4805" name="직선 화살표 연결선 24804">
          <a:extLst>
            <a:ext uri="{FF2B5EF4-FFF2-40B4-BE49-F238E27FC236}">
              <a16:creationId xmlns:a16="http://schemas.microsoft.com/office/drawing/2014/main" id="{B179D101-6365-4163-84D4-2B40ED936B69}"/>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4806" name="7">
          <a:extLst>
            <a:ext uri="{FF2B5EF4-FFF2-40B4-BE49-F238E27FC236}">
              <a16:creationId xmlns:a16="http://schemas.microsoft.com/office/drawing/2014/main" id="{2E1DB87D-87F1-4A8E-91A5-BB5C78662E3E}"/>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4807" name="6">
          <a:extLst>
            <a:ext uri="{FF2B5EF4-FFF2-40B4-BE49-F238E27FC236}">
              <a16:creationId xmlns:a16="http://schemas.microsoft.com/office/drawing/2014/main" id="{FD2899FC-B6CF-4345-A175-DAB0D24312CF}"/>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4808" name="직선 화살표 연결선 24807">
          <a:extLst>
            <a:ext uri="{FF2B5EF4-FFF2-40B4-BE49-F238E27FC236}">
              <a16:creationId xmlns:a16="http://schemas.microsoft.com/office/drawing/2014/main" id="{23256DB5-8DCE-4783-9142-C0533CAB6AA9}"/>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4809" name="5">
          <a:extLst>
            <a:ext uri="{FF2B5EF4-FFF2-40B4-BE49-F238E27FC236}">
              <a16:creationId xmlns:a16="http://schemas.microsoft.com/office/drawing/2014/main" id="{C0B5CDBC-9190-48BF-AE1A-DFD6713C1CAF}"/>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4810" name="직선 화살표 연결선 24809">
          <a:extLst>
            <a:ext uri="{FF2B5EF4-FFF2-40B4-BE49-F238E27FC236}">
              <a16:creationId xmlns:a16="http://schemas.microsoft.com/office/drawing/2014/main" id="{056B18BF-C2C7-4801-9A6A-E5984E93D44D}"/>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4811" name="4">
          <a:extLst>
            <a:ext uri="{FF2B5EF4-FFF2-40B4-BE49-F238E27FC236}">
              <a16:creationId xmlns:a16="http://schemas.microsoft.com/office/drawing/2014/main" id="{E03DC0DE-7EEE-4C54-B9A6-1B266804115C}"/>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4812" name="직선 화살표 연결선 24811">
          <a:extLst>
            <a:ext uri="{FF2B5EF4-FFF2-40B4-BE49-F238E27FC236}">
              <a16:creationId xmlns:a16="http://schemas.microsoft.com/office/drawing/2014/main" id="{0B861812-BC01-400A-9BCB-511BAB244ACE}"/>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4813" name="3">
          <a:extLst>
            <a:ext uri="{FF2B5EF4-FFF2-40B4-BE49-F238E27FC236}">
              <a16:creationId xmlns:a16="http://schemas.microsoft.com/office/drawing/2014/main" id="{E8A5FEB7-9A7B-4654-B440-F21939621926}"/>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4814" name="직선 화살표 연결선 24813">
          <a:extLst>
            <a:ext uri="{FF2B5EF4-FFF2-40B4-BE49-F238E27FC236}">
              <a16:creationId xmlns:a16="http://schemas.microsoft.com/office/drawing/2014/main" id="{387DC970-A8FC-4C04-9FA1-7BB23BDEED47}"/>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4815" name="2">
          <a:extLst>
            <a:ext uri="{FF2B5EF4-FFF2-40B4-BE49-F238E27FC236}">
              <a16:creationId xmlns:a16="http://schemas.microsoft.com/office/drawing/2014/main" id="{F698FA59-1BCD-40E9-BAD5-0FB21B9C09C5}"/>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4816" name="직선 화살표 연결선 24815">
          <a:extLst>
            <a:ext uri="{FF2B5EF4-FFF2-40B4-BE49-F238E27FC236}">
              <a16:creationId xmlns:a16="http://schemas.microsoft.com/office/drawing/2014/main" id="{A5BAC67F-9F75-42B9-876A-1AC1619AFBDB}"/>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4817" name="1">
          <a:extLst>
            <a:ext uri="{FF2B5EF4-FFF2-40B4-BE49-F238E27FC236}">
              <a16:creationId xmlns:a16="http://schemas.microsoft.com/office/drawing/2014/main" id="{78254D49-8A71-4CCD-820A-C4A5C8857F90}"/>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4818" name="직선 화살표 연결선 24817">
          <a:extLst>
            <a:ext uri="{FF2B5EF4-FFF2-40B4-BE49-F238E27FC236}">
              <a16:creationId xmlns:a16="http://schemas.microsoft.com/office/drawing/2014/main" id="{4BA34B3B-562C-4D17-8F65-9DA5A93AA270}"/>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4944" name="44">
          <a:extLst>
            <a:ext uri="{FF2B5EF4-FFF2-40B4-BE49-F238E27FC236}">
              <a16:creationId xmlns:a16="http://schemas.microsoft.com/office/drawing/2014/main" id="{6920A8E6-9BD6-4485-8D23-C04738DE2CB4}"/>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4945" name="직선 화살표 연결선 24944">
          <a:extLst>
            <a:ext uri="{FF2B5EF4-FFF2-40B4-BE49-F238E27FC236}">
              <a16:creationId xmlns:a16="http://schemas.microsoft.com/office/drawing/2014/main" id="{BF74C525-DD81-4AAC-9EB6-C381E27E2825}"/>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4946" name="43">
          <a:extLst>
            <a:ext uri="{FF2B5EF4-FFF2-40B4-BE49-F238E27FC236}">
              <a16:creationId xmlns:a16="http://schemas.microsoft.com/office/drawing/2014/main" id="{A47F0A92-1EAC-452D-8E5A-C8E105688A97}"/>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4947" name="직선 화살표 연결선 24946">
          <a:extLst>
            <a:ext uri="{FF2B5EF4-FFF2-40B4-BE49-F238E27FC236}">
              <a16:creationId xmlns:a16="http://schemas.microsoft.com/office/drawing/2014/main" id="{0EE9A7C3-C9FD-4889-963E-C8D44A72A4E4}"/>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4948" name="42">
          <a:extLst>
            <a:ext uri="{FF2B5EF4-FFF2-40B4-BE49-F238E27FC236}">
              <a16:creationId xmlns:a16="http://schemas.microsoft.com/office/drawing/2014/main" id="{4E2B8805-3FB5-47E4-85DA-FBCBEB1ABA91}"/>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4949" name="직선 화살표 연결선 24948">
          <a:extLst>
            <a:ext uri="{FF2B5EF4-FFF2-40B4-BE49-F238E27FC236}">
              <a16:creationId xmlns:a16="http://schemas.microsoft.com/office/drawing/2014/main" id="{0D41E26D-5993-430C-9A13-00B95CD3D394}"/>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4950" name="41">
          <a:extLst>
            <a:ext uri="{FF2B5EF4-FFF2-40B4-BE49-F238E27FC236}">
              <a16:creationId xmlns:a16="http://schemas.microsoft.com/office/drawing/2014/main" id="{04CBF5E4-6D6C-4E49-A808-71BCB6CFD9DD}"/>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4951" name="직선 화살표 연결선 24950">
          <a:extLst>
            <a:ext uri="{FF2B5EF4-FFF2-40B4-BE49-F238E27FC236}">
              <a16:creationId xmlns:a16="http://schemas.microsoft.com/office/drawing/2014/main" id="{0C5D0D55-B2CF-4F06-9CC8-76BBABAF3D5B}"/>
            </a:ext>
          </a:extLst>
        </xdr:cNvPr>
        <xdr:cNvCxnSpPr/>
      </xdr:nvCxnSpPr>
      <xdr:spPr>
        <a:xfrm>
          <a:off x="12395563" y="6987540"/>
          <a:ext cx="13030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5011" name="10">
          <a:extLst>
            <a:ext uri="{FF2B5EF4-FFF2-40B4-BE49-F238E27FC236}">
              <a16:creationId xmlns:a16="http://schemas.microsoft.com/office/drawing/2014/main" id="{616E182D-8729-441B-8679-CB5179C8843B}"/>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5012" name="직선 화살표 연결선 25011">
          <a:extLst>
            <a:ext uri="{FF2B5EF4-FFF2-40B4-BE49-F238E27FC236}">
              <a16:creationId xmlns:a16="http://schemas.microsoft.com/office/drawing/2014/main" id="{F958A3EA-8BE9-483D-A7B0-099A7FD634E5}"/>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5013" name="9">
          <a:extLst>
            <a:ext uri="{FF2B5EF4-FFF2-40B4-BE49-F238E27FC236}">
              <a16:creationId xmlns:a16="http://schemas.microsoft.com/office/drawing/2014/main" id="{B085F079-569F-4435-B693-294E7B235C36}"/>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5014" name="직선 화살표 연결선 25013">
          <a:extLst>
            <a:ext uri="{FF2B5EF4-FFF2-40B4-BE49-F238E27FC236}">
              <a16:creationId xmlns:a16="http://schemas.microsoft.com/office/drawing/2014/main" id="{3905E7FB-6594-4580-B684-418092A15CD9}"/>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5015" name="8">
          <a:extLst>
            <a:ext uri="{FF2B5EF4-FFF2-40B4-BE49-F238E27FC236}">
              <a16:creationId xmlns:a16="http://schemas.microsoft.com/office/drawing/2014/main" id="{4FE8F0FB-56C2-40AD-BC57-395D1F63CDDE}"/>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5016" name="직선 화살표 연결선 25015">
          <a:extLst>
            <a:ext uri="{FF2B5EF4-FFF2-40B4-BE49-F238E27FC236}">
              <a16:creationId xmlns:a16="http://schemas.microsoft.com/office/drawing/2014/main" id="{DA06725B-F552-42D9-8A93-E74C5858C110}"/>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5017" name="7">
          <a:extLst>
            <a:ext uri="{FF2B5EF4-FFF2-40B4-BE49-F238E27FC236}">
              <a16:creationId xmlns:a16="http://schemas.microsoft.com/office/drawing/2014/main" id="{446F0BD2-7149-436B-96D2-4CE532EF8DDC}"/>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5018" name="6">
          <a:extLst>
            <a:ext uri="{FF2B5EF4-FFF2-40B4-BE49-F238E27FC236}">
              <a16:creationId xmlns:a16="http://schemas.microsoft.com/office/drawing/2014/main" id="{C18FB851-0D14-4BFB-9BBA-CA1271A65D1E}"/>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5019" name="직선 화살표 연결선 25018">
          <a:extLst>
            <a:ext uri="{FF2B5EF4-FFF2-40B4-BE49-F238E27FC236}">
              <a16:creationId xmlns:a16="http://schemas.microsoft.com/office/drawing/2014/main" id="{538492E0-8445-4EA0-8B65-6BCCDB25CDCB}"/>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5020" name="5">
          <a:extLst>
            <a:ext uri="{FF2B5EF4-FFF2-40B4-BE49-F238E27FC236}">
              <a16:creationId xmlns:a16="http://schemas.microsoft.com/office/drawing/2014/main" id="{938E28A2-3A29-4A13-B69E-071AEA7F7851}"/>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5021" name="직선 화살표 연결선 25020">
          <a:extLst>
            <a:ext uri="{FF2B5EF4-FFF2-40B4-BE49-F238E27FC236}">
              <a16:creationId xmlns:a16="http://schemas.microsoft.com/office/drawing/2014/main" id="{B0DC6234-260F-4145-A928-29731CB3A153}"/>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5022" name="4">
          <a:extLst>
            <a:ext uri="{FF2B5EF4-FFF2-40B4-BE49-F238E27FC236}">
              <a16:creationId xmlns:a16="http://schemas.microsoft.com/office/drawing/2014/main" id="{A22991C6-3C0E-4722-8D96-24851384CD2A}"/>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5023" name="직선 화살표 연결선 25022">
          <a:extLst>
            <a:ext uri="{FF2B5EF4-FFF2-40B4-BE49-F238E27FC236}">
              <a16:creationId xmlns:a16="http://schemas.microsoft.com/office/drawing/2014/main" id="{82FBD369-B3A0-42DE-A06C-058708C2D91A}"/>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5024" name="3">
          <a:extLst>
            <a:ext uri="{FF2B5EF4-FFF2-40B4-BE49-F238E27FC236}">
              <a16:creationId xmlns:a16="http://schemas.microsoft.com/office/drawing/2014/main" id="{C336CB95-28A5-4FEF-BD13-E9A93EE08005}"/>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5025" name="직선 화살표 연결선 25024">
          <a:extLst>
            <a:ext uri="{FF2B5EF4-FFF2-40B4-BE49-F238E27FC236}">
              <a16:creationId xmlns:a16="http://schemas.microsoft.com/office/drawing/2014/main" id="{3F5918A2-4453-4153-BEC4-04BFFCBCCC75}"/>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5026" name="2">
          <a:extLst>
            <a:ext uri="{FF2B5EF4-FFF2-40B4-BE49-F238E27FC236}">
              <a16:creationId xmlns:a16="http://schemas.microsoft.com/office/drawing/2014/main" id="{758EEBBC-3089-4031-9789-488D43777C12}"/>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5027" name="직선 화살표 연결선 25026">
          <a:extLst>
            <a:ext uri="{FF2B5EF4-FFF2-40B4-BE49-F238E27FC236}">
              <a16:creationId xmlns:a16="http://schemas.microsoft.com/office/drawing/2014/main" id="{187FB751-E78C-46BB-9147-3658C8C14BC9}"/>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5028" name="1">
          <a:extLst>
            <a:ext uri="{FF2B5EF4-FFF2-40B4-BE49-F238E27FC236}">
              <a16:creationId xmlns:a16="http://schemas.microsoft.com/office/drawing/2014/main" id="{64AA18FC-FD80-443E-8358-6C207DE3E307}"/>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5029" name="직선 화살표 연결선 25028">
          <a:extLst>
            <a:ext uri="{FF2B5EF4-FFF2-40B4-BE49-F238E27FC236}">
              <a16:creationId xmlns:a16="http://schemas.microsoft.com/office/drawing/2014/main" id="{726809AB-E7D5-4663-A531-CF7BA45DEF29}"/>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5187" name="44">
          <a:extLst>
            <a:ext uri="{FF2B5EF4-FFF2-40B4-BE49-F238E27FC236}">
              <a16:creationId xmlns:a16="http://schemas.microsoft.com/office/drawing/2014/main" id="{2ED33388-F807-4407-81F0-348173A13201}"/>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5188" name="직선 화살표 연결선 25187">
          <a:extLst>
            <a:ext uri="{FF2B5EF4-FFF2-40B4-BE49-F238E27FC236}">
              <a16:creationId xmlns:a16="http://schemas.microsoft.com/office/drawing/2014/main" id="{92C9C77B-6772-4193-A480-7E02C62CE005}"/>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5189" name="43">
          <a:extLst>
            <a:ext uri="{FF2B5EF4-FFF2-40B4-BE49-F238E27FC236}">
              <a16:creationId xmlns:a16="http://schemas.microsoft.com/office/drawing/2014/main" id="{B3A0D858-0017-4415-AEA9-61AF1E6E6056}"/>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5190" name="직선 화살표 연결선 25189">
          <a:extLst>
            <a:ext uri="{FF2B5EF4-FFF2-40B4-BE49-F238E27FC236}">
              <a16:creationId xmlns:a16="http://schemas.microsoft.com/office/drawing/2014/main" id="{BC2C9833-0B2C-4BFD-BE95-410A01096EAC}"/>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5191" name="42">
          <a:extLst>
            <a:ext uri="{FF2B5EF4-FFF2-40B4-BE49-F238E27FC236}">
              <a16:creationId xmlns:a16="http://schemas.microsoft.com/office/drawing/2014/main" id="{9938CA31-D368-491B-B71A-A5525B9625E9}"/>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5192" name="직선 화살표 연결선 25191">
          <a:extLst>
            <a:ext uri="{FF2B5EF4-FFF2-40B4-BE49-F238E27FC236}">
              <a16:creationId xmlns:a16="http://schemas.microsoft.com/office/drawing/2014/main" id="{6FE89B1E-0C1D-4068-B4B7-0D26C63C3FE2}"/>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5193" name="41">
          <a:extLst>
            <a:ext uri="{FF2B5EF4-FFF2-40B4-BE49-F238E27FC236}">
              <a16:creationId xmlns:a16="http://schemas.microsoft.com/office/drawing/2014/main" id="{521A6129-7548-40CA-AC23-EC2983A5EAD1}"/>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5194" name="직선 화살표 연결선 25193">
          <a:extLst>
            <a:ext uri="{FF2B5EF4-FFF2-40B4-BE49-F238E27FC236}">
              <a16:creationId xmlns:a16="http://schemas.microsoft.com/office/drawing/2014/main" id="{332EC16E-8B54-42EC-B06C-B0456B6D1E4F}"/>
            </a:ext>
          </a:extLst>
        </xdr:cNvPr>
        <xdr:cNvCxnSpPr/>
      </xdr:nvCxnSpPr>
      <xdr:spPr>
        <a:xfrm>
          <a:off x="12395563" y="6987540"/>
          <a:ext cx="8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5254" name="10">
          <a:extLst>
            <a:ext uri="{FF2B5EF4-FFF2-40B4-BE49-F238E27FC236}">
              <a16:creationId xmlns:a16="http://schemas.microsoft.com/office/drawing/2014/main" id="{456D93B2-BF98-45A9-95A5-6D01CFA2A49D}"/>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5255" name="직선 화살표 연결선 25254">
          <a:extLst>
            <a:ext uri="{FF2B5EF4-FFF2-40B4-BE49-F238E27FC236}">
              <a16:creationId xmlns:a16="http://schemas.microsoft.com/office/drawing/2014/main" id="{D194A932-58A3-489F-B2BC-A98D0FE2C3CB}"/>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5256" name="9">
          <a:extLst>
            <a:ext uri="{FF2B5EF4-FFF2-40B4-BE49-F238E27FC236}">
              <a16:creationId xmlns:a16="http://schemas.microsoft.com/office/drawing/2014/main" id="{9C8267BF-4DF1-425A-972E-D3B8234BEECA}"/>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5257" name="직선 화살표 연결선 25256">
          <a:extLst>
            <a:ext uri="{FF2B5EF4-FFF2-40B4-BE49-F238E27FC236}">
              <a16:creationId xmlns:a16="http://schemas.microsoft.com/office/drawing/2014/main" id="{DCDB85E7-9E7F-486E-958A-68D86225C391}"/>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5258" name="8">
          <a:extLst>
            <a:ext uri="{FF2B5EF4-FFF2-40B4-BE49-F238E27FC236}">
              <a16:creationId xmlns:a16="http://schemas.microsoft.com/office/drawing/2014/main" id="{BD7B476F-50A7-4390-AC40-963FF9A3842C}"/>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5259" name="직선 화살표 연결선 25258">
          <a:extLst>
            <a:ext uri="{FF2B5EF4-FFF2-40B4-BE49-F238E27FC236}">
              <a16:creationId xmlns:a16="http://schemas.microsoft.com/office/drawing/2014/main" id="{4487AE0F-4CA9-43BA-81A0-9252140A8E2D}"/>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5260" name="7">
          <a:extLst>
            <a:ext uri="{FF2B5EF4-FFF2-40B4-BE49-F238E27FC236}">
              <a16:creationId xmlns:a16="http://schemas.microsoft.com/office/drawing/2014/main" id="{FAF16672-0A15-4558-80F4-BF078E8467A1}"/>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5261" name="6">
          <a:extLst>
            <a:ext uri="{FF2B5EF4-FFF2-40B4-BE49-F238E27FC236}">
              <a16:creationId xmlns:a16="http://schemas.microsoft.com/office/drawing/2014/main" id="{1ACAD6A7-CB78-486B-B8B8-E91B040414E5}"/>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5262" name="직선 화살표 연결선 25261">
          <a:extLst>
            <a:ext uri="{FF2B5EF4-FFF2-40B4-BE49-F238E27FC236}">
              <a16:creationId xmlns:a16="http://schemas.microsoft.com/office/drawing/2014/main" id="{46DE3716-AA62-4A1A-8006-F83169B790D2}"/>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5263" name="5">
          <a:extLst>
            <a:ext uri="{FF2B5EF4-FFF2-40B4-BE49-F238E27FC236}">
              <a16:creationId xmlns:a16="http://schemas.microsoft.com/office/drawing/2014/main" id="{AF3D2F0A-A268-4043-BE0C-317A4DD5FE5A}"/>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5264" name="직선 화살표 연결선 25263">
          <a:extLst>
            <a:ext uri="{FF2B5EF4-FFF2-40B4-BE49-F238E27FC236}">
              <a16:creationId xmlns:a16="http://schemas.microsoft.com/office/drawing/2014/main" id="{DB59EEB0-F6BB-4D87-96C1-741B39CA0BA8}"/>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5265" name="4">
          <a:extLst>
            <a:ext uri="{FF2B5EF4-FFF2-40B4-BE49-F238E27FC236}">
              <a16:creationId xmlns:a16="http://schemas.microsoft.com/office/drawing/2014/main" id="{1E4E78FA-B8F9-4BB0-B60D-FB1C15A0BC18}"/>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5266" name="직선 화살표 연결선 25265">
          <a:extLst>
            <a:ext uri="{FF2B5EF4-FFF2-40B4-BE49-F238E27FC236}">
              <a16:creationId xmlns:a16="http://schemas.microsoft.com/office/drawing/2014/main" id="{CED7BC79-C524-4DA2-B70E-F934BB35E404}"/>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5267" name="3">
          <a:extLst>
            <a:ext uri="{FF2B5EF4-FFF2-40B4-BE49-F238E27FC236}">
              <a16:creationId xmlns:a16="http://schemas.microsoft.com/office/drawing/2014/main" id="{4A3B53CF-83B9-40F1-8B60-94F48C064796}"/>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5268" name="직선 화살표 연결선 25267">
          <a:extLst>
            <a:ext uri="{FF2B5EF4-FFF2-40B4-BE49-F238E27FC236}">
              <a16:creationId xmlns:a16="http://schemas.microsoft.com/office/drawing/2014/main" id="{31AEC70A-82CC-4B5D-A1C2-952B6A9EC7D0}"/>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5269" name="2">
          <a:extLst>
            <a:ext uri="{FF2B5EF4-FFF2-40B4-BE49-F238E27FC236}">
              <a16:creationId xmlns:a16="http://schemas.microsoft.com/office/drawing/2014/main" id="{65C3A3D7-A81F-47D6-A8A5-4E2F84F88BD5}"/>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5270" name="직선 화살표 연결선 25269">
          <a:extLst>
            <a:ext uri="{FF2B5EF4-FFF2-40B4-BE49-F238E27FC236}">
              <a16:creationId xmlns:a16="http://schemas.microsoft.com/office/drawing/2014/main" id="{ACEBDB95-5A19-4EB5-BC79-58FE5B9F729A}"/>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5271" name="1">
          <a:extLst>
            <a:ext uri="{FF2B5EF4-FFF2-40B4-BE49-F238E27FC236}">
              <a16:creationId xmlns:a16="http://schemas.microsoft.com/office/drawing/2014/main" id="{4A44D0F4-DA4F-4F19-A616-1C2DA67E79AF}"/>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5272" name="직선 화살표 연결선 25271">
          <a:extLst>
            <a:ext uri="{FF2B5EF4-FFF2-40B4-BE49-F238E27FC236}">
              <a16:creationId xmlns:a16="http://schemas.microsoft.com/office/drawing/2014/main" id="{23DA5BC8-9703-4B5A-8FC2-C21D9E87430C}"/>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5386" name="44">
          <a:extLst>
            <a:ext uri="{FF2B5EF4-FFF2-40B4-BE49-F238E27FC236}">
              <a16:creationId xmlns:a16="http://schemas.microsoft.com/office/drawing/2014/main" id="{02B23BFE-4192-4BAF-9A03-F8877961024F}"/>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5387" name="직선 화살표 연결선 25386">
          <a:extLst>
            <a:ext uri="{FF2B5EF4-FFF2-40B4-BE49-F238E27FC236}">
              <a16:creationId xmlns:a16="http://schemas.microsoft.com/office/drawing/2014/main" id="{E280D78C-8EA7-4C1B-B5F6-39A246429FE2}"/>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5388" name="43">
          <a:extLst>
            <a:ext uri="{FF2B5EF4-FFF2-40B4-BE49-F238E27FC236}">
              <a16:creationId xmlns:a16="http://schemas.microsoft.com/office/drawing/2014/main" id="{E50676DF-7E4A-4890-8DB5-3ED6E3B13CBF}"/>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5389" name="직선 화살표 연결선 25388">
          <a:extLst>
            <a:ext uri="{FF2B5EF4-FFF2-40B4-BE49-F238E27FC236}">
              <a16:creationId xmlns:a16="http://schemas.microsoft.com/office/drawing/2014/main" id="{8A25E5A1-DA38-4D78-8D1E-9DF4E788D69B}"/>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5390" name="42">
          <a:extLst>
            <a:ext uri="{FF2B5EF4-FFF2-40B4-BE49-F238E27FC236}">
              <a16:creationId xmlns:a16="http://schemas.microsoft.com/office/drawing/2014/main" id="{FCBE9F50-F9B5-4F12-875F-DE8DB57D1527}"/>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5391" name="직선 화살표 연결선 25390">
          <a:extLst>
            <a:ext uri="{FF2B5EF4-FFF2-40B4-BE49-F238E27FC236}">
              <a16:creationId xmlns:a16="http://schemas.microsoft.com/office/drawing/2014/main" id="{09C12172-9C4D-4E28-B323-C56C46ACD698}"/>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5392" name="41">
          <a:extLst>
            <a:ext uri="{FF2B5EF4-FFF2-40B4-BE49-F238E27FC236}">
              <a16:creationId xmlns:a16="http://schemas.microsoft.com/office/drawing/2014/main" id="{C437A69E-E1DD-4F56-82DE-C623A0599AE5}"/>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5393" name="직선 화살표 연결선 25392">
          <a:extLst>
            <a:ext uri="{FF2B5EF4-FFF2-40B4-BE49-F238E27FC236}">
              <a16:creationId xmlns:a16="http://schemas.microsoft.com/office/drawing/2014/main" id="{C73B4360-37A3-4C7C-BAFA-BF7AFCE4E38F}"/>
            </a:ext>
          </a:extLst>
        </xdr:cNvPr>
        <xdr:cNvCxnSpPr/>
      </xdr:nvCxnSpPr>
      <xdr:spPr>
        <a:xfrm>
          <a:off x="12395563" y="6987540"/>
          <a:ext cx="5462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5453" name="10">
          <a:extLst>
            <a:ext uri="{FF2B5EF4-FFF2-40B4-BE49-F238E27FC236}">
              <a16:creationId xmlns:a16="http://schemas.microsoft.com/office/drawing/2014/main" id="{098564A0-E2F2-4223-BE92-9EA5D1EBEE76}"/>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5454" name="직선 화살표 연결선 25453">
          <a:extLst>
            <a:ext uri="{FF2B5EF4-FFF2-40B4-BE49-F238E27FC236}">
              <a16:creationId xmlns:a16="http://schemas.microsoft.com/office/drawing/2014/main" id="{921F4246-71DF-4946-876F-0FF1DC864AD6}"/>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5455" name="9">
          <a:extLst>
            <a:ext uri="{FF2B5EF4-FFF2-40B4-BE49-F238E27FC236}">
              <a16:creationId xmlns:a16="http://schemas.microsoft.com/office/drawing/2014/main" id="{F735C599-AA26-43E0-B799-471D69AF76F5}"/>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5456" name="직선 화살표 연결선 25455">
          <a:extLst>
            <a:ext uri="{FF2B5EF4-FFF2-40B4-BE49-F238E27FC236}">
              <a16:creationId xmlns:a16="http://schemas.microsoft.com/office/drawing/2014/main" id="{F637D6D7-192B-4155-BE4F-BFFFCAE48522}"/>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5457" name="8">
          <a:extLst>
            <a:ext uri="{FF2B5EF4-FFF2-40B4-BE49-F238E27FC236}">
              <a16:creationId xmlns:a16="http://schemas.microsoft.com/office/drawing/2014/main" id="{9EB3ABFE-8773-4412-949A-9742819E62A6}"/>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5458" name="직선 화살표 연결선 25457">
          <a:extLst>
            <a:ext uri="{FF2B5EF4-FFF2-40B4-BE49-F238E27FC236}">
              <a16:creationId xmlns:a16="http://schemas.microsoft.com/office/drawing/2014/main" id="{21A647B4-097F-42B1-B10F-6BDFCD090FB5}"/>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5459" name="7">
          <a:extLst>
            <a:ext uri="{FF2B5EF4-FFF2-40B4-BE49-F238E27FC236}">
              <a16:creationId xmlns:a16="http://schemas.microsoft.com/office/drawing/2014/main" id="{E159C6DD-5E8E-46B2-9645-D1DDF33981A4}"/>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5460" name="6">
          <a:extLst>
            <a:ext uri="{FF2B5EF4-FFF2-40B4-BE49-F238E27FC236}">
              <a16:creationId xmlns:a16="http://schemas.microsoft.com/office/drawing/2014/main" id="{DA58F68F-969D-4BA2-8665-467AECB0499A}"/>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5461" name="직선 화살표 연결선 25460">
          <a:extLst>
            <a:ext uri="{FF2B5EF4-FFF2-40B4-BE49-F238E27FC236}">
              <a16:creationId xmlns:a16="http://schemas.microsoft.com/office/drawing/2014/main" id="{515B1734-C648-4805-81A0-80559DA44B98}"/>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5462" name="5">
          <a:extLst>
            <a:ext uri="{FF2B5EF4-FFF2-40B4-BE49-F238E27FC236}">
              <a16:creationId xmlns:a16="http://schemas.microsoft.com/office/drawing/2014/main" id="{4A1FDC9F-E421-4CF0-9A7B-BB711510E0B2}"/>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5463" name="직선 화살표 연결선 25462">
          <a:extLst>
            <a:ext uri="{FF2B5EF4-FFF2-40B4-BE49-F238E27FC236}">
              <a16:creationId xmlns:a16="http://schemas.microsoft.com/office/drawing/2014/main" id="{0F7F98B1-2CA9-402B-88BD-B25D53B59125}"/>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5464" name="4">
          <a:extLst>
            <a:ext uri="{FF2B5EF4-FFF2-40B4-BE49-F238E27FC236}">
              <a16:creationId xmlns:a16="http://schemas.microsoft.com/office/drawing/2014/main" id="{DF61EE0C-7B4E-4FE4-854A-B76DF21C6FF6}"/>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5465" name="직선 화살표 연결선 25464">
          <a:extLst>
            <a:ext uri="{FF2B5EF4-FFF2-40B4-BE49-F238E27FC236}">
              <a16:creationId xmlns:a16="http://schemas.microsoft.com/office/drawing/2014/main" id="{712CA77E-9144-4F68-8F91-3C95F2643D8F}"/>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5466" name="3">
          <a:extLst>
            <a:ext uri="{FF2B5EF4-FFF2-40B4-BE49-F238E27FC236}">
              <a16:creationId xmlns:a16="http://schemas.microsoft.com/office/drawing/2014/main" id="{801CB92E-364D-44F4-9D44-F28691BCA7DD}"/>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5467" name="직선 화살표 연결선 25466">
          <a:extLst>
            <a:ext uri="{FF2B5EF4-FFF2-40B4-BE49-F238E27FC236}">
              <a16:creationId xmlns:a16="http://schemas.microsoft.com/office/drawing/2014/main" id="{F4D677F3-1B9E-4E62-BC5C-AD7CA38397C3}"/>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5468" name="2">
          <a:extLst>
            <a:ext uri="{FF2B5EF4-FFF2-40B4-BE49-F238E27FC236}">
              <a16:creationId xmlns:a16="http://schemas.microsoft.com/office/drawing/2014/main" id="{B3358DD0-0808-4892-8704-AE875407AE68}"/>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5469" name="직선 화살표 연결선 25468">
          <a:extLst>
            <a:ext uri="{FF2B5EF4-FFF2-40B4-BE49-F238E27FC236}">
              <a16:creationId xmlns:a16="http://schemas.microsoft.com/office/drawing/2014/main" id="{0CAA11E5-0D64-4EC2-8382-C15B8AE89E9F}"/>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5470" name="1">
          <a:extLst>
            <a:ext uri="{FF2B5EF4-FFF2-40B4-BE49-F238E27FC236}">
              <a16:creationId xmlns:a16="http://schemas.microsoft.com/office/drawing/2014/main" id="{C9292251-AB28-43E2-8E05-4F74C75262D1}"/>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5471" name="직선 화살표 연결선 25470">
          <a:extLst>
            <a:ext uri="{FF2B5EF4-FFF2-40B4-BE49-F238E27FC236}">
              <a16:creationId xmlns:a16="http://schemas.microsoft.com/office/drawing/2014/main" id="{43DB0045-5FB2-468A-88F1-28FA29986B01}"/>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5687" name="44">
          <a:extLst>
            <a:ext uri="{FF2B5EF4-FFF2-40B4-BE49-F238E27FC236}">
              <a16:creationId xmlns:a16="http://schemas.microsoft.com/office/drawing/2014/main" id="{C93427D7-8C73-4263-8FCA-CDAF89B38024}"/>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5688" name="직선 화살표 연결선 25687">
          <a:extLst>
            <a:ext uri="{FF2B5EF4-FFF2-40B4-BE49-F238E27FC236}">
              <a16:creationId xmlns:a16="http://schemas.microsoft.com/office/drawing/2014/main" id="{B8C94AE7-7B50-465A-87DC-6DFDBF95FDEE}"/>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5689" name="43">
          <a:extLst>
            <a:ext uri="{FF2B5EF4-FFF2-40B4-BE49-F238E27FC236}">
              <a16:creationId xmlns:a16="http://schemas.microsoft.com/office/drawing/2014/main" id="{19D46790-1859-4ED7-96D6-E8CA001BB8B5}"/>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5690" name="직선 화살표 연결선 25689">
          <a:extLst>
            <a:ext uri="{FF2B5EF4-FFF2-40B4-BE49-F238E27FC236}">
              <a16:creationId xmlns:a16="http://schemas.microsoft.com/office/drawing/2014/main" id="{0FE3DD8D-4C0A-43D1-B96F-AC2BCF5E4DBF}"/>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5691" name="42">
          <a:extLst>
            <a:ext uri="{FF2B5EF4-FFF2-40B4-BE49-F238E27FC236}">
              <a16:creationId xmlns:a16="http://schemas.microsoft.com/office/drawing/2014/main" id="{91EBF173-31F2-4799-A916-DC58662EBA82}"/>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5692" name="직선 화살표 연결선 25691">
          <a:extLst>
            <a:ext uri="{FF2B5EF4-FFF2-40B4-BE49-F238E27FC236}">
              <a16:creationId xmlns:a16="http://schemas.microsoft.com/office/drawing/2014/main" id="{DA8D3CEE-871D-48EE-B058-78C8629DF440}"/>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5693" name="41">
          <a:extLst>
            <a:ext uri="{FF2B5EF4-FFF2-40B4-BE49-F238E27FC236}">
              <a16:creationId xmlns:a16="http://schemas.microsoft.com/office/drawing/2014/main" id="{643C440B-EE4F-4986-9308-F5B07BEA11F2}"/>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5694" name="직선 화살표 연결선 25693">
          <a:extLst>
            <a:ext uri="{FF2B5EF4-FFF2-40B4-BE49-F238E27FC236}">
              <a16:creationId xmlns:a16="http://schemas.microsoft.com/office/drawing/2014/main" id="{79BFCA57-75AA-4C68-A8F3-D199F2315A69}"/>
            </a:ext>
          </a:extLst>
        </xdr:cNvPr>
        <xdr:cNvCxnSpPr/>
      </xdr:nvCxnSpPr>
      <xdr:spPr>
        <a:xfrm>
          <a:off x="12395563" y="6987540"/>
          <a:ext cx="5462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5754" name="10">
          <a:extLst>
            <a:ext uri="{FF2B5EF4-FFF2-40B4-BE49-F238E27FC236}">
              <a16:creationId xmlns:a16="http://schemas.microsoft.com/office/drawing/2014/main" id="{7CDE1B19-45A1-44AD-8BF8-604E827FF5A0}"/>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5755" name="직선 화살표 연결선 25754">
          <a:extLst>
            <a:ext uri="{FF2B5EF4-FFF2-40B4-BE49-F238E27FC236}">
              <a16:creationId xmlns:a16="http://schemas.microsoft.com/office/drawing/2014/main" id="{CF93DF21-2F57-4A14-BBBB-2977D70F52B5}"/>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5756" name="9">
          <a:extLst>
            <a:ext uri="{FF2B5EF4-FFF2-40B4-BE49-F238E27FC236}">
              <a16:creationId xmlns:a16="http://schemas.microsoft.com/office/drawing/2014/main" id="{DE1F13B7-DF8C-4E99-B3B8-7CF2C998A626}"/>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5757" name="직선 화살표 연결선 25756">
          <a:extLst>
            <a:ext uri="{FF2B5EF4-FFF2-40B4-BE49-F238E27FC236}">
              <a16:creationId xmlns:a16="http://schemas.microsoft.com/office/drawing/2014/main" id="{542D3FF0-F5AD-462A-B1BC-0A11C52910DF}"/>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5758" name="8">
          <a:extLst>
            <a:ext uri="{FF2B5EF4-FFF2-40B4-BE49-F238E27FC236}">
              <a16:creationId xmlns:a16="http://schemas.microsoft.com/office/drawing/2014/main" id="{E87C0DF5-C704-426E-B86E-5E3AE7336A98}"/>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5759" name="직선 화살표 연결선 25758">
          <a:extLst>
            <a:ext uri="{FF2B5EF4-FFF2-40B4-BE49-F238E27FC236}">
              <a16:creationId xmlns:a16="http://schemas.microsoft.com/office/drawing/2014/main" id="{3F7D78BF-6C48-4EB1-A6A8-C59E9E4102D6}"/>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5760" name="7">
          <a:extLst>
            <a:ext uri="{FF2B5EF4-FFF2-40B4-BE49-F238E27FC236}">
              <a16:creationId xmlns:a16="http://schemas.microsoft.com/office/drawing/2014/main" id="{004540AB-8E8C-4F22-99D8-2BAC8FCBCFDA}"/>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5761" name="6">
          <a:extLst>
            <a:ext uri="{FF2B5EF4-FFF2-40B4-BE49-F238E27FC236}">
              <a16:creationId xmlns:a16="http://schemas.microsoft.com/office/drawing/2014/main" id="{7DC7FF63-A985-4FC7-BF7A-D933BCC4B79B}"/>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5762" name="직선 화살표 연결선 25761">
          <a:extLst>
            <a:ext uri="{FF2B5EF4-FFF2-40B4-BE49-F238E27FC236}">
              <a16:creationId xmlns:a16="http://schemas.microsoft.com/office/drawing/2014/main" id="{406B7B47-0F8C-424B-B584-F815343CACF8}"/>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5763" name="5">
          <a:extLst>
            <a:ext uri="{FF2B5EF4-FFF2-40B4-BE49-F238E27FC236}">
              <a16:creationId xmlns:a16="http://schemas.microsoft.com/office/drawing/2014/main" id="{F65D9FAC-1D74-48A6-A8F9-5AC30F5C6DD4}"/>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5764" name="직선 화살표 연결선 25763">
          <a:extLst>
            <a:ext uri="{FF2B5EF4-FFF2-40B4-BE49-F238E27FC236}">
              <a16:creationId xmlns:a16="http://schemas.microsoft.com/office/drawing/2014/main" id="{958F45AD-4D9B-4C8C-964F-9DD34539B9DA}"/>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5765" name="4">
          <a:extLst>
            <a:ext uri="{FF2B5EF4-FFF2-40B4-BE49-F238E27FC236}">
              <a16:creationId xmlns:a16="http://schemas.microsoft.com/office/drawing/2014/main" id="{7DA9C342-B3C1-4EF6-A459-AA629F074A1A}"/>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5766" name="직선 화살표 연결선 25765">
          <a:extLst>
            <a:ext uri="{FF2B5EF4-FFF2-40B4-BE49-F238E27FC236}">
              <a16:creationId xmlns:a16="http://schemas.microsoft.com/office/drawing/2014/main" id="{6EE8521E-C119-4D5D-8FFB-E019F11A2989}"/>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5767" name="3">
          <a:extLst>
            <a:ext uri="{FF2B5EF4-FFF2-40B4-BE49-F238E27FC236}">
              <a16:creationId xmlns:a16="http://schemas.microsoft.com/office/drawing/2014/main" id="{9BCE9999-7B5B-40F6-A43C-CCA1A12B5B72}"/>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5768" name="직선 화살표 연결선 25767">
          <a:extLst>
            <a:ext uri="{FF2B5EF4-FFF2-40B4-BE49-F238E27FC236}">
              <a16:creationId xmlns:a16="http://schemas.microsoft.com/office/drawing/2014/main" id="{5225F5C0-C227-489B-B2D4-4A65A3A7A86C}"/>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5769" name="2">
          <a:extLst>
            <a:ext uri="{FF2B5EF4-FFF2-40B4-BE49-F238E27FC236}">
              <a16:creationId xmlns:a16="http://schemas.microsoft.com/office/drawing/2014/main" id="{0EBBB6EC-55E9-4A27-A0D0-74C7984BA56D}"/>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5770" name="직선 화살표 연결선 25769">
          <a:extLst>
            <a:ext uri="{FF2B5EF4-FFF2-40B4-BE49-F238E27FC236}">
              <a16:creationId xmlns:a16="http://schemas.microsoft.com/office/drawing/2014/main" id="{0F2F78B7-E501-4C0D-94DC-FB4C4FAD773F}"/>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5771" name="1">
          <a:extLst>
            <a:ext uri="{FF2B5EF4-FFF2-40B4-BE49-F238E27FC236}">
              <a16:creationId xmlns:a16="http://schemas.microsoft.com/office/drawing/2014/main" id="{13AC3E56-D1E9-43CE-B414-051A0559F833}"/>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5772" name="직선 화살표 연결선 25771">
          <a:extLst>
            <a:ext uri="{FF2B5EF4-FFF2-40B4-BE49-F238E27FC236}">
              <a16:creationId xmlns:a16="http://schemas.microsoft.com/office/drawing/2014/main" id="{215D8E96-E1B7-4531-A78E-585491ADF5E6}"/>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5922" name="44">
          <a:extLst>
            <a:ext uri="{FF2B5EF4-FFF2-40B4-BE49-F238E27FC236}">
              <a16:creationId xmlns:a16="http://schemas.microsoft.com/office/drawing/2014/main" id="{8AFFA143-3F90-461F-ADEB-3723DFA95F22}"/>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5923" name="직선 화살표 연결선 25922">
          <a:extLst>
            <a:ext uri="{FF2B5EF4-FFF2-40B4-BE49-F238E27FC236}">
              <a16:creationId xmlns:a16="http://schemas.microsoft.com/office/drawing/2014/main" id="{0240EF53-2F0A-46B8-93EE-063CAA03DD0A}"/>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5924" name="43">
          <a:extLst>
            <a:ext uri="{FF2B5EF4-FFF2-40B4-BE49-F238E27FC236}">
              <a16:creationId xmlns:a16="http://schemas.microsoft.com/office/drawing/2014/main" id="{30A65477-78BF-4EB7-8266-879553A4E843}"/>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5925" name="직선 화살표 연결선 25924">
          <a:extLst>
            <a:ext uri="{FF2B5EF4-FFF2-40B4-BE49-F238E27FC236}">
              <a16:creationId xmlns:a16="http://schemas.microsoft.com/office/drawing/2014/main" id="{B4A803BD-22E7-46C5-A578-A9B20997F56A}"/>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5926" name="42">
          <a:extLst>
            <a:ext uri="{FF2B5EF4-FFF2-40B4-BE49-F238E27FC236}">
              <a16:creationId xmlns:a16="http://schemas.microsoft.com/office/drawing/2014/main" id="{3338FDF1-8A11-48E9-A456-D69BEA7C593E}"/>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5927" name="직선 화살표 연결선 25926">
          <a:extLst>
            <a:ext uri="{FF2B5EF4-FFF2-40B4-BE49-F238E27FC236}">
              <a16:creationId xmlns:a16="http://schemas.microsoft.com/office/drawing/2014/main" id="{15FEA5DF-F24F-403F-99A1-F4E30F80EF07}"/>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5928" name="41">
          <a:extLst>
            <a:ext uri="{FF2B5EF4-FFF2-40B4-BE49-F238E27FC236}">
              <a16:creationId xmlns:a16="http://schemas.microsoft.com/office/drawing/2014/main" id="{EC4B8E4D-92C8-46EF-AE49-30FE0B2B6054}"/>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5929" name="직선 화살표 연결선 25928">
          <a:extLst>
            <a:ext uri="{FF2B5EF4-FFF2-40B4-BE49-F238E27FC236}">
              <a16:creationId xmlns:a16="http://schemas.microsoft.com/office/drawing/2014/main" id="{9DC12760-95B0-41F0-AAB0-98CA5A1C8EB7}"/>
            </a:ext>
          </a:extLst>
        </xdr:cNvPr>
        <xdr:cNvCxnSpPr/>
      </xdr:nvCxnSpPr>
      <xdr:spPr>
        <a:xfrm>
          <a:off x="12395563" y="6987540"/>
          <a:ext cx="3775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5989" name="10">
          <a:extLst>
            <a:ext uri="{FF2B5EF4-FFF2-40B4-BE49-F238E27FC236}">
              <a16:creationId xmlns:a16="http://schemas.microsoft.com/office/drawing/2014/main" id="{C2204AB2-80B2-41CE-808C-CFDE0E8E8DE8}"/>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5990" name="직선 화살표 연결선 25989">
          <a:extLst>
            <a:ext uri="{FF2B5EF4-FFF2-40B4-BE49-F238E27FC236}">
              <a16:creationId xmlns:a16="http://schemas.microsoft.com/office/drawing/2014/main" id="{8B710A46-DA87-4440-A269-233EAB32D2B9}"/>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5991" name="9">
          <a:extLst>
            <a:ext uri="{FF2B5EF4-FFF2-40B4-BE49-F238E27FC236}">
              <a16:creationId xmlns:a16="http://schemas.microsoft.com/office/drawing/2014/main" id="{77CA46EF-1533-474D-8213-C17E62234A93}"/>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5992" name="직선 화살표 연결선 25991">
          <a:extLst>
            <a:ext uri="{FF2B5EF4-FFF2-40B4-BE49-F238E27FC236}">
              <a16:creationId xmlns:a16="http://schemas.microsoft.com/office/drawing/2014/main" id="{D580F2AC-A0C2-407D-8CE6-0F20A13930C1}"/>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5993" name="8">
          <a:extLst>
            <a:ext uri="{FF2B5EF4-FFF2-40B4-BE49-F238E27FC236}">
              <a16:creationId xmlns:a16="http://schemas.microsoft.com/office/drawing/2014/main" id="{B06D688F-E765-4993-BF55-A73162093B1D}"/>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5994" name="직선 화살표 연결선 25993">
          <a:extLst>
            <a:ext uri="{FF2B5EF4-FFF2-40B4-BE49-F238E27FC236}">
              <a16:creationId xmlns:a16="http://schemas.microsoft.com/office/drawing/2014/main" id="{AC92E9EA-6EF4-4821-BDC6-CDD68CFB2D6A}"/>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5995" name="7">
          <a:extLst>
            <a:ext uri="{FF2B5EF4-FFF2-40B4-BE49-F238E27FC236}">
              <a16:creationId xmlns:a16="http://schemas.microsoft.com/office/drawing/2014/main" id="{11A928E8-521B-4318-9283-B425F9A32CB4}"/>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5996" name="6">
          <a:extLst>
            <a:ext uri="{FF2B5EF4-FFF2-40B4-BE49-F238E27FC236}">
              <a16:creationId xmlns:a16="http://schemas.microsoft.com/office/drawing/2014/main" id="{D2A4B079-47CF-4ABA-92B0-8BBECC985C7B}"/>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5997" name="직선 화살표 연결선 25996">
          <a:extLst>
            <a:ext uri="{FF2B5EF4-FFF2-40B4-BE49-F238E27FC236}">
              <a16:creationId xmlns:a16="http://schemas.microsoft.com/office/drawing/2014/main" id="{86418EE8-0B48-4BB1-BD32-1932AF47810C}"/>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5998" name="5">
          <a:extLst>
            <a:ext uri="{FF2B5EF4-FFF2-40B4-BE49-F238E27FC236}">
              <a16:creationId xmlns:a16="http://schemas.microsoft.com/office/drawing/2014/main" id="{E4C34CD3-E7B1-428E-B225-FBB2AB27F3BB}"/>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5999" name="직선 화살표 연결선 25998">
          <a:extLst>
            <a:ext uri="{FF2B5EF4-FFF2-40B4-BE49-F238E27FC236}">
              <a16:creationId xmlns:a16="http://schemas.microsoft.com/office/drawing/2014/main" id="{1FCF00B5-E02F-4507-93F9-C8BF585FFE3D}"/>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6000" name="4">
          <a:extLst>
            <a:ext uri="{FF2B5EF4-FFF2-40B4-BE49-F238E27FC236}">
              <a16:creationId xmlns:a16="http://schemas.microsoft.com/office/drawing/2014/main" id="{A1ED1007-0E4F-43CE-AB42-DA647367D75E}"/>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6001" name="직선 화살표 연결선 26000">
          <a:extLst>
            <a:ext uri="{FF2B5EF4-FFF2-40B4-BE49-F238E27FC236}">
              <a16:creationId xmlns:a16="http://schemas.microsoft.com/office/drawing/2014/main" id="{6D97C1C2-95DD-45F7-BD06-04E42F41CD03}"/>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6002" name="3">
          <a:extLst>
            <a:ext uri="{FF2B5EF4-FFF2-40B4-BE49-F238E27FC236}">
              <a16:creationId xmlns:a16="http://schemas.microsoft.com/office/drawing/2014/main" id="{9A749195-9117-44CA-91FB-58D973516FB3}"/>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6003" name="직선 화살표 연결선 26002">
          <a:extLst>
            <a:ext uri="{FF2B5EF4-FFF2-40B4-BE49-F238E27FC236}">
              <a16:creationId xmlns:a16="http://schemas.microsoft.com/office/drawing/2014/main" id="{B5AB67EE-B1D0-4186-BE70-59693F636F8E}"/>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6004" name="2">
          <a:extLst>
            <a:ext uri="{FF2B5EF4-FFF2-40B4-BE49-F238E27FC236}">
              <a16:creationId xmlns:a16="http://schemas.microsoft.com/office/drawing/2014/main" id="{2EA7AF4A-BA1D-4BDF-B86C-F0CA1B4B67E1}"/>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6005" name="직선 화살표 연결선 26004">
          <a:extLst>
            <a:ext uri="{FF2B5EF4-FFF2-40B4-BE49-F238E27FC236}">
              <a16:creationId xmlns:a16="http://schemas.microsoft.com/office/drawing/2014/main" id="{C3E21C79-1AA9-44E8-8613-EC650F40AB7B}"/>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6006" name="1">
          <a:extLst>
            <a:ext uri="{FF2B5EF4-FFF2-40B4-BE49-F238E27FC236}">
              <a16:creationId xmlns:a16="http://schemas.microsoft.com/office/drawing/2014/main" id="{12D1B0F6-A35E-4140-954B-EF9D671D1551}"/>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6007" name="직선 화살표 연결선 26006">
          <a:extLst>
            <a:ext uri="{FF2B5EF4-FFF2-40B4-BE49-F238E27FC236}">
              <a16:creationId xmlns:a16="http://schemas.microsoft.com/office/drawing/2014/main" id="{DCA27CAC-E1AE-4C66-81FB-59207A4C3C78}"/>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47</xdr:row>
      <xdr:rowOff>15240</xdr:rowOff>
    </xdr:from>
    <xdr:to>
      <xdr:col>31</xdr:col>
      <xdr:colOff>0</xdr:colOff>
      <xdr:row>47</xdr:row>
      <xdr:rowOff>129540</xdr:rowOff>
    </xdr:to>
    <xdr:sp macro="" textlink="">
      <xdr:nvSpPr>
        <xdr:cNvPr id="26245" name="44">
          <a:extLst>
            <a:ext uri="{FF2B5EF4-FFF2-40B4-BE49-F238E27FC236}">
              <a16:creationId xmlns:a16="http://schemas.microsoft.com/office/drawing/2014/main" id="{8CC08E5F-3E74-4711-8D61-1A8771342E6F}"/>
            </a:ext>
          </a:extLst>
        </xdr:cNvPr>
        <xdr:cNvSpPr/>
      </xdr:nvSpPr>
      <xdr:spPr>
        <a:xfrm>
          <a:off x="1239556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47</xdr:row>
      <xdr:rowOff>72390</xdr:rowOff>
    </xdr:from>
    <xdr:to>
      <xdr:col>31</xdr:col>
      <xdr:colOff>0</xdr:colOff>
      <xdr:row>47</xdr:row>
      <xdr:rowOff>72390</xdr:rowOff>
    </xdr:to>
    <xdr:cxnSp macro="">
      <xdr:nvCxnSpPr>
        <xdr:cNvPr id="26246" name="직선 화살표 연결선 26245">
          <a:extLst>
            <a:ext uri="{FF2B5EF4-FFF2-40B4-BE49-F238E27FC236}">
              <a16:creationId xmlns:a16="http://schemas.microsoft.com/office/drawing/2014/main" id="{295FFEF8-55AB-4051-ACAA-2253C6BEF794}"/>
            </a:ext>
          </a:extLst>
        </xdr:cNvPr>
        <xdr:cNvCxnSpPr/>
      </xdr:nvCxnSpPr>
      <xdr:spPr>
        <a:xfrm>
          <a:off x="12395563" y="74447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46</xdr:row>
      <xdr:rowOff>15240</xdr:rowOff>
    </xdr:from>
    <xdr:to>
      <xdr:col>31</xdr:col>
      <xdr:colOff>0</xdr:colOff>
      <xdr:row>46</xdr:row>
      <xdr:rowOff>129540</xdr:rowOff>
    </xdr:to>
    <xdr:sp macro="" textlink="">
      <xdr:nvSpPr>
        <xdr:cNvPr id="26247" name="43">
          <a:extLst>
            <a:ext uri="{FF2B5EF4-FFF2-40B4-BE49-F238E27FC236}">
              <a16:creationId xmlns:a16="http://schemas.microsoft.com/office/drawing/2014/main" id="{BA3AADE4-EF3B-4DFE-9C4C-C565B2E16939}"/>
            </a:ext>
          </a:extLst>
        </xdr:cNvPr>
        <xdr:cNvSpPr/>
      </xdr:nvSpPr>
      <xdr:spPr>
        <a:xfrm>
          <a:off x="12395563" y="72351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46</xdr:row>
      <xdr:rowOff>72390</xdr:rowOff>
    </xdr:from>
    <xdr:to>
      <xdr:col>31</xdr:col>
      <xdr:colOff>0</xdr:colOff>
      <xdr:row>46</xdr:row>
      <xdr:rowOff>72390</xdr:rowOff>
    </xdr:to>
    <xdr:cxnSp macro="">
      <xdr:nvCxnSpPr>
        <xdr:cNvPr id="26248" name="직선 화살표 연결선 26247">
          <a:extLst>
            <a:ext uri="{FF2B5EF4-FFF2-40B4-BE49-F238E27FC236}">
              <a16:creationId xmlns:a16="http://schemas.microsoft.com/office/drawing/2014/main" id="{36838541-B693-4AC2-AB11-A3D2D624428C}"/>
            </a:ext>
          </a:extLst>
        </xdr:cNvPr>
        <xdr:cNvCxnSpPr/>
      </xdr:nvCxnSpPr>
      <xdr:spPr>
        <a:xfrm>
          <a:off x="12395563" y="72923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45</xdr:row>
      <xdr:rowOff>15240</xdr:rowOff>
    </xdr:from>
    <xdr:to>
      <xdr:col>31</xdr:col>
      <xdr:colOff>0</xdr:colOff>
      <xdr:row>45</xdr:row>
      <xdr:rowOff>129540</xdr:rowOff>
    </xdr:to>
    <xdr:sp macro="" textlink="">
      <xdr:nvSpPr>
        <xdr:cNvPr id="26249" name="42">
          <a:extLst>
            <a:ext uri="{FF2B5EF4-FFF2-40B4-BE49-F238E27FC236}">
              <a16:creationId xmlns:a16="http://schemas.microsoft.com/office/drawing/2014/main" id="{96BFC03E-C118-442A-B9C5-C9C0159EE103}"/>
            </a:ext>
          </a:extLst>
        </xdr:cNvPr>
        <xdr:cNvSpPr/>
      </xdr:nvSpPr>
      <xdr:spPr>
        <a:xfrm>
          <a:off x="12395563" y="7082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45</xdr:row>
      <xdr:rowOff>72390</xdr:rowOff>
    </xdr:from>
    <xdr:to>
      <xdr:col>31</xdr:col>
      <xdr:colOff>0</xdr:colOff>
      <xdr:row>45</xdr:row>
      <xdr:rowOff>72390</xdr:rowOff>
    </xdr:to>
    <xdr:cxnSp macro="">
      <xdr:nvCxnSpPr>
        <xdr:cNvPr id="26250" name="직선 화살표 연결선 26249">
          <a:extLst>
            <a:ext uri="{FF2B5EF4-FFF2-40B4-BE49-F238E27FC236}">
              <a16:creationId xmlns:a16="http://schemas.microsoft.com/office/drawing/2014/main" id="{9543E825-B8A1-461A-AA8A-EB544CB74E75}"/>
            </a:ext>
          </a:extLst>
        </xdr:cNvPr>
        <xdr:cNvCxnSpPr/>
      </xdr:nvCxnSpPr>
      <xdr:spPr>
        <a:xfrm>
          <a:off x="12395563" y="7139940"/>
          <a:ext cx="6415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44</xdr:row>
      <xdr:rowOff>15240</xdr:rowOff>
    </xdr:from>
    <xdr:to>
      <xdr:col>31</xdr:col>
      <xdr:colOff>0</xdr:colOff>
      <xdr:row>44</xdr:row>
      <xdr:rowOff>129540</xdr:rowOff>
    </xdr:to>
    <xdr:sp macro="" textlink="">
      <xdr:nvSpPr>
        <xdr:cNvPr id="26251" name="41">
          <a:extLst>
            <a:ext uri="{FF2B5EF4-FFF2-40B4-BE49-F238E27FC236}">
              <a16:creationId xmlns:a16="http://schemas.microsoft.com/office/drawing/2014/main" id="{E1B32D74-5D10-4494-8CD5-68716B012396}"/>
            </a:ext>
          </a:extLst>
        </xdr:cNvPr>
        <xdr:cNvSpPr/>
      </xdr:nvSpPr>
      <xdr:spPr>
        <a:xfrm>
          <a:off x="12395563" y="6930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44</xdr:row>
      <xdr:rowOff>72390</xdr:rowOff>
    </xdr:from>
    <xdr:to>
      <xdr:col>31</xdr:col>
      <xdr:colOff>0</xdr:colOff>
      <xdr:row>44</xdr:row>
      <xdr:rowOff>72390</xdr:rowOff>
    </xdr:to>
    <xdr:cxnSp macro="">
      <xdr:nvCxnSpPr>
        <xdr:cNvPr id="26252" name="직선 화살표 연결선 26251">
          <a:extLst>
            <a:ext uri="{FF2B5EF4-FFF2-40B4-BE49-F238E27FC236}">
              <a16:creationId xmlns:a16="http://schemas.microsoft.com/office/drawing/2014/main" id="{F3679863-3BF5-4339-881B-4FB75C591A4A}"/>
            </a:ext>
          </a:extLst>
        </xdr:cNvPr>
        <xdr:cNvCxnSpPr/>
      </xdr:nvCxnSpPr>
      <xdr:spPr>
        <a:xfrm>
          <a:off x="12395563" y="6987540"/>
          <a:ext cx="2131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13</xdr:row>
      <xdr:rowOff>15240</xdr:rowOff>
    </xdr:from>
    <xdr:to>
      <xdr:col>31</xdr:col>
      <xdr:colOff>0</xdr:colOff>
      <xdr:row>13</xdr:row>
      <xdr:rowOff>129540</xdr:rowOff>
    </xdr:to>
    <xdr:sp macro="" textlink="">
      <xdr:nvSpPr>
        <xdr:cNvPr id="26312" name="10">
          <a:extLst>
            <a:ext uri="{FF2B5EF4-FFF2-40B4-BE49-F238E27FC236}">
              <a16:creationId xmlns:a16="http://schemas.microsoft.com/office/drawing/2014/main" id="{122F2FC3-0B28-4464-A429-80A68CB89049}"/>
            </a:ext>
          </a:extLst>
        </xdr:cNvPr>
        <xdr:cNvSpPr/>
      </xdr:nvSpPr>
      <xdr:spPr>
        <a:xfrm>
          <a:off x="12395563" y="2205990"/>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13</xdr:row>
      <xdr:rowOff>72390</xdr:rowOff>
    </xdr:from>
    <xdr:to>
      <xdr:col>31</xdr:col>
      <xdr:colOff>0</xdr:colOff>
      <xdr:row>13</xdr:row>
      <xdr:rowOff>72390</xdr:rowOff>
    </xdr:to>
    <xdr:cxnSp macro="">
      <xdr:nvCxnSpPr>
        <xdr:cNvPr id="26313" name="직선 화살표 연결선 26312">
          <a:extLst>
            <a:ext uri="{FF2B5EF4-FFF2-40B4-BE49-F238E27FC236}">
              <a16:creationId xmlns:a16="http://schemas.microsoft.com/office/drawing/2014/main" id="{F51496AC-2727-402C-A67F-BB84CEDAFA40}"/>
            </a:ext>
          </a:extLst>
        </xdr:cNvPr>
        <xdr:cNvCxnSpPr/>
      </xdr:nvCxnSpPr>
      <xdr:spPr>
        <a:xfrm>
          <a:off x="12395563" y="22631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12</xdr:row>
      <xdr:rowOff>15240</xdr:rowOff>
    </xdr:from>
    <xdr:to>
      <xdr:col>31</xdr:col>
      <xdr:colOff>0</xdr:colOff>
      <xdr:row>12</xdr:row>
      <xdr:rowOff>129540</xdr:rowOff>
    </xdr:to>
    <xdr:sp macro="" textlink="">
      <xdr:nvSpPr>
        <xdr:cNvPr id="26314" name="9">
          <a:extLst>
            <a:ext uri="{FF2B5EF4-FFF2-40B4-BE49-F238E27FC236}">
              <a16:creationId xmlns:a16="http://schemas.microsoft.com/office/drawing/2014/main" id="{49D47ADB-3F47-49F8-B665-1B0C57A64AF7}"/>
            </a:ext>
          </a:extLst>
        </xdr:cNvPr>
        <xdr:cNvSpPr/>
      </xdr:nvSpPr>
      <xdr:spPr>
        <a:xfrm>
          <a:off x="12395563" y="20535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12</xdr:row>
      <xdr:rowOff>72390</xdr:rowOff>
    </xdr:from>
    <xdr:to>
      <xdr:col>31</xdr:col>
      <xdr:colOff>0</xdr:colOff>
      <xdr:row>12</xdr:row>
      <xdr:rowOff>72390</xdr:rowOff>
    </xdr:to>
    <xdr:cxnSp macro="">
      <xdr:nvCxnSpPr>
        <xdr:cNvPr id="26315" name="직선 화살표 연결선 26314">
          <a:extLst>
            <a:ext uri="{FF2B5EF4-FFF2-40B4-BE49-F238E27FC236}">
              <a16:creationId xmlns:a16="http://schemas.microsoft.com/office/drawing/2014/main" id="{D7FFC6A2-B7DB-4E61-BC2D-666852218AF5}"/>
            </a:ext>
          </a:extLst>
        </xdr:cNvPr>
        <xdr:cNvCxnSpPr/>
      </xdr:nvCxnSpPr>
      <xdr:spPr>
        <a:xfrm>
          <a:off x="12395563" y="21107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11</xdr:row>
      <xdr:rowOff>15240</xdr:rowOff>
    </xdr:from>
    <xdr:to>
      <xdr:col>31</xdr:col>
      <xdr:colOff>0</xdr:colOff>
      <xdr:row>11</xdr:row>
      <xdr:rowOff>129540</xdr:rowOff>
    </xdr:to>
    <xdr:sp macro="" textlink="">
      <xdr:nvSpPr>
        <xdr:cNvPr id="26316" name="8">
          <a:extLst>
            <a:ext uri="{FF2B5EF4-FFF2-40B4-BE49-F238E27FC236}">
              <a16:creationId xmlns:a16="http://schemas.microsoft.com/office/drawing/2014/main" id="{07F9F737-2B30-40FF-B9B9-481C809496BA}"/>
            </a:ext>
          </a:extLst>
        </xdr:cNvPr>
        <xdr:cNvSpPr/>
      </xdr:nvSpPr>
      <xdr:spPr>
        <a:xfrm>
          <a:off x="1239556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11</xdr:row>
      <xdr:rowOff>72390</xdr:rowOff>
    </xdr:from>
    <xdr:to>
      <xdr:col>31</xdr:col>
      <xdr:colOff>0</xdr:colOff>
      <xdr:row>11</xdr:row>
      <xdr:rowOff>72390</xdr:rowOff>
    </xdr:to>
    <xdr:cxnSp macro="">
      <xdr:nvCxnSpPr>
        <xdr:cNvPr id="26317" name="직선 화살표 연결선 26316">
          <a:extLst>
            <a:ext uri="{FF2B5EF4-FFF2-40B4-BE49-F238E27FC236}">
              <a16:creationId xmlns:a16="http://schemas.microsoft.com/office/drawing/2014/main" id="{3ECE2E12-B573-40D8-A8B3-494530FC8E22}"/>
            </a:ext>
          </a:extLst>
        </xdr:cNvPr>
        <xdr:cNvCxnSpPr/>
      </xdr:nvCxnSpPr>
      <xdr:spPr>
        <a:xfrm>
          <a:off x="1239556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10</xdr:row>
      <xdr:rowOff>15240</xdr:rowOff>
    </xdr:from>
    <xdr:to>
      <xdr:col>31</xdr:col>
      <xdr:colOff>0</xdr:colOff>
      <xdr:row>10</xdr:row>
      <xdr:rowOff>142240</xdr:rowOff>
    </xdr:to>
    <xdr:sp macro="" textlink="">
      <xdr:nvSpPr>
        <xdr:cNvPr id="26318" name="7">
          <a:extLst>
            <a:ext uri="{FF2B5EF4-FFF2-40B4-BE49-F238E27FC236}">
              <a16:creationId xmlns:a16="http://schemas.microsoft.com/office/drawing/2014/main" id="{3D69FD70-B59B-4868-8B1A-7AE9C68B4E2F}"/>
            </a:ext>
          </a:extLst>
        </xdr:cNvPr>
        <xdr:cNvSpPr/>
      </xdr:nvSpPr>
      <xdr:spPr>
        <a:xfrm>
          <a:off x="1239556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15240</xdr:rowOff>
    </xdr:from>
    <xdr:to>
      <xdr:col>31</xdr:col>
      <xdr:colOff>0</xdr:colOff>
      <xdr:row>9</xdr:row>
      <xdr:rowOff>129540</xdr:rowOff>
    </xdr:to>
    <xdr:sp macro="" textlink="">
      <xdr:nvSpPr>
        <xdr:cNvPr id="26319" name="6">
          <a:extLst>
            <a:ext uri="{FF2B5EF4-FFF2-40B4-BE49-F238E27FC236}">
              <a16:creationId xmlns:a16="http://schemas.microsoft.com/office/drawing/2014/main" id="{4B193439-C2F1-40CF-9437-89DA247A6D50}"/>
            </a:ext>
          </a:extLst>
        </xdr:cNvPr>
        <xdr:cNvSpPr/>
      </xdr:nvSpPr>
      <xdr:spPr>
        <a:xfrm>
          <a:off x="1239556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9</xdr:row>
      <xdr:rowOff>72390</xdr:rowOff>
    </xdr:from>
    <xdr:to>
      <xdr:col>31</xdr:col>
      <xdr:colOff>0</xdr:colOff>
      <xdr:row>9</xdr:row>
      <xdr:rowOff>72390</xdr:rowOff>
    </xdr:to>
    <xdr:cxnSp macro="">
      <xdr:nvCxnSpPr>
        <xdr:cNvPr id="26320" name="직선 화살표 연결선 26319">
          <a:extLst>
            <a:ext uri="{FF2B5EF4-FFF2-40B4-BE49-F238E27FC236}">
              <a16:creationId xmlns:a16="http://schemas.microsoft.com/office/drawing/2014/main" id="{C93D3815-4233-4C74-BCC0-765A4E2102AC}"/>
            </a:ext>
          </a:extLst>
        </xdr:cNvPr>
        <xdr:cNvCxnSpPr/>
      </xdr:nvCxnSpPr>
      <xdr:spPr>
        <a:xfrm>
          <a:off x="1239556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8</xdr:row>
      <xdr:rowOff>15240</xdr:rowOff>
    </xdr:from>
    <xdr:to>
      <xdr:col>31</xdr:col>
      <xdr:colOff>0</xdr:colOff>
      <xdr:row>8</xdr:row>
      <xdr:rowOff>129540</xdr:rowOff>
    </xdr:to>
    <xdr:sp macro="" textlink="">
      <xdr:nvSpPr>
        <xdr:cNvPr id="26321" name="5">
          <a:extLst>
            <a:ext uri="{FF2B5EF4-FFF2-40B4-BE49-F238E27FC236}">
              <a16:creationId xmlns:a16="http://schemas.microsoft.com/office/drawing/2014/main" id="{F18B70E4-0EE2-4784-8E26-D94C83B72F8D}"/>
            </a:ext>
          </a:extLst>
        </xdr:cNvPr>
        <xdr:cNvSpPr/>
      </xdr:nvSpPr>
      <xdr:spPr>
        <a:xfrm>
          <a:off x="1239556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8</xdr:row>
      <xdr:rowOff>72390</xdr:rowOff>
    </xdr:from>
    <xdr:to>
      <xdr:col>31</xdr:col>
      <xdr:colOff>0</xdr:colOff>
      <xdr:row>8</xdr:row>
      <xdr:rowOff>72390</xdr:rowOff>
    </xdr:to>
    <xdr:cxnSp macro="">
      <xdr:nvCxnSpPr>
        <xdr:cNvPr id="26322" name="직선 화살표 연결선 26321">
          <a:extLst>
            <a:ext uri="{FF2B5EF4-FFF2-40B4-BE49-F238E27FC236}">
              <a16:creationId xmlns:a16="http://schemas.microsoft.com/office/drawing/2014/main" id="{FCBE943C-AF2C-44C0-8FE8-F12FD9893017}"/>
            </a:ext>
          </a:extLst>
        </xdr:cNvPr>
        <xdr:cNvCxnSpPr/>
      </xdr:nvCxnSpPr>
      <xdr:spPr>
        <a:xfrm>
          <a:off x="1239556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7</xdr:row>
      <xdr:rowOff>15240</xdr:rowOff>
    </xdr:from>
    <xdr:to>
      <xdr:col>31</xdr:col>
      <xdr:colOff>0</xdr:colOff>
      <xdr:row>7</xdr:row>
      <xdr:rowOff>129540</xdr:rowOff>
    </xdr:to>
    <xdr:sp macro="" textlink="">
      <xdr:nvSpPr>
        <xdr:cNvPr id="26323" name="4">
          <a:extLst>
            <a:ext uri="{FF2B5EF4-FFF2-40B4-BE49-F238E27FC236}">
              <a16:creationId xmlns:a16="http://schemas.microsoft.com/office/drawing/2014/main" id="{E608EBA4-C3B6-4032-969D-21574412A955}"/>
            </a:ext>
          </a:extLst>
        </xdr:cNvPr>
        <xdr:cNvSpPr/>
      </xdr:nvSpPr>
      <xdr:spPr>
        <a:xfrm>
          <a:off x="1239556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7</xdr:row>
      <xdr:rowOff>72390</xdr:rowOff>
    </xdr:from>
    <xdr:to>
      <xdr:col>31</xdr:col>
      <xdr:colOff>0</xdr:colOff>
      <xdr:row>7</xdr:row>
      <xdr:rowOff>72390</xdr:rowOff>
    </xdr:to>
    <xdr:cxnSp macro="">
      <xdr:nvCxnSpPr>
        <xdr:cNvPr id="26324" name="직선 화살표 연결선 26323">
          <a:extLst>
            <a:ext uri="{FF2B5EF4-FFF2-40B4-BE49-F238E27FC236}">
              <a16:creationId xmlns:a16="http://schemas.microsoft.com/office/drawing/2014/main" id="{9C396275-5D95-4648-93F7-765D4E8D3168}"/>
            </a:ext>
          </a:extLst>
        </xdr:cNvPr>
        <xdr:cNvCxnSpPr/>
      </xdr:nvCxnSpPr>
      <xdr:spPr>
        <a:xfrm>
          <a:off x="1239556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6</xdr:row>
      <xdr:rowOff>15240</xdr:rowOff>
    </xdr:from>
    <xdr:to>
      <xdr:col>31</xdr:col>
      <xdr:colOff>0</xdr:colOff>
      <xdr:row>6</xdr:row>
      <xdr:rowOff>129540</xdr:rowOff>
    </xdr:to>
    <xdr:sp macro="" textlink="">
      <xdr:nvSpPr>
        <xdr:cNvPr id="26325" name="3">
          <a:extLst>
            <a:ext uri="{FF2B5EF4-FFF2-40B4-BE49-F238E27FC236}">
              <a16:creationId xmlns:a16="http://schemas.microsoft.com/office/drawing/2014/main" id="{0862CC8E-80ED-4FBA-87B7-1124B187CE49}"/>
            </a:ext>
          </a:extLst>
        </xdr:cNvPr>
        <xdr:cNvSpPr/>
      </xdr:nvSpPr>
      <xdr:spPr>
        <a:xfrm>
          <a:off x="1239556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6</xdr:row>
      <xdr:rowOff>72390</xdr:rowOff>
    </xdr:from>
    <xdr:to>
      <xdr:col>31</xdr:col>
      <xdr:colOff>0</xdr:colOff>
      <xdr:row>6</xdr:row>
      <xdr:rowOff>72390</xdr:rowOff>
    </xdr:to>
    <xdr:cxnSp macro="">
      <xdr:nvCxnSpPr>
        <xdr:cNvPr id="26326" name="직선 화살표 연결선 26325">
          <a:extLst>
            <a:ext uri="{FF2B5EF4-FFF2-40B4-BE49-F238E27FC236}">
              <a16:creationId xmlns:a16="http://schemas.microsoft.com/office/drawing/2014/main" id="{A168C96C-02B9-4574-8278-FE5EF1E4E33C}"/>
            </a:ext>
          </a:extLst>
        </xdr:cNvPr>
        <xdr:cNvCxnSpPr/>
      </xdr:nvCxnSpPr>
      <xdr:spPr>
        <a:xfrm>
          <a:off x="1239556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5</xdr:row>
      <xdr:rowOff>15240</xdr:rowOff>
    </xdr:from>
    <xdr:to>
      <xdr:col>31</xdr:col>
      <xdr:colOff>0</xdr:colOff>
      <xdr:row>5</xdr:row>
      <xdr:rowOff>129540</xdr:rowOff>
    </xdr:to>
    <xdr:sp macro="" textlink="">
      <xdr:nvSpPr>
        <xdr:cNvPr id="26327" name="2">
          <a:extLst>
            <a:ext uri="{FF2B5EF4-FFF2-40B4-BE49-F238E27FC236}">
              <a16:creationId xmlns:a16="http://schemas.microsoft.com/office/drawing/2014/main" id="{765B4477-D1C6-4DEE-A98B-AADAB40893BC}"/>
            </a:ext>
          </a:extLst>
        </xdr:cNvPr>
        <xdr:cNvSpPr/>
      </xdr:nvSpPr>
      <xdr:spPr>
        <a:xfrm>
          <a:off x="12395563" y="986790"/>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5</xdr:row>
      <xdr:rowOff>72390</xdr:rowOff>
    </xdr:from>
    <xdr:to>
      <xdr:col>31</xdr:col>
      <xdr:colOff>0</xdr:colOff>
      <xdr:row>5</xdr:row>
      <xdr:rowOff>72390</xdr:rowOff>
    </xdr:to>
    <xdr:cxnSp macro="">
      <xdr:nvCxnSpPr>
        <xdr:cNvPr id="26328" name="직선 화살표 연결선 26327">
          <a:extLst>
            <a:ext uri="{FF2B5EF4-FFF2-40B4-BE49-F238E27FC236}">
              <a16:creationId xmlns:a16="http://schemas.microsoft.com/office/drawing/2014/main" id="{F45A0615-1C4D-4D93-A272-83777D898B41}"/>
            </a:ext>
          </a:extLst>
        </xdr:cNvPr>
        <xdr:cNvCxnSpPr/>
      </xdr:nvCxnSpPr>
      <xdr:spPr>
        <a:xfrm>
          <a:off x="12395563" y="1043940"/>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622663</xdr:colOff>
      <xdr:row>4</xdr:row>
      <xdr:rowOff>15240</xdr:rowOff>
    </xdr:from>
    <xdr:to>
      <xdr:col>31</xdr:col>
      <xdr:colOff>0</xdr:colOff>
      <xdr:row>4</xdr:row>
      <xdr:rowOff>129540</xdr:rowOff>
    </xdr:to>
    <xdr:sp macro="" textlink="">
      <xdr:nvSpPr>
        <xdr:cNvPr id="26329" name="1">
          <a:extLst>
            <a:ext uri="{FF2B5EF4-FFF2-40B4-BE49-F238E27FC236}">
              <a16:creationId xmlns:a16="http://schemas.microsoft.com/office/drawing/2014/main" id="{574E9E7F-4A29-4C04-BF80-1449C94303A6}"/>
            </a:ext>
          </a:extLst>
        </xdr:cNvPr>
        <xdr:cNvSpPr/>
      </xdr:nvSpPr>
      <xdr:spPr>
        <a:xfrm>
          <a:off x="12395563" y="834390"/>
          <a:ext cx="77573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622663</xdr:colOff>
      <xdr:row>4</xdr:row>
      <xdr:rowOff>72390</xdr:rowOff>
    </xdr:from>
    <xdr:to>
      <xdr:col>31</xdr:col>
      <xdr:colOff>0</xdr:colOff>
      <xdr:row>4</xdr:row>
      <xdr:rowOff>72390</xdr:rowOff>
    </xdr:to>
    <xdr:cxnSp macro="">
      <xdr:nvCxnSpPr>
        <xdr:cNvPr id="26330" name="직선 화살표 연결선 26329">
          <a:extLst>
            <a:ext uri="{FF2B5EF4-FFF2-40B4-BE49-F238E27FC236}">
              <a16:creationId xmlns:a16="http://schemas.microsoft.com/office/drawing/2014/main" id="{D32E5F08-0E93-48F5-A42B-68C4ED5EF81A}"/>
            </a:ext>
          </a:extLst>
        </xdr:cNvPr>
        <xdr:cNvCxnSpPr/>
      </xdr:nvCxnSpPr>
      <xdr:spPr>
        <a:xfrm>
          <a:off x="12395563" y="891540"/>
          <a:ext cx="2247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5070" name="44">
          <a:extLst>
            <a:ext uri="{FF2B5EF4-FFF2-40B4-BE49-F238E27FC236}">
              <a16:creationId xmlns:a16="http://schemas.microsoft.com/office/drawing/2014/main" id="{46B893B0-280A-48A0-9DCA-6CB649477653}"/>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5071" name="직선 화살표 연결선 25070">
          <a:extLst>
            <a:ext uri="{FF2B5EF4-FFF2-40B4-BE49-F238E27FC236}">
              <a16:creationId xmlns:a16="http://schemas.microsoft.com/office/drawing/2014/main" id="{B3677A84-AE7C-435A-BE53-170F54EFEDBF}"/>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5072" name="43">
          <a:extLst>
            <a:ext uri="{FF2B5EF4-FFF2-40B4-BE49-F238E27FC236}">
              <a16:creationId xmlns:a16="http://schemas.microsoft.com/office/drawing/2014/main" id="{69FD648C-EED4-445E-8089-4519A2D10227}"/>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5073" name="직선 화살표 연결선 25072">
          <a:extLst>
            <a:ext uri="{FF2B5EF4-FFF2-40B4-BE49-F238E27FC236}">
              <a16:creationId xmlns:a16="http://schemas.microsoft.com/office/drawing/2014/main" id="{296BEB97-323C-4CCB-BA8A-BEFF295FDCF7}"/>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5074" name="42">
          <a:extLst>
            <a:ext uri="{FF2B5EF4-FFF2-40B4-BE49-F238E27FC236}">
              <a16:creationId xmlns:a16="http://schemas.microsoft.com/office/drawing/2014/main" id="{A914F462-4997-4270-A1C7-4F6C637A85BF}"/>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5075" name="직선 화살표 연결선 25074">
          <a:extLst>
            <a:ext uri="{FF2B5EF4-FFF2-40B4-BE49-F238E27FC236}">
              <a16:creationId xmlns:a16="http://schemas.microsoft.com/office/drawing/2014/main" id="{D02E2D47-662E-4C82-A585-D592892546B1}"/>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5076" name="41">
          <a:extLst>
            <a:ext uri="{FF2B5EF4-FFF2-40B4-BE49-F238E27FC236}">
              <a16:creationId xmlns:a16="http://schemas.microsoft.com/office/drawing/2014/main" id="{368AE81A-75E9-4FF7-85D3-CFA76796E683}"/>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5077" name="직선 화살표 연결선 25076">
          <a:extLst>
            <a:ext uri="{FF2B5EF4-FFF2-40B4-BE49-F238E27FC236}">
              <a16:creationId xmlns:a16="http://schemas.microsoft.com/office/drawing/2014/main" id="{3A214435-8EDD-4B4C-A1E6-C6DC4182F7E6}"/>
            </a:ext>
          </a:extLst>
        </xdr:cNvPr>
        <xdr:cNvCxnSpPr/>
      </xdr:nvCxnSpPr>
      <xdr:spPr>
        <a:xfrm>
          <a:off x="12959443" y="6987540"/>
          <a:ext cx="2268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5209" name="10">
          <a:extLst>
            <a:ext uri="{FF2B5EF4-FFF2-40B4-BE49-F238E27FC236}">
              <a16:creationId xmlns:a16="http://schemas.microsoft.com/office/drawing/2014/main" id="{326EA751-B08D-4C54-B4AC-C610CAFAC173}"/>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5210" name="직선 화살표 연결선 25209">
          <a:extLst>
            <a:ext uri="{FF2B5EF4-FFF2-40B4-BE49-F238E27FC236}">
              <a16:creationId xmlns:a16="http://schemas.microsoft.com/office/drawing/2014/main" id="{04AA2BCD-156C-4D66-B541-901F0FD7C2F5}"/>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5211" name="9">
          <a:extLst>
            <a:ext uri="{FF2B5EF4-FFF2-40B4-BE49-F238E27FC236}">
              <a16:creationId xmlns:a16="http://schemas.microsoft.com/office/drawing/2014/main" id="{C849E57B-9A44-4241-8FA3-0358154BB14F}"/>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5212" name="직선 화살표 연결선 25211">
          <a:extLst>
            <a:ext uri="{FF2B5EF4-FFF2-40B4-BE49-F238E27FC236}">
              <a16:creationId xmlns:a16="http://schemas.microsoft.com/office/drawing/2014/main" id="{33302269-18E0-41A3-954B-9CD609BD1007}"/>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5213" name="8">
          <a:extLst>
            <a:ext uri="{FF2B5EF4-FFF2-40B4-BE49-F238E27FC236}">
              <a16:creationId xmlns:a16="http://schemas.microsoft.com/office/drawing/2014/main" id="{B23F727F-AFA7-4F9E-8C66-DB9FEFFA3F7A}"/>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5214" name="직선 화살표 연결선 25213">
          <a:extLst>
            <a:ext uri="{FF2B5EF4-FFF2-40B4-BE49-F238E27FC236}">
              <a16:creationId xmlns:a16="http://schemas.microsoft.com/office/drawing/2014/main" id="{C916AAA8-AA68-43F3-BCD2-BF5F5217E6ED}"/>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5215" name="7">
          <a:extLst>
            <a:ext uri="{FF2B5EF4-FFF2-40B4-BE49-F238E27FC236}">
              <a16:creationId xmlns:a16="http://schemas.microsoft.com/office/drawing/2014/main" id="{6BF4F8D3-2788-42D7-9409-41BD0A3E4FCC}"/>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5216" name="6">
          <a:extLst>
            <a:ext uri="{FF2B5EF4-FFF2-40B4-BE49-F238E27FC236}">
              <a16:creationId xmlns:a16="http://schemas.microsoft.com/office/drawing/2014/main" id="{DE3B05AF-4F97-4D18-AE1A-C18B92B0362B}"/>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5217" name="직선 화살표 연결선 25216">
          <a:extLst>
            <a:ext uri="{FF2B5EF4-FFF2-40B4-BE49-F238E27FC236}">
              <a16:creationId xmlns:a16="http://schemas.microsoft.com/office/drawing/2014/main" id="{AAF71B9E-72D6-4A45-97B2-0F820606485F}"/>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5218" name="5">
          <a:extLst>
            <a:ext uri="{FF2B5EF4-FFF2-40B4-BE49-F238E27FC236}">
              <a16:creationId xmlns:a16="http://schemas.microsoft.com/office/drawing/2014/main" id="{368CA80C-2F9F-4BE4-9290-C16ABA713CA7}"/>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5219" name="직선 화살표 연결선 25218">
          <a:extLst>
            <a:ext uri="{FF2B5EF4-FFF2-40B4-BE49-F238E27FC236}">
              <a16:creationId xmlns:a16="http://schemas.microsoft.com/office/drawing/2014/main" id="{970F8B54-E2DD-493D-8E27-14969598A562}"/>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5220" name="4">
          <a:extLst>
            <a:ext uri="{FF2B5EF4-FFF2-40B4-BE49-F238E27FC236}">
              <a16:creationId xmlns:a16="http://schemas.microsoft.com/office/drawing/2014/main" id="{CE4377D7-61AB-4257-807E-D736BA7E386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5221" name="직선 화살표 연결선 25220">
          <a:extLst>
            <a:ext uri="{FF2B5EF4-FFF2-40B4-BE49-F238E27FC236}">
              <a16:creationId xmlns:a16="http://schemas.microsoft.com/office/drawing/2014/main" id="{8A0A86CE-95B1-4956-B091-81BF49A71A3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5222" name="3">
          <a:extLst>
            <a:ext uri="{FF2B5EF4-FFF2-40B4-BE49-F238E27FC236}">
              <a16:creationId xmlns:a16="http://schemas.microsoft.com/office/drawing/2014/main" id="{B1BAE373-E9D2-4E50-A22A-C69C30AC3D37}"/>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5223" name="직선 화살표 연결선 25222">
          <a:extLst>
            <a:ext uri="{FF2B5EF4-FFF2-40B4-BE49-F238E27FC236}">
              <a16:creationId xmlns:a16="http://schemas.microsoft.com/office/drawing/2014/main" id="{A7298868-5AB3-49C3-A295-9A098DCC8A86}"/>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5224" name="2">
          <a:extLst>
            <a:ext uri="{FF2B5EF4-FFF2-40B4-BE49-F238E27FC236}">
              <a16:creationId xmlns:a16="http://schemas.microsoft.com/office/drawing/2014/main" id="{1C8731EB-6F30-4F97-8CF9-1B4FEB2818F2}"/>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5225" name="직선 화살표 연결선 25224">
          <a:extLst>
            <a:ext uri="{FF2B5EF4-FFF2-40B4-BE49-F238E27FC236}">
              <a16:creationId xmlns:a16="http://schemas.microsoft.com/office/drawing/2014/main" id="{05E1F65F-9CCA-4687-9C1A-3BF817AB5DF3}"/>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5226" name="1">
          <a:extLst>
            <a:ext uri="{FF2B5EF4-FFF2-40B4-BE49-F238E27FC236}">
              <a16:creationId xmlns:a16="http://schemas.microsoft.com/office/drawing/2014/main" id="{EAE1A1B3-941F-49FA-AEB1-0BA4CFCA973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5227" name="직선 화살표 연결선 25226">
          <a:extLst>
            <a:ext uri="{FF2B5EF4-FFF2-40B4-BE49-F238E27FC236}">
              <a16:creationId xmlns:a16="http://schemas.microsoft.com/office/drawing/2014/main" id="{7372C473-14B4-444C-9703-86807128CEDD}"/>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3535" name="44">
          <a:extLst>
            <a:ext uri="{FF2B5EF4-FFF2-40B4-BE49-F238E27FC236}">
              <a16:creationId xmlns:a16="http://schemas.microsoft.com/office/drawing/2014/main" id="{1DD2AB4E-F615-4F69-889C-0F5B0595D49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3536" name="직선 화살표 연결선 23535">
          <a:extLst>
            <a:ext uri="{FF2B5EF4-FFF2-40B4-BE49-F238E27FC236}">
              <a16:creationId xmlns:a16="http://schemas.microsoft.com/office/drawing/2014/main" id="{91354499-2379-49C1-AC15-F627AED15F1F}"/>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3537" name="43">
          <a:extLst>
            <a:ext uri="{FF2B5EF4-FFF2-40B4-BE49-F238E27FC236}">
              <a16:creationId xmlns:a16="http://schemas.microsoft.com/office/drawing/2014/main" id="{A59E35A2-41F9-48BC-9634-D277ACA0AC22}"/>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3538" name="직선 화살표 연결선 23537">
          <a:extLst>
            <a:ext uri="{FF2B5EF4-FFF2-40B4-BE49-F238E27FC236}">
              <a16:creationId xmlns:a16="http://schemas.microsoft.com/office/drawing/2014/main" id="{4E6A5DF7-8B4B-4D27-809B-065371A155F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3539" name="42">
          <a:extLst>
            <a:ext uri="{FF2B5EF4-FFF2-40B4-BE49-F238E27FC236}">
              <a16:creationId xmlns:a16="http://schemas.microsoft.com/office/drawing/2014/main" id="{19F5D11C-6D32-406D-B6E1-2809E536FCCD}"/>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3540" name="직선 화살표 연결선 23539">
          <a:extLst>
            <a:ext uri="{FF2B5EF4-FFF2-40B4-BE49-F238E27FC236}">
              <a16:creationId xmlns:a16="http://schemas.microsoft.com/office/drawing/2014/main" id="{12826390-A02E-4CFF-B2F2-C1522E0D5E03}"/>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3541" name="41">
          <a:extLst>
            <a:ext uri="{FF2B5EF4-FFF2-40B4-BE49-F238E27FC236}">
              <a16:creationId xmlns:a16="http://schemas.microsoft.com/office/drawing/2014/main" id="{3B00AE69-BAB4-417D-9704-0B696CDDDBAE}"/>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3542" name="직선 화살표 연결선 23541">
          <a:extLst>
            <a:ext uri="{FF2B5EF4-FFF2-40B4-BE49-F238E27FC236}">
              <a16:creationId xmlns:a16="http://schemas.microsoft.com/office/drawing/2014/main" id="{65314E45-77FE-4A19-A547-C63044A6B6EA}"/>
            </a:ext>
          </a:extLst>
        </xdr:cNvPr>
        <xdr:cNvCxnSpPr/>
      </xdr:nvCxnSpPr>
      <xdr:spPr>
        <a:xfrm>
          <a:off x="12959443" y="6987540"/>
          <a:ext cx="22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6298" name="10">
          <a:extLst>
            <a:ext uri="{FF2B5EF4-FFF2-40B4-BE49-F238E27FC236}">
              <a16:creationId xmlns:a16="http://schemas.microsoft.com/office/drawing/2014/main" id="{05FE899F-E9A2-4255-B054-E18744FDC207}"/>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6299" name="직선 화살표 연결선 26298">
          <a:extLst>
            <a:ext uri="{FF2B5EF4-FFF2-40B4-BE49-F238E27FC236}">
              <a16:creationId xmlns:a16="http://schemas.microsoft.com/office/drawing/2014/main" id="{DD8007E2-499A-4E43-BA61-67220268FD96}"/>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6300" name="9">
          <a:extLst>
            <a:ext uri="{FF2B5EF4-FFF2-40B4-BE49-F238E27FC236}">
              <a16:creationId xmlns:a16="http://schemas.microsoft.com/office/drawing/2014/main" id="{B4059A7D-82A6-4D31-8827-8E3642941555}"/>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6301" name="직선 화살표 연결선 26300">
          <a:extLst>
            <a:ext uri="{FF2B5EF4-FFF2-40B4-BE49-F238E27FC236}">
              <a16:creationId xmlns:a16="http://schemas.microsoft.com/office/drawing/2014/main" id="{8210ABA2-10A2-4DB4-9D49-E803C895FEE1}"/>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6302" name="8">
          <a:extLst>
            <a:ext uri="{FF2B5EF4-FFF2-40B4-BE49-F238E27FC236}">
              <a16:creationId xmlns:a16="http://schemas.microsoft.com/office/drawing/2014/main" id="{1A2A93CB-2043-4C97-B43F-AB6B2A782997}"/>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6303" name="직선 화살표 연결선 26302">
          <a:extLst>
            <a:ext uri="{FF2B5EF4-FFF2-40B4-BE49-F238E27FC236}">
              <a16:creationId xmlns:a16="http://schemas.microsoft.com/office/drawing/2014/main" id="{2D423AB4-C114-4547-8799-9BD081B7A4F2}"/>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3552" name="7">
          <a:extLst>
            <a:ext uri="{FF2B5EF4-FFF2-40B4-BE49-F238E27FC236}">
              <a16:creationId xmlns:a16="http://schemas.microsoft.com/office/drawing/2014/main" id="{4BAE874D-1599-4266-9343-651040F9D1CE}"/>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3553" name="6">
          <a:extLst>
            <a:ext uri="{FF2B5EF4-FFF2-40B4-BE49-F238E27FC236}">
              <a16:creationId xmlns:a16="http://schemas.microsoft.com/office/drawing/2014/main" id="{211FA496-DE53-4FD1-BE29-876647CB4B7F}"/>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3573" name="직선 화살표 연결선 23572">
          <a:extLst>
            <a:ext uri="{FF2B5EF4-FFF2-40B4-BE49-F238E27FC236}">
              <a16:creationId xmlns:a16="http://schemas.microsoft.com/office/drawing/2014/main" id="{6836052F-DA46-4A47-93AF-219F663A6253}"/>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3574" name="5">
          <a:extLst>
            <a:ext uri="{FF2B5EF4-FFF2-40B4-BE49-F238E27FC236}">
              <a16:creationId xmlns:a16="http://schemas.microsoft.com/office/drawing/2014/main" id="{6C81A8D3-613D-4892-A886-2AA9667D8ABF}"/>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3575" name="직선 화살표 연결선 23574">
          <a:extLst>
            <a:ext uri="{FF2B5EF4-FFF2-40B4-BE49-F238E27FC236}">
              <a16:creationId xmlns:a16="http://schemas.microsoft.com/office/drawing/2014/main" id="{F3074716-38C9-46E5-9A15-9D0A5EA30B86}"/>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3576" name="4">
          <a:extLst>
            <a:ext uri="{FF2B5EF4-FFF2-40B4-BE49-F238E27FC236}">
              <a16:creationId xmlns:a16="http://schemas.microsoft.com/office/drawing/2014/main" id="{A171EFCC-C5CE-4F32-A7FB-32F27DFADD84}"/>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3577" name="직선 화살표 연결선 23576">
          <a:extLst>
            <a:ext uri="{FF2B5EF4-FFF2-40B4-BE49-F238E27FC236}">
              <a16:creationId xmlns:a16="http://schemas.microsoft.com/office/drawing/2014/main" id="{9C9DB9BE-9F40-4491-BF2D-07AC7D9D9BC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3578" name="3">
          <a:extLst>
            <a:ext uri="{FF2B5EF4-FFF2-40B4-BE49-F238E27FC236}">
              <a16:creationId xmlns:a16="http://schemas.microsoft.com/office/drawing/2014/main" id="{2C441039-2FF9-4889-96D0-E718BC2F256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3579" name="직선 화살표 연결선 23578">
          <a:extLst>
            <a:ext uri="{FF2B5EF4-FFF2-40B4-BE49-F238E27FC236}">
              <a16:creationId xmlns:a16="http://schemas.microsoft.com/office/drawing/2014/main" id="{FA55D9AB-B9EC-44F9-BBCE-9940830BFFAB}"/>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3580" name="2">
          <a:extLst>
            <a:ext uri="{FF2B5EF4-FFF2-40B4-BE49-F238E27FC236}">
              <a16:creationId xmlns:a16="http://schemas.microsoft.com/office/drawing/2014/main" id="{5969F5B8-D2CB-4C91-B0A4-F96F45F840CC}"/>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3581" name="직선 화살표 연결선 23580">
          <a:extLst>
            <a:ext uri="{FF2B5EF4-FFF2-40B4-BE49-F238E27FC236}">
              <a16:creationId xmlns:a16="http://schemas.microsoft.com/office/drawing/2014/main" id="{DDDEBAEF-EC46-4C02-BA71-3F683E065D60}"/>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3582" name="1">
          <a:extLst>
            <a:ext uri="{FF2B5EF4-FFF2-40B4-BE49-F238E27FC236}">
              <a16:creationId xmlns:a16="http://schemas.microsoft.com/office/drawing/2014/main" id="{0DFD12C8-EA3A-46CA-8D6E-01A741AAE14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3583" name="직선 화살표 연결선 23582">
          <a:extLst>
            <a:ext uri="{FF2B5EF4-FFF2-40B4-BE49-F238E27FC236}">
              <a16:creationId xmlns:a16="http://schemas.microsoft.com/office/drawing/2014/main" id="{07F37A0B-6A63-483D-947B-81966410523A}"/>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4100" name="44">
          <a:extLst>
            <a:ext uri="{FF2B5EF4-FFF2-40B4-BE49-F238E27FC236}">
              <a16:creationId xmlns:a16="http://schemas.microsoft.com/office/drawing/2014/main" id="{2638333D-E107-49B6-A231-39ED22A3D35B}"/>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4101" name="직선 화살표 연결선 24100">
          <a:extLst>
            <a:ext uri="{FF2B5EF4-FFF2-40B4-BE49-F238E27FC236}">
              <a16:creationId xmlns:a16="http://schemas.microsoft.com/office/drawing/2014/main" id="{D6888F83-D286-45E1-90CB-491AE125B98F}"/>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4102" name="43">
          <a:extLst>
            <a:ext uri="{FF2B5EF4-FFF2-40B4-BE49-F238E27FC236}">
              <a16:creationId xmlns:a16="http://schemas.microsoft.com/office/drawing/2014/main" id="{7C4C238E-2257-4E9C-9502-D364AD96A24E}"/>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4103" name="직선 화살표 연결선 24102">
          <a:extLst>
            <a:ext uri="{FF2B5EF4-FFF2-40B4-BE49-F238E27FC236}">
              <a16:creationId xmlns:a16="http://schemas.microsoft.com/office/drawing/2014/main" id="{65363092-816D-4852-82D3-AD1158EE07F0}"/>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4104" name="42">
          <a:extLst>
            <a:ext uri="{FF2B5EF4-FFF2-40B4-BE49-F238E27FC236}">
              <a16:creationId xmlns:a16="http://schemas.microsoft.com/office/drawing/2014/main" id="{6F47F7A2-D4C3-473C-B4FF-4DF3C0525321}"/>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4105" name="직선 화살표 연결선 24104">
          <a:extLst>
            <a:ext uri="{FF2B5EF4-FFF2-40B4-BE49-F238E27FC236}">
              <a16:creationId xmlns:a16="http://schemas.microsoft.com/office/drawing/2014/main" id="{A294909A-19A2-41D7-96A8-1B7F9086D4B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4106" name="41">
          <a:extLst>
            <a:ext uri="{FF2B5EF4-FFF2-40B4-BE49-F238E27FC236}">
              <a16:creationId xmlns:a16="http://schemas.microsoft.com/office/drawing/2014/main" id="{1F32BD86-6CA0-4DDB-BC2C-4206ED67194F}"/>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4107" name="직선 화살표 연결선 24106">
          <a:extLst>
            <a:ext uri="{FF2B5EF4-FFF2-40B4-BE49-F238E27FC236}">
              <a16:creationId xmlns:a16="http://schemas.microsoft.com/office/drawing/2014/main" id="{623A01E5-C4B9-481D-83BF-4A7F5A762928}"/>
            </a:ext>
          </a:extLst>
        </xdr:cNvPr>
        <xdr:cNvCxnSpPr/>
      </xdr:nvCxnSpPr>
      <xdr:spPr>
        <a:xfrm>
          <a:off x="12959443" y="6987540"/>
          <a:ext cx="2304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4175" name="10">
          <a:extLst>
            <a:ext uri="{FF2B5EF4-FFF2-40B4-BE49-F238E27FC236}">
              <a16:creationId xmlns:a16="http://schemas.microsoft.com/office/drawing/2014/main" id="{FF73DE51-30AF-4D9B-9B28-392621CC2225}"/>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4176" name="직선 화살표 연결선 24175">
          <a:extLst>
            <a:ext uri="{FF2B5EF4-FFF2-40B4-BE49-F238E27FC236}">
              <a16:creationId xmlns:a16="http://schemas.microsoft.com/office/drawing/2014/main" id="{7192ECD6-4F0C-42B5-B1DC-37E0AEA75C1C}"/>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4177" name="9">
          <a:extLst>
            <a:ext uri="{FF2B5EF4-FFF2-40B4-BE49-F238E27FC236}">
              <a16:creationId xmlns:a16="http://schemas.microsoft.com/office/drawing/2014/main" id="{A290259D-11E4-4310-9D45-989E196737BC}"/>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4178" name="직선 화살표 연결선 24177">
          <a:extLst>
            <a:ext uri="{FF2B5EF4-FFF2-40B4-BE49-F238E27FC236}">
              <a16:creationId xmlns:a16="http://schemas.microsoft.com/office/drawing/2014/main" id="{957433C4-E7A3-48DA-85A9-9F8657D8A675}"/>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4198" name="8">
          <a:extLst>
            <a:ext uri="{FF2B5EF4-FFF2-40B4-BE49-F238E27FC236}">
              <a16:creationId xmlns:a16="http://schemas.microsoft.com/office/drawing/2014/main" id="{6C91E0F4-A0D2-4B8A-BB13-C91D1322DD42}"/>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4199" name="직선 화살표 연결선 24198">
          <a:extLst>
            <a:ext uri="{FF2B5EF4-FFF2-40B4-BE49-F238E27FC236}">
              <a16:creationId xmlns:a16="http://schemas.microsoft.com/office/drawing/2014/main" id="{011D87CB-53FE-4B02-A8AD-6735A223E25F}"/>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4200" name="7">
          <a:extLst>
            <a:ext uri="{FF2B5EF4-FFF2-40B4-BE49-F238E27FC236}">
              <a16:creationId xmlns:a16="http://schemas.microsoft.com/office/drawing/2014/main" id="{3A982A6C-CEB1-47F8-BA0C-3465497ABFBC}"/>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4201" name="6">
          <a:extLst>
            <a:ext uri="{FF2B5EF4-FFF2-40B4-BE49-F238E27FC236}">
              <a16:creationId xmlns:a16="http://schemas.microsoft.com/office/drawing/2014/main" id="{66D45FDE-6F6A-4386-909D-5FF8B196E28C}"/>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4202" name="직선 화살표 연결선 24201">
          <a:extLst>
            <a:ext uri="{FF2B5EF4-FFF2-40B4-BE49-F238E27FC236}">
              <a16:creationId xmlns:a16="http://schemas.microsoft.com/office/drawing/2014/main" id="{E180211B-8C50-42D5-A869-5ADA1D836A31}"/>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4203" name="5">
          <a:extLst>
            <a:ext uri="{FF2B5EF4-FFF2-40B4-BE49-F238E27FC236}">
              <a16:creationId xmlns:a16="http://schemas.microsoft.com/office/drawing/2014/main" id="{0B4A534A-4A42-4B5E-B672-7D272775FA48}"/>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4204" name="직선 화살표 연결선 24203">
          <a:extLst>
            <a:ext uri="{FF2B5EF4-FFF2-40B4-BE49-F238E27FC236}">
              <a16:creationId xmlns:a16="http://schemas.microsoft.com/office/drawing/2014/main" id="{FB2BE2F6-CB7A-48C9-8907-1156E703BD44}"/>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4205" name="4">
          <a:extLst>
            <a:ext uri="{FF2B5EF4-FFF2-40B4-BE49-F238E27FC236}">
              <a16:creationId xmlns:a16="http://schemas.microsoft.com/office/drawing/2014/main" id="{3138BDFB-ABA2-489A-A0F7-3F6AF787EB4F}"/>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4206" name="직선 화살표 연결선 24205">
          <a:extLst>
            <a:ext uri="{FF2B5EF4-FFF2-40B4-BE49-F238E27FC236}">
              <a16:creationId xmlns:a16="http://schemas.microsoft.com/office/drawing/2014/main" id="{2B51EB38-E9FF-4EE2-8415-15966579F0A3}"/>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4207" name="3">
          <a:extLst>
            <a:ext uri="{FF2B5EF4-FFF2-40B4-BE49-F238E27FC236}">
              <a16:creationId xmlns:a16="http://schemas.microsoft.com/office/drawing/2014/main" id="{67A77FFF-E7BD-42A8-96B3-ECCBE47179F7}"/>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4208" name="직선 화살표 연결선 24207">
          <a:extLst>
            <a:ext uri="{FF2B5EF4-FFF2-40B4-BE49-F238E27FC236}">
              <a16:creationId xmlns:a16="http://schemas.microsoft.com/office/drawing/2014/main" id="{4C6FE4DC-12F0-46ED-8F5C-AF30819393CF}"/>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4209" name="2">
          <a:extLst>
            <a:ext uri="{FF2B5EF4-FFF2-40B4-BE49-F238E27FC236}">
              <a16:creationId xmlns:a16="http://schemas.microsoft.com/office/drawing/2014/main" id="{F59CDF6D-3BDB-4AFC-9293-3CA8038E2C76}"/>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4210" name="직선 화살표 연결선 24209">
          <a:extLst>
            <a:ext uri="{FF2B5EF4-FFF2-40B4-BE49-F238E27FC236}">
              <a16:creationId xmlns:a16="http://schemas.microsoft.com/office/drawing/2014/main" id="{2C978715-DD17-4F64-A711-5193B4442F9F}"/>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4211" name="1">
          <a:extLst>
            <a:ext uri="{FF2B5EF4-FFF2-40B4-BE49-F238E27FC236}">
              <a16:creationId xmlns:a16="http://schemas.microsoft.com/office/drawing/2014/main" id="{46104BB0-8A1D-40D8-B060-CD8CF42D18B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4212" name="직선 화살표 연결선 24211">
          <a:extLst>
            <a:ext uri="{FF2B5EF4-FFF2-40B4-BE49-F238E27FC236}">
              <a16:creationId xmlns:a16="http://schemas.microsoft.com/office/drawing/2014/main" id="{4946CF33-D126-4622-8E42-F12C452B12FF}"/>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4710" name="44">
          <a:extLst>
            <a:ext uri="{FF2B5EF4-FFF2-40B4-BE49-F238E27FC236}">
              <a16:creationId xmlns:a16="http://schemas.microsoft.com/office/drawing/2014/main" id="{1606ACE1-8A05-49B3-A64F-E1D115DCB3E2}"/>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4711" name="직선 화살표 연결선 24710">
          <a:extLst>
            <a:ext uri="{FF2B5EF4-FFF2-40B4-BE49-F238E27FC236}">
              <a16:creationId xmlns:a16="http://schemas.microsoft.com/office/drawing/2014/main" id="{3F90C070-686C-4555-B9D4-4A7B1D41BD62}"/>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4712" name="43">
          <a:extLst>
            <a:ext uri="{FF2B5EF4-FFF2-40B4-BE49-F238E27FC236}">
              <a16:creationId xmlns:a16="http://schemas.microsoft.com/office/drawing/2014/main" id="{F160E520-D5FD-4BEA-BB28-3DEECD008E73}"/>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4713" name="직선 화살표 연결선 24712">
          <a:extLst>
            <a:ext uri="{FF2B5EF4-FFF2-40B4-BE49-F238E27FC236}">
              <a16:creationId xmlns:a16="http://schemas.microsoft.com/office/drawing/2014/main" id="{E698ACA0-46F5-4116-951C-6B7F7F70FAAE}"/>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4714" name="42">
          <a:extLst>
            <a:ext uri="{FF2B5EF4-FFF2-40B4-BE49-F238E27FC236}">
              <a16:creationId xmlns:a16="http://schemas.microsoft.com/office/drawing/2014/main" id="{7695EB14-D28B-4CAE-AC89-994E7F6F8550}"/>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4715" name="직선 화살표 연결선 24714">
          <a:extLst>
            <a:ext uri="{FF2B5EF4-FFF2-40B4-BE49-F238E27FC236}">
              <a16:creationId xmlns:a16="http://schemas.microsoft.com/office/drawing/2014/main" id="{632B5E28-7553-42C5-9855-8588503CFBB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4716" name="41">
          <a:extLst>
            <a:ext uri="{FF2B5EF4-FFF2-40B4-BE49-F238E27FC236}">
              <a16:creationId xmlns:a16="http://schemas.microsoft.com/office/drawing/2014/main" id="{0C9473F5-408D-407D-90AB-D9BA1AFA86F3}"/>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4717" name="직선 화살표 연결선 24716">
          <a:extLst>
            <a:ext uri="{FF2B5EF4-FFF2-40B4-BE49-F238E27FC236}">
              <a16:creationId xmlns:a16="http://schemas.microsoft.com/office/drawing/2014/main" id="{9F06583F-3F94-49BC-ABEA-8B7E87E03B15}"/>
            </a:ext>
          </a:extLst>
        </xdr:cNvPr>
        <xdr:cNvCxnSpPr/>
      </xdr:nvCxnSpPr>
      <xdr:spPr>
        <a:xfrm>
          <a:off x="12959443" y="6987540"/>
          <a:ext cx="2324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6385" name="10">
          <a:extLst>
            <a:ext uri="{FF2B5EF4-FFF2-40B4-BE49-F238E27FC236}">
              <a16:creationId xmlns:a16="http://schemas.microsoft.com/office/drawing/2014/main" id="{327C89EE-DCFE-4BD7-9957-5CACEF94F141}"/>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6386" name="직선 화살표 연결선 26385">
          <a:extLst>
            <a:ext uri="{FF2B5EF4-FFF2-40B4-BE49-F238E27FC236}">
              <a16:creationId xmlns:a16="http://schemas.microsoft.com/office/drawing/2014/main" id="{06E43CB3-D22C-4174-A975-4E0219FBB67E}"/>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6387" name="9">
          <a:extLst>
            <a:ext uri="{FF2B5EF4-FFF2-40B4-BE49-F238E27FC236}">
              <a16:creationId xmlns:a16="http://schemas.microsoft.com/office/drawing/2014/main" id="{DDAB7EE1-767A-4CED-892E-AE786D19BFE8}"/>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6388" name="직선 화살표 연결선 26387">
          <a:extLst>
            <a:ext uri="{FF2B5EF4-FFF2-40B4-BE49-F238E27FC236}">
              <a16:creationId xmlns:a16="http://schemas.microsoft.com/office/drawing/2014/main" id="{6D0052F8-A2A5-4FA1-90DA-0085EAE5812A}"/>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6389" name="8">
          <a:extLst>
            <a:ext uri="{FF2B5EF4-FFF2-40B4-BE49-F238E27FC236}">
              <a16:creationId xmlns:a16="http://schemas.microsoft.com/office/drawing/2014/main" id="{0936789E-0D6C-4AC6-B735-C04DC7763AEB}"/>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6390" name="직선 화살표 연결선 26389">
          <a:extLst>
            <a:ext uri="{FF2B5EF4-FFF2-40B4-BE49-F238E27FC236}">
              <a16:creationId xmlns:a16="http://schemas.microsoft.com/office/drawing/2014/main" id="{1CA5C745-E3A0-4F31-BE32-E7C71D2CA8F1}"/>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6391" name="7">
          <a:extLst>
            <a:ext uri="{FF2B5EF4-FFF2-40B4-BE49-F238E27FC236}">
              <a16:creationId xmlns:a16="http://schemas.microsoft.com/office/drawing/2014/main" id="{A9ACCA8D-45A6-4FB2-A7DF-9983A70EBDF7}"/>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6392" name="6">
          <a:extLst>
            <a:ext uri="{FF2B5EF4-FFF2-40B4-BE49-F238E27FC236}">
              <a16:creationId xmlns:a16="http://schemas.microsoft.com/office/drawing/2014/main" id="{AE6B7FD7-17F9-4052-9305-C40C91A46203}"/>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6393" name="직선 화살표 연결선 26392">
          <a:extLst>
            <a:ext uri="{FF2B5EF4-FFF2-40B4-BE49-F238E27FC236}">
              <a16:creationId xmlns:a16="http://schemas.microsoft.com/office/drawing/2014/main" id="{3EBB4872-D519-4D66-860A-4879C985CAB7}"/>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6394" name="5">
          <a:extLst>
            <a:ext uri="{FF2B5EF4-FFF2-40B4-BE49-F238E27FC236}">
              <a16:creationId xmlns:a16="http://schemas.microsoft.com/office/drawing/2014/main" id="{33478C97-A080-4582-A511-EA2CBDDB56E9}"/>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6395" name="직선 화살표 연결선 26394">
          <a:extLst>
            <a:ext uri="{FF2B5EF4-FFF2-40B4-BE49-F238E27FC236}">
              <a16:creationId xmlns:a16="http://schemas.microsoft.com/office/drawing/2014/main" id="{9D23A86D-5EE4-4008-9C3F-8D9D023236D2}"/>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6396" name="4">
          <a:extLst>
            <a:ext uri="{FF2B5EF4-FFF2-40B4-BE49-F238E27FC236}">
              <a16:creationId xmlns:a16="http://schemas.microsoft.com/office/drawing/2014/main" id="{C39D95CB-8323-400D-B1BD-00FBD7F2A3CE}"/>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6397" name="직선 화살표 연결선 26396">
          <a:extLst>
            <a:ext uri="{FF2B5EF4-FFF2-40B4-BE49-F238E27FC236}">
              <a16:creationId xmlns:a16="http://schemas.microsoft.com/office/drawing/2014/main" id="{A3884877-35D5-4B7E-88BC-06323CD81CB5}"/>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6398" name="3">
          <a:extLst>
            <a:ext uri="{FF2B5EF4-FFF2-40B4-BE49-F238E27FC236}">
              <a16:creationId xmlns:a16="http://schemas.microsoft.com/office/drawing/2014/main" id="{C68492AA-1A1B-4D8D-ABFA-408BCE082211}"/>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6399" name="직선 화살표 연결선 26398">
          <a:extLst>
            <a:ext uri="{FF2B5EF4-FFF2-40B4-BE49-F238E27FC236}">
              <a16:creationId xmlns:a16="http://schemas.microsoft.com/office/drawing/2014/main" id="{A5F285EB-2815-4C9C-84B0-33B98B60DC1A}"/>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6400" name="2">
          <a:extLst>
            <a:ext uri="{FF2B5EF4-FFF2-40B4-BE49-F238E27FC236}">
              <a16:creationId xmlns:a16="http://schemas.microsoft.com/office/drawing/2014/main" id="{BFD1BFD4-D9E8-4163-A0BC-3A84BED382EF}"/>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6401" name="직선 화살표 연결선 26400">
          <a:extLst>
            <a:ext uri="{FF2B5EF4-FFF2-40B4-BE49-F238E27FC236}">
              <a16:creationId xmlns:a16="http://schemas.microsoft.com/office/drawing/2014/main" id="{3FAE83F6-6E0E-45C4-A7C4-1713C4D2070E}"/>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6402" name="1">
          <a:extLst>
            <a:ext uri="{FF2B5EF4-FFF2-40B4-BE49-F238E27FC236}">
              <a16:creationId xmlns:a16="http://schemas.microsoft.com/office/drawing/2014/main" id="{960F4066-CCE0-4E30-A729-0BF3E1CFA4E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6403" name="직선 화살표 연결선 26402">
          <a:extLst>
            <a:ext uri="{FF2B5EF4-FFF2-40B4-BE49-F238E27FC236}">
              <a16:creationId xmlns:a16="http://schemas.microsoft.com/office/drawing/2014/main" id="{9CE8E504-F088-477A-AC30-377528330F48}"/>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6719" name="44">
          <a:extLst>
            <a:ext uri="{FF2B5EF4-FFF2-40B4-BE49-F238E27FC236}">
              <a16:creationId xmlns:a16="http://schemas.microsoft.com/office/drawing/2014/main" id="{26C17529-9D9E-414D-877A-07CEBD0203D8}"/>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6720" name="직선 화살표 연결선 26719">
          <a:extLst>
            <a:ext uri="{FF2B5EF4-FFF2-40B4-BE49-F238E27FC236}">
              <a16:creationId xmlns:a16="http://schemas.microsoft.com/office/drawing/2014/main" id="{186DDE7E-6ABD-4A49-A452-420484D76BF9}"/>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6721" name="43">
          <a:extLst>
            <a:ext uri="{FF2B5EF4-FFF2-40B4-BE49-F238E27FC236}">
              <a16:creationId xmlns:a16="http://schemas.microsoft.com/office/drawing/2014/main" id="{CEBCEE61-0A93-4EA6-81BC-03AD51D7B620}"/>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6722" name="직선 화살표 연결선 26721">
          <a:extLst>
            <a:ext uri="{FF2B5EF4-FFF2-40B4-BE49-F238E27FC236}">
              <a16:creationId xmlns:a16="http://schemas.microsoft.com/office/drawing/2014/main" id="{3C39E713-9CA2-4A57-BDF3-3BFDBF326F73}"/>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6723" name="42">
          <a:extLst>
            <a:ext uri="{FF2B5EF4-FFF2-40B4-BE49-F238E27FC236}">
              <a16:creationId xmlns:a16="http://schemas.microsoft.com/office/drawing/2014/main" id="{E40FF12E-872E-4CAC-918E-32B7D13F5BED}"/>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6724" name="직선 화살표 연결선 26723">
          <a:extLst>
            <a:ext uri="{FF2B5EF4-FFF2-40B4-BE49-F238E27FC236}">
              <a16:creationId xmlns:a16="http://schemas.microsoft.com/office/drawing/2014/main" id="{57BE0A00-ECD4-42CB-9832-D07E73CF9BE8}"/>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6725" name="41">
          <a:extLst>
            <a:ext uri="{FF2B5EF4-FFF2-40B4-BE49-F238E27FC236}">
              <a16:creationId xmlns:a16="http://schemas.microsoft.com/office/drawing/2014/main" id="{F97CF69E-4023-4789-AE90-D469D02121BB}"/>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6726" name="직선 화살표 연결선 26725">
          <a:extLst>
            <a:ext uri="{FF2B5EF4-FFF2-40B4-BE49-F238E27FC236}">
              <a16:creationId xmlns:a16="http://schemas.microsoft.com/office/drawing/2014/main" id="{C81390C5-7E77-434F-B56F-547A82761DD3}"/>
            </a:ext>
          </a:extLst>
        </xdr:cNvPr>
        <xdr:cNvCxnSpPr/>
      </xdr:nvCxnSpPr>
      <xdr:spPr>
        <a:xfrm>
          <a:off x="12959443" y="6987540"/>
          <a:ext cx="2324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6786" name="10">
          <a:extLst>
            <a:ext uri="{FF2B5EF4-FFF2-40B4-BE49-F238E27FC236}">
              <a16:creationId xmlns:a16="http://schemas.microsoft.com/office/drawing/2014/main" id="{CB712A67-B2A1-4670-AE00-4C8E5BC8C17C}"/>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6787" name="직선 화살표 연결선 26786">
          <a:extLst>
            <a:ext uri="{FF2B5EF4-FFF2-40B4-BE49-F238E27FC236}">
              <a16:creationId xmlns:a16="http://schemas.microsoft.com/office/drawing/2014/main" id="{9CE281A9-FD96-4BFC-846D-EC12CCA77F00}"/>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6788" name="9">
          <a:extLst>
            <a:ext uri="{FF2B5EF4-FFF2-40B4-BE49-F238E27FC236}">
              <a16:creationId xmlns:a16="http://schemas.microsoft.com/office/drawing/2014/main" id="{7C2FD775-FBE2-4ADD-8356-A0AF1304984F}"/>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6789" name="직선 화살표 연결선 26788">
          <a:extLst>
            <a:ext uri="{FF2B5EF4-FFF2-40B4-BE49-F238E27FC236}">
              <a16:creationId xmlns:a16="http://schemas.microsoft.com/office/drawing/2014/main" id="{7F86BC33-0E89-4B50-9AE9-AE07BC00F65C}"/>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6790" name="8">
          <a:extLst>
            <a:ext uri="{FF2B5EF4-FFF2-40B4-BE49-F238E27FC236}">
              <a16:creationId xmlns:a16="http://schemas.microsoft.com/office/drawing/2014/main" id="{836ED7A3-CAF4-4125-B628-65B1D89F43DE}"/>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6791" name="직선 화살표 연결선 26790">
          <a:extLst>
            <a:ext uri="{FF2B5EF4-FFF2-40B4-BE49-F238E27FC236}">
              <a16:creationId xmlns:a16="http://schemas.microsoft.com/office/drawing/2014/main" id="{D1AFD931-0377-4A67-9E35-A91E2F22D4A5}"/>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6792" name="7">
          <a:extLst>
            <a:ext uri="{FF2B5EF4-FFF2-40B4-BE49-F238E27FC236}">
              <a16:creationId xmlns:a16="http://schemas.microsoft.com/office/drawing/2014/main" id="{7CA02613-682C-48B3-BB44-E26892F80EDE}"/>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6793" name="6">
          <a:extLst>
            <a:ext uri="{FF2B5EF4-FFF2-40B4-BE49-F238E27FC236}">
              <a16:creationId xmlns:a16="http://schemas.microsoft.com/office/drawing/2014/main" id="{CBA15688-B0B0-42C3-ABD5-717595E37356}"/>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6794" name="직선 화살표 연결선 26793">
          <a:extLst>
            <a:ext uri="{FF2B5EF4-FFF2-40B4-BE49-F238E27FC236}">
              <a16:creationId xmlns:a16="http://schemas.microsoft.com/office/drawing/2014/main" id="{B833E0F9-849E-42C8-B1C3-2EE7137124DF}"/>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6795" name="5">
          <a:extLst>
            <a:ext uri="{FF2B5EF4-FFF2-40B4-BE49-F238E27FC236}">
              <a16:creationId xmlns:a16="http://schemas.microsoft.com/office/drawing/2014/main" id="{457C9A3A-37DC-4557-BC96-462F41FE0E03}"/>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6796" name="직선 화살표 연결선 26795">
          <a:extLst>
            <a:ext uri="{FF2B5EF4-FFF2-40B4-BE49-F238E27FC236}">
              <a16:creationId xmlns:a16="http://schemas.microsoft.com/office/drawing/2014/main" id="{DDEEF203-9B9F-4CAF-9A05-1F59C6B1FAD9}"/>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6797" name="4">
          <a:extLst>
            <a:ext uri="{FF2B5EF4-FFF2-40B4-BE49-F238E27FC236}">
              <a16:creationId xmlns:a16="http://schemas.microsoft.com/office/drawing/2014/main" id="{DC259C65-144E-45DB-A464-174358E322DC}"/>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6798" name="직선 화살표 연결선 26797">
          <a:extLst>
            <a:ext uri="{FF2B5EF4-FFF2-40B4-BE49-F238E27FC236}">
              <a16:creationId xmlns:a16="http://schemas.microsoft.com/office/drawing/2014/main" id="{7849AE70-655C-45EA-B960-75B7008B4612}"/>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6799" name="3">
          <a:extLst>
            <a:ext uri="{FF2B5EF4-FFF2-40B4-BE49-F238E27FC236}">
              <a16:creationId xmlns:a16="http://schemas.microsoft.com/office/drawing/2014/main" id="{C8215157-ED05-4736-881D-6B2FB3EFAE05}"/>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6800" name="직선 화살표 연결선 26799">
          <a:extLst>
            <a:ext uri="{FF2B5EF4-FFF2-40B4-BE49-F238E27FC236}">
              <a16:creationId xmlns:a16="http://schemas.microsoft.com/office/drawing/2014/main" id="{D62E6E2E-DFD7-43F6-99EC-2BD57DE60CEF}"/>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6801" name="2">
          <a:extLst>
            <a:ext uri="{FF2B5EF4-FFF2-40B4-BE49-F238E27FC236}">
              <a16:creationId xmlns:a16="http://schemas.microsoft.com/office/drawing/2014/main" id="{9207EC4E-6B10-4AFF-9530-EE59CADF59B3}"/>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6802" name="직선 화살표 연결선 26801">
          <a:extLst>
            <a:ext uri="{FF2B5EF4-FFF2-40B4-BE49-F238E27FC236}">
              <a16:creationId xmlns:a16="http://schemas.microsoft.com/office/drawing/2014/main" id="{12B0DB03-CB63-4CC3-8110-2BC9248C3F8E}"/>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6803" name="1">
          <a:extLst>
            <a:ext uri="{FF2B5EF4-FFF2-40B4-BE49-F238E27FC236}">
              <a16:creationId xmlns:a16="http://schemas.microsoft.com/office/drawing/2014/main" id="{C0909533-7193-4AFE-BF7C-2540E812480C}"/>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6804" name="직선 화살표 연결선 26803">
          <a:extLst>
            <a:ext uri="{FF2B5EF4-FFF2-40B4-BE49-F238E27FC236}">
              <a16:creationId xmlns:a16="http://schemas.microsoft.com/office/drawing/2014/main" id="{1294F88B-4884-4802-970B-706AF0D3FBDA}"/>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7120" name="44">
          <a:extLst>
            <a:ext uri="{FF2B5EF4-FFF2-40B4-BE49-F238E27FC236}">
              <a16:creationId xmlns:a16="http://schemas.microsoft.com/office/drawing/2014/main" id="{F9018F4A-3A8A-42CE-8ECA-8B8EE852E02B}"/>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7121" name="직선 화살표 연결선 27120">
          <a:extLst>
            <a:ext uri="{FF2B5EF4-FFF2-40B4-BE49-F238E27FC236}">
              <a16:creationId xmlns:a16="http://schemas.microsoft.com/office/drawing/2014/main" id="{0A6E64FE-7025-4C93-A4DD-28F3501DA943}"/>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7122" name="43">
          <a:extLst>
            <a:ext uri="{FF2B5EF4-FFF2-40B4-BE49-F238E27FC236}">
              <a16:creationId xmlns:a16="http://schemas.microsoft.com/office/drawing/2014/main" id="{BACD201F-BC24-45F2-8533-D544034E8C96}"/>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7123" name="직선 화살표 연결선 27122">
          <a:extLst>
            <a:ext uri="{FF2B5EF4-FFF2-40B4-BE49-F238E27FC236}">
              <a16:creationId xmlns:a16="http://schemas.microsoft.com/office/drawing/2014/main" id="{8F8FFF55-4940-42EF-AD41-F84363D0DE05}"/>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7124" name="42">
          <a:extLst>
            <a:ext uri="{FF2B5EF4-FFF2-40B4-BE49-F238E27FC236}">
              <a16:creationId xmlns:a16="http://schemas.microsoft.com/office/drawing/2014/main" id="{9917267C-FB86-4BF8-9B0B-5F1121528E87}"/>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7125" name="직선 화살표 연결선 27124">
          <a:extLst>
            <a:ext uri="{FF2B5EF4-FFF2-40B4-BE49-F238E27FC236}">
              <a16:creationId xmlns:a16="http://schemas.microsoft.com/office/drawing/2014/main" id="{709E1AF7-17BD-4E42-A017-6AE9F9DF0243}"/>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7126" name="41">
          <a:extLst>
            <a:ext uri="{FF2B5EF4-FFF2-40B4-BE49-F238E27FC236}">
              <a16:creationId xmlns:a16="http://schemas.microsoft.com/office/drawing/2014/main" id="{5F053ADB-543E-499F-B6F5-817156D690B1}"/>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7127" name="직선 화살표 연결선 27126">
          <a:extLst>
            <a:ext uri="{FF2B5EF4-FFF2-40B4-BE49-F238E27FC236}">
              <a16:creationId xmlns:a16="http://schemas.microsoft.com/office/drawing/2014/main" id="{9F665644-69BE-48E2-AAA2-2607C3DD037C}"/>
            </a:ext>
          </a:extLst>
        </xdr:cNvPr>
        <xdr:cNvCxnSpPr/>
      </xdr:nvCxnSpPr>
      <xdr:spPr>
        <a:xfrm>
          <a:off x="12959443" y="6987540"/>
          <a:ext cx="2347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7187" name="10">
          <a:extLst>
            <a:ext uri="{FF2B5EF4-FFF2-40B4-BE49-F238E27FC236}">
              <a16:creationId xmlns:a16="http://schemas.microsoft.com/office/drawing/2014/main" id="{C9F6E84C-7DFF-418C-96D2-7D4996D24F70}"/>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7188" name="직선 화살표 연결선 27187">
          <a:extLst>
            <a:ext uri="{FF2B5EF4-FFF2-40B4-BE49-F238E27FC236}">
              <a16:creationId xmlns:a16="http://schemas.microsoft.com/office/drawing/2014/main" id="{1A2E4CC6-8590-4952-A2C5-191326F05BAF}"/>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7189" name="9">
          <a:extLst>
            <a:ext uri="{FF2B5EF4-FFF2-40B4-BE49-F238E27FC236}">
              <a16:creationId xmlns:a16="http://schemas.microsoft.com/office/drawing/2014/main" id="{A17BF79A-05A8-4821-B35D-C58C3FDB7205}"/>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7190" name="직선 화살표 연결선 27189">
          <a:extLst>
            <a:ext uri="{FF2B5EF4-FFF2-40B4-BE49-F238E27FC236}">
              <a16:creationId xmlns:a16="http://schemas.microsoft.com/office/drawing/2014/main" id="{1433F4B0-B853-4582-8F3B-3D993BC54509}"/>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7191" name="8">
          <a:extLst>
            <a:ext uri="{FF2B5EF4-FFF2-40B4-BE49-F238E27FC236}">
              <a16:creationId xmlns:a16="http://schemas.microsoft.com/office/drawing/2014/main" id="{2EE2427C-30E5-494D-84D0-2F8C769F85F9}"/>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7192" name="직선 화살표 연결선 27191">
          <a:extLst>
            <a:ext uri="{FF2B5EF4-FFF2-40B4-BE49-F238E27FC236}">
              <a16:creationId xmlns:a16="http://schemas.microsoft.com/office/drawing/2014/main" id="{82AFB1B0-308C-4CA6-AFFB-FE347505490B}"/>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7193" name="7">
          <a:extLst>
            <a:ext uri="{FF2B5EF4-FFF2-40B4-BE49-F238E27FC236}">
              <a16:creationId xmlns:a16="http://schemas.microsoft.com/office/drawing/2014/main" id="{6F7A1B22-A012-4651-985F-92C27D77028B}"/>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7194" name="6">
          <a:extLst>
            <a:ext uri="{FF2B5EF4-FFF2-40B4-BE49-F238E27FC236}">
              <a16:creationId xmlns:a16="http://schemas.microsoft.com/office/drawing/2014/main" id="{C36774C4-730A-4484-9AB1-FFE456E76060}"/>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7195" name="직선 화살표 연결선 27194">
          <a:extLst>
            <a:ext uri="{FF2B5EF4-FFF2-40B4-BE49-F238E27FC236}">
              <a16:creationId xmlns:a16="http://schemas.microsoft.com/office/drawing/2014/main" id="{24647D3D-864B-4787-AD94-4327A4C6B11D}"/>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7196" name="5">
          <a:extLst>
            <a:ext uri="{FF2B5EF4-FFF2-40B4-BE49-F238E27FC236}">
              <a16:creationId xmlns:a16="http://schemas.microsoft.com/office/drawing/2014/main" id="{471F299A-18C5-42E8-8585-B161B0AA2D6E}"/>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7197" name="직선 화살표 연결선 27196">
          <a:extLst>
            <a:ext uri="{FF2B5EF4-FFF2-40B4-BE49-F238E27FC236}">
              <a16:creationId xmlns:a16="http://schemas.microsoft.com/office/drawing/2014/main" id="{7EF8A759-0822-423F-B6E5-5F972E760C94}"/>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7198" name="4">
          <a:extLst>
            <a:ext uri="{FF2B5EF4-FFF2-40B4-BE49-F238E27FC236}">
              <a16:creationId xmlns:a16="http://schemas.microsoft.com/office/drawing/2014/main" id="{DE3B2B76-AA89-4942-891E-80774DF39A47}"/>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7199" name="직선 화살표 연결선 27198">
          <a:extLst>
            <a:ext uri="{FF2B5EF4-FFF2-40B4-BE49-F238E27FC236}">
              <a16:creationId xmlns:a16="http://schemas.microsoft.com/office/drawing/2014/main" id="{BD0B4521-2702-4D68-B7EB-57C3066E4A5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7200" name="3">
          <a:extLst>
            <a:ext uri="{FF2B5EF4-FFF2-40B4-BE49-F238E27FC236}">
              <a16:creationId xmlns:a16="http://schemas.microsoft.com/office/drawing/2014/main" id="{A3529D65-541C-4140-99EE-FC4CC9AFF69E}"/>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7201" name="직선 화살표 연결선 27200">
          <a:extLst>
            <a:ext uri="{FF2B5EF4-FFF2-40B4-BE49-F238E27FC236}">
              <a16:creationId xmlns:a16="http://schemas.microsoft.com/office/drawing/2014/main" id="{5E5D4AAA-229F-454E-A524-B3E225DEF0C1}"/>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7202" name="2">
          <a:extLst>
            <a:ext uri="{FF2B5EF4-FFF2-40B4-BE49-F238E27FC236}">
              <a16:creationId xmlns:a16="http://schemas.microsoft.com/office/drawing/2014/main" id="{F0806FFD-3F53-4966-B099-DCFA613776C7}"/>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7203" name="직선 화살표 연결선 27202">
          <a:extLst>
            <a:ext uri="{FF2B5EF4-FFF2-40B4-BE49-F238E27FC236}">
              <a16:creationId xmlns:a16="http://schemas.microsoft.com/office/drawing/2014/main" id="{3B42940B-66C7-4924-B005-E5B079BA7006}"/>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7204" name="1">
          <a:extLst>
            <a:ext uri="{FF2B5EF4-FFF2-40B4-BE49-F238E27FC236}">
              <a16:creationId xmlns:a16="http://schemas.microsoft.com/office/drawing/2014/main" id="{6AC578F4-A7A5-4378-93EF-AC93311F6437}"/>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7205" name="직선 화살표 연결선 27204">
          <a:extLst>
            <a:ext uri="{FF2B5EF4-FFF2-40B4-BE49-F238E27FC236}">
              <a16:creationId xmlns:a16="http://schemas.microsoft.com/office/drawing/2014/main" id="{E1CA05A8-B20F-4E20-BEDB-192BFC27C732}"/>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7521" name="44">
          <a:extLst>
            <a:ext uri="{FF2B5EF4-FFF2-40B4-BE49-F238E27FC236}">
              <a16:creationId xmlns:a16="http://schemas.microsoft.com/office/drawing/2014/main" id="{620F8085-8106-43F7-BA13-60CAF0A449CD}"/>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7522" name="직선 화살표 연결선 27521">
          <a:extLst>
            <a:ext uri="{FF2B5EF4-FFF2-40B4-BE49-F238E27FC236}">
              <a16:creationId xmlns:a16="http://schemas.microsoft.com/office/drawing/2014/main" id="{C8319817-3AAE-4A6B-9D2D-A50528A64020}"/>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7523" name="43">
          <a:extLst>
            <a:ext uri="{FF2B5EF4-FFF2-40B4-BE49-F238E27FC236}">
              <a16:creationId xmlns:a16="http://schemas.microsoft.com/office/drawing/2014/main" id="{9559EA04-CA54-4D76-9FCD-4815E5FEF84A}"/>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7524" name="직선 화살표 연결선 27523">
          <a:extLst>
            <a:ext uri="{FF2B5EF4-FFF2-40B4-BE49-F238E27FC236}">
              <a16:creationId xmlns:a16="http://schemas.microsoft.com/office/drawing/2014/main" id="{DB848731-CCFC-4DAB-8111-1AA2449271FA}"/>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7525" name="42">
          <a:extLst>
            <a:ext uri="{FF2B5EF4-FFF2-40B4-BE49-F238E27FC236}">
              <a16:creationId xmlns:a16="http://schemas.microsoft.com/office/drawing/2014/main" id="{E28584C1-881A-4930-A91A-EC57AC343186}"/>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7526" name="직선 화살표 연결선 27525">
          <a:extLst>
            <a:ext uri="{FF2B5EF4-FFF2-40B4-BE49-F238E27FC236}">
              <a16:creationId xmlns:a16="http://schemas.microsoft.com/office/drawing/2014/main" id="{A65CE772-68EE-40FC-9B27-CDBA2DD3D727}"/>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7527" name="41">
          <a:extLst>
            <a:ext uri="{FF2B5EF4-FFF2-40B4-BE49-F238E27FC236}">
              <a16:creationId xmlns:a16="http://schemas.microsoft.com/office/drawing/2014/main" id="{F720FAB2-BD43-420A-834A-C7C98C730BF5}"/>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7528" name="직선 화살표 연결선 27527">
          <a:extLst>
            <a:ext uri="{FF2B5EF4-FFF2-40B4-BE49-F238E27FC236}">
              <a16:creationId xmlns:a16="http://schemas.microsoft.com/office/drawing/2014/main" id="{FC9A1A33-AA69-40BE-88BA-B79C2CE51F87}"/>
            </a:ext>
          </a:extLst>
        </xdr:cNvPr>
        <xdr:cNvCxnSpPr/>
      </xdr:nvCxnSpPr>
      <xdr:spPr>
        <a:xfrm>
          <a:off x="12959443" y="6987540"/>
          <a:ext cx="2350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7588" name="10">
          <a:extLst>
            <a:ext uri="{FF2B5EF4-FFF2-40B4-BE49-F238E27FC236}">
              <a16:creationId xmlns:a16="http://schemas.microsoft.com/office/drawing/2014/main" id="{C2A216ED-8259-4828-891E-7EA7E92C038F}"/>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7589" name="직선 화살표 연결선 27588">
          <a:extLst>
            <a:ext uri="{FF2B5EF4-FFF2-40B4-BE49-F238E27FC236}">
              <a16:creationId xmlns:a16="http://schemas.microsoft.com/office/drawing/2014/main" id="{60DAD4B4-79B0-4F99-BDCA-64094BC2603B}"/>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7590" name="9">
          <a:extLst>
            <a:ext uri="{FF2B5EF4-FFF2-40B4-BE49-F238E27FC236}">
              <a16:creationId xmlns:a16="http://schemas.microsoft.com/office/drawing/2014/main" id="{C151F1B9-09F0-4983-A453-097864C0D7B9}"/>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7591" name="직선 화살표 연결선 27590">
          <a:extLst>
            <a:ext uri="{FF2B5EF4-FFF2-40B4-BE49-F238E27FC236}">
              <a16:creationId xmlns:a16="http://schemas.microsoft.com/office/drawing/2014/main" id="{657BD76A-290C-4721-9EAE-E5F15BB9F70C}"/>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7592" name="8">
          <a:extLst>
            <a:ext uri="{FF2B5EF4-FFF2-40B4-BE49-F238E27FC236}">
              <a16:creationId xmlns:a16="http://schemas.microsoft.com/office/drawing/2014/main" id="{9678A771-6381-47BF-8244-071FC9D12F31}"/>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7593" name="직선 화살표 연결선 27592">
          <a:extLst>
            <a:ext uri="{FF2B5EF4-FFF2-40B4-BE49-F238E27FC236}">
              <a16:creationId xmlns:a16="http://schemas.microsoft.com/office/drawing/2014/main" id="{2A924069-558E-4BFB-B38C-29D55543AAF9}"/>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7594" name="7">
          <a:extLst>
            <a:ext uri="{FF2B5EF4-FFF2-40B4-BE49-F238E27FC236}">
              <a16:creationId xmlns:a16="http://schemas.microsoft.com/office/drawing/2014/main" id="{38FDF662-5709-45A5-80CA-383ACBA1F112}"/>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7595" name="6">
          <a:extLst>
            <a:ext uri="{FF2B5EF4-FFF2-40B4-BE49-F238E27FC236}">
              <a16:creationId xmlns:a16="http://schemas.microsoft.com/office/drawing/2014/main" id="{BF4063B0-B278-4653-837A-9C46F433B74A}"/>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7596" name="직선 화살표 연결선 27595">
          <a:extLst>
            <a:ext uri="{FF2B5EF4-FFF2-40B4-BE49-F238E27FC236}">
              <a16:creationId xmlns:a16="http://schemas.microsoft.com/office/drawing/2014/main" id="{F937F6BF-EAB2-466C-9CEA-02D445CEBD88}"/>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7597" name="5">
          <a:extLst>
            <a:ext uri="{FF2B5EF4-FFF2-40B4-BE49-F238E27FC236}">
              <a16:creationId xmlns:a16="http://schemas.microsoft.com/office/drawing/2014/main" id="{8A77BE47-8E44-4203-875D-495163298C30}"/>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7598" name="직선 화살표 연결선 27597">
          <a:extLst>
            <a:ext uri="{FF2B5EF4-FFF2-40B4-BE49-F238E27FC236}">
              <a16:creationId xmlns:a16="http://schemas.microsoft.com/office/drawing/2014/main" id="{A99613F1-69A4-4186-92E9-6B00D360ADC4}"/>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7599" name="4">
          <a:extLst>
            <a:ext uri="{FF2B5EF4-FFF2-40B4-BE49-F238E27FC236}">
              <a16:creationId xmlns:a16="http://schemas.microsoft.com/office/drawing/2014/main" id="{FF1234A9-894C-42DC-B281-EEF27E04DC63}"/>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7600" name="직선 화살표 연결선 27599">
          <a:extLst>
            <a:ext uri="{FF2B5EF4-FFF2-40B4-BE49-F238E27FC236}">
              <a16:creationId xmlns:a16="http://schemas.microsoft.com/office/drawing/2014/main" id="{84940ED9-51D0-465D-958A-6A7D21F65712}"/>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7601" name="3">
          <a:extLst>
            <a:ext uri="{FF2B5EF4-FFF2-40B4-BE49-F238E27FC236}">
              <a16:creationId xmlns:a16="http://schemas.microsoft.com/office/drawing/2014/main" id="{27ADBDDB-C97F-4A3C-9351-16429D5C6781}"/>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7602" name="직선 화살표 연결선 27601">
          <a:extLst>
            <a:ext uri="{FF2B5EF4-FFF2-40B4-BE49-F238E27FC236}">
              <a16:creationId xmlns:a16="http://schemas.microsoft.com/office/drawing/2014/main" id="{4CE5A1CB-7FA0-4A5B-9139-E5C558917360}"/>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7603" name="2">
          <a:extLst>
            <a:ext uri="{FF2B5EF4-FFF2-40B4-BE49-F238E27FC236}">
              <a16:creationId xmlns:a16="http://schemas.microsoft.com/office/drawing/2014/main" id="{DD4F155E-C83B-4929-B096-1517C6A788FA}"/>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7604" name="직선 화살표 연결선 27603">
          <a:extLst>
            <a:ext uri="{FF2B5EF4-FFF2-40B4-BE49-F238E27FC236}">
              <a16:creationId xmlns:a16="http://schemas.microsoft.com/office/drawing/2014/main" id="{E99DB2AE-43FB-4407-90F2-3F1ED4067046}"/>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7605" name="1">
          <a:extLst>
            <a:ext uri="{FF2B5EF4-FFF2-40B4-BE49-F238E27FC236}">
              <a16:creationId xmlns:a16="http://schemas.microsoft.com/office/drawing/2014/main" id="{5ABC2F51-4FAA-4013-A5F0-958BCD2AF8BF}"/>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7606" name="직선 화살표 연결선 27605">
          <a:extLst>
            <a:ext uri="{FF2B5EF4-FFF2-40B4-BE49-F238E27FC236}">
              <a16:creationId xmlns:a16="http://schemas.microsoft.com/office/drawing/2014/main" id="{8C31F6C5-025B-4B2F-9561-44AE8FF4F99D}"/>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5033" name="44">
          <a:extLst>
            <a:ext uri="{FF2B5EF4-FFF2-40B4-BE49-F238E27FC236}">
              <a16:creationId xmlns:a16="http://schemas.microsoft.com/office/drawing/2014/main" id="{E5023DA6-7570-4BE5-9684-DCD67F208572}"/>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5034" name="직선 화살표 연결선 25033">
          <a:extLst>
            <a:ext uri="{FF2B5EF4-FFF2-40B4-BE49-F238E27FC236}">
              <a16:creationId xmlns:a16="http://schemas.microsoft.com/office/drawing/2014/main" id="{2B9EF5A9-51EE-4329-8AE5-7D2ED33A928D}"/>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5035" name="43">
          <a:extLst>
            <a:ext uri="{FF2B5EF4-FFF2-40B4-BE49-F238E27FC236}">
              <a16:creationId xmlns:a16="http://schemas.microsoft.com/office/drawing/2014/main" id="{543084D8-B2C7-4427-8C66-6141ACCB3DAB}"/>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5036" name="직선 화살표 연결선 25035">
          <a:extLst>
            <a:ext uri="{FF2B5EF4-FFF2-40B4-BE49-F238E27FC236}">
              <a16:creationId xmlns:a16="http://schemas.microsoft.com/office/drawing/2014/main" id="{1066539F-7CD5-40F2-B921-36D9D68EC35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5037" name="42">
          <a:extLst>
            <a:ext uri="{FF2B5EF4-FFF2-40B4-BE49-F238E27FC236}">
              <a16:creationId xmlns:a16="http://schemas.microsoft.com/office/drawing/2014/main" id="{592AD609-0ED3-429E-95D0-580CCD2A944D}"/>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5038" name="직선 화살표 연결선 25037">
          <a:extLst>
            <a:ext uri="{FF2B5EF4-FFF2-40B4-BE49-F238E27FC236}">
              <a16:creationId xmlns:a16="http://schemas.microsoft.com/office/drawing/2014/main" id="{60669331-8FA4-4B85-AF0F-2DBBB809EC9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5039" name="41">
          <a:extLst>
            <a:ext uri="{FF2B5EF4-FFF2-40B4-BE49-F238E27FC236}">
              <a16:creationId xmlns:a16="http://schemas.microsoft.com/office/drawing/2014/main" id="{28F9B64C-A4C9-4467-9A4C-E2703ABBBB70}"/>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5040" name="직선 화살표 연결선 25039">
          <a:extLst>
            <a:ext uri="{FF2B5EF4-FFF2-40B4-BE49-F238E27FC236}">
              <a16:creationId xmlns:a16="http://schemas.microsoft.com/office/drawing/2014/main" id="{B7830A14-16B6-481F-927B-10F0DED36AD6}"/>
            </a:ext>
          </a:extLst>
        </xdr:cNvPr>
        <xdr:cNvCxnSpPr/>
      </xdr:nvCxnSpPr>
      <xdr:spPr>
        <a:xfrm>
          <a:off x="12959443" y="6987540"/>
          <a:ext cx="461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5172" name="10">
          <a:extLst>
            <a:ext uri="{FF2B5EF4-FFF2-40B4-BE49-F238E27FC236}">
              <a16:creationId xmlns:a16="http://schemas.microsoft.com/office/drawing/2014/main" id="{4760AC28-2947-4C92-92C4-A554BF37D779}"/>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5173" name="직선 화살표 연결선 25172">
          <a:extLst>
            <a:ext uri="{FF2B5EF4-FFF2-40B4-BE49-F238E27FC236}">
              <a16:creationId xmlns:a16="http://schemas.microsoft.com/office/drawing/2014/main" id="{D24E04FE-B131-4CDD-8873-D49E1FF88E9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5174" name="9">
          <a:extLst>
            <a:ext uri="{FF2B5EF4-FFF2-40B4-BE49-F238E27FC236}">
              <a16:creationId xmlns:a16="http://schemas.microsoft.com/office/drawing/2014/main" id="{010EE3C3-F520-4ABB-873A-4BEB07911698}"/>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5175" name="직선 화살표 연결선 25174">
          <a:extLst>
            <a:ext uri="{FF2B5EF4-FFF2-40B4-BE49-F238E27FC236}">
              <a16:creationId xmlns:a16="http://schemas.microsoft.com/office/drawing/2014/main" id="{E0031139-9631-4A60-A51F-28383C99967B}"/>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5176" name="8">
          <a:extLst>
            <a:ext uri="{FF2B5EF4-FFF2-40B4-BE49-F238E27FC236}">
              <a16:creationId xmlns:a16="http://schemas.microsoft.com/office/drawing/2014/main" id="{F95A333C-8504-41D2-825F-8E00A12601D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5177" name="직선 화살표 연결선 25176">
          <a:extLst>
            <a:ext uri="{FF2B5EF4-FFF2-40B4-BE49-F238E27FC236}">
              <a16:creationId xmlns:a16="http://schemas.microsoft.com/office/drawing/2014/main" id="{A497A344-753A-4983-AACD-1C2A1C053CE7}"/>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5178" name="7">
          <a:extLst>
            <a:ext uri="{FF2B5EF4-FFF2-40B4-BE49-F238E27FC236}">
              <a16:creationId xmlns:a16="http://schemas.microsoft.com/office/drawing/2014/main" id="{6AC05CD9-2368-40D2-B28F-8D7D9B254B2B}"/>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5179" name="6">
          <a:extLst>
            <a:ext uri="{FF2B5EF4-FFF2-40B4-BE49-F238E27FC236}">
              <a16:creationId xmlns:a16="http://schemas.microsoft.com/office/drawing/2014/main" id="{6BADFFEE-4882-48FF-A213-C82370D65034}"/>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5180" name="직선 화살표 연결선 25179">
          <a:extLst>
            <a:ext uri="{FF2B5EF4-FFF2-40B4-BE49-F238E27FC236}">
              <a16:creationId xmlns:a16="http://schemas.microsoft.com/office/drawing/2014/main" id="{81670205-5413-4AD4-9A4C-3B0D21739B17}"/>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5181" name="5">
          <a:extLst>
            <a:ext uri="{FF2B5EF4-FFF2-40B4-BE49-F238E27FC236}">
              <a16:creationId xmlns:a16="http://schemas.microsoft.com/office/drawing/2014/main" id="{AFB66B4A-D0CB-4B35-9D36-6B8C97B01CAC}"/>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5182" name="직선 화살표 연결선 25181">
          <a:extLst>
            <a:ext uri="{FF2B5EF4-FFF2-40B4-BE49-F238E27FC236}">
              <a16:creationId xmlns:a16="http://schemas.microsoft.com/office/drawing/2014/main" id="{5DB33C08-8CB3-4BE3-B40C-0D5928322DF8}"/>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5183" name="4">
          <a:extLst>
            <a:ext uri="{FF2B5EF4-FFF2-40B4-BE49-F238E27FC236}">
              <a16:creationId xmlns:a16="http://schemas.microsoft.com/office/drawing/2014/main" id="{F7D77312-EBFA-46C2-871D-B126FF532171}"/>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5184" name="직선 화살표 연결선 25183">
          <a:extLst>
            <a:ext uri="{FF2B5EF4-FFF2-40B4-BE49-F238E27FC236}">
              <a16:creationId xmlns:a16="http://schemas.microsoft.com/office/drawing/2014/main" id="{22711E3B-8AA4-4D93-ADDF-31BCC91BFDE1}"/>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5185" name="3">
          <a:extLst>
            <a:ext uri="{FF2B5EF4-FFF2-40B4-BE49-F238E27FC236}">
              <a16:creationId xmlns:a16="http://schemas.microsoft.com/office/drawing/2014/main" id="{44C48D49-C1FD-4C17-8B60-EF98453EDCDC}"/>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5186" name="직선 화살표 연결선 25185">
          <a:extLst>
            <a:ext uri="{FF2B5EF4-FFF2-40B4-BE49-F238E27FC236}">
              <a16:creationId xmlns:a16="http://schemas.microsoft.com/office/drawing/2014/main" id="{6E70C9B0-B4C0-4CF4-802D-E98D3D4F6D92}"/>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5195" name="2">
          <a:extLst>
            <a:ext uri="{FF2B5EF4-FFF2-40B4-BE49-F238E27FC236}">
              <a16:creationId xmlns:a16="http://schemas.microsoft.com/office/drawing/2014/main" id="{FF338FAE-B751-4C38-8AE6-A3E5461302AD}"/>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5196" name="직선 화살표 연결선 25195">
          <a:extLst>
            <a:ext uri="{FF2B5EF4-FFF2-40B4-BE49-F238E27FC236}">
              <a16:creationId xmlns:a16="http://schemas.microsoft.com/office/drawing/2014/main" id="{23728396-9B5E-4DEF-AA1B-24A16FB328F3}"/>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5197" name="1">
          <a:extLst>
            <a:ext uri="{FF2B5EF4-FFF2-40B4-BE49-F238E27FC236}">
              <a16:creationId xmlns:a16="http://schemas.microsoft.com/office/drawing/2014/main" id="{387F77B7-A2FB-4C69-AC64-F2B81289F5D2}"/>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5198" name="직선 화살표 연결선 25197">
          <a:extLst>
            <a:ext uri="{FF2B5EF4-FFF2-40B4-BE49-F238E27FC236}">
              <a16:creationId xmlns:a16="http://schemas.microsoft.com/office/drawing/2014/main" id="{201D4686-BC6C-4B40-A237-1183CD9EBB4F}"/>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3111" name="44">
          <a:extLst>
            <a:ext uri="{FF2B5EF4-FFF2-40B4-BE49-F238E27FC236}">
              <a16:creationId xmlns:a16="http://schemas.microsoft.com/office/drawing/2014/main" id="{3E3979C3-5B54-44AD-AF66-15D09BE65D9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3112" name="직선 화살표 연결선 23111">
          <a:extLst>
            <a:ext uri="{FF2B5EF4-FFF2-40B4-BE49-F238E27FC236}">
              <a16:creationId xmlns:a16="http://schemas.microsoft.com/office/drawing/2014/main" id="{B70E253E-85D6-4872-9828-CF90CCA2A04E}"/>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3113" name="43">
          <a:extLst>
            <a:ext uri="{FF2B5EF4-FFF2-40B4-BE49-F238E27FC236}">
              <a16:creationId xmlns:a16="http://schemas.microsoft.com/office/drawing/2014/main" id="{94C8BB61-FA5E-450D-9717-0BACD1DED1FE}"/>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3114" name="직선 화살표 연결선 23113">
          <a:extLst>
            <a:ext uri="{FF2B5EF4-FFF2-40B4-BE49-F238E27FC236}">
              <a16:creationId xmlns:a16="http://schemas.microsoft.com/office/drawing/2014/main" id="{08B53425-5319-4B52-B303-5DFBEB05CCF9}"/>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3115" name="42">
          <a:extLst>
            <a:ext uri="{FF2B5EF4-FFF2-40B4-BE49-F238E27FC236}">
              <a16:creationId xmlns:a16="http://schemas.microsoft.com/office/drawing/2014/main" id="{2B93FB84-B50E-4FEE-886F-37B42C2CB9BA}"/>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3116" name="직선 화살표 연결선 23115">
          <a:extLst>
            <a:ext uri="{FF2B5EF4-FFF2-40B4-BE49-F238E27FC236}">
              <a16:creationId xmlns:a16="http://schemas.microsoft.com/office/drawing/2014/main" id="{C0F508EB-1914-4F67-8BF4-4223D70564C5}"/>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3117" name="41">
          <a:extLst>
            <a:ext uri="{FF2B5EF4-FFF2-40B4-BE49-F238E27FC236}">
              <a16:creationId xmlns:a16="http://schemas.microsoft.com/office/drawing/2014/main" id="{25A51229-3863-4F98-B9DB-82E5C808C3E7}"/>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3118" name="직선 화살표 연결선 23117">
          <a:extLst>
            <a:ext uri="{FF2B5EF4-FFF2-40B4-BE49-F238E27FC236}">
              <a16:creationId xmlns:a16="http://schemas.microsoft.com/office/drawing/2014/main" id="{303E5A1C-EB35-452A-AAA8-119E9B315C7B}"/>
            </a:ext>
          </a:extLst>
        </xdr:cNvPr>
        <xdr:cNvCxnSpPr/>
      </xdr:nvCxnSpPr>
      <xdr:spPr>
        <a:xfrm>
          <a:off x="12959443" y="6987540"/>
          <a:ext cx="446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5957" name="10">
          <a:extLst>
            <a:ext uri="{FF2B5EF4-FFF2-40B4-BE49-F238E27FC236}">
              <a16:creationId xmlns:a16="http://schemas.microsoft.com/office/drawing/2014/main" id="{C742F7D4-6192-47DC-A7EF-632C59EEDFDC}"/>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5958" name="직선 화살표 연결선 25957">
          <a:extLst>
            <a:ext uri="{FF2B5EF4-FFF2-40B4-BE49-F238E27FC236}">
              <a16:creationId xmlns:a16="http://schemas.microsoft.com/office/drawing/2014/main" id="{DF4F7A17-B98C-46C8-A95E-89D157308AFB}"/>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5959" name="9">
          <a:extLst>
            <a:ext uri="{FF2B5EF4-FFF2-40B4-BE49-F238E27FC236}">
              <a16:creationId xmlns:a16="http://schemas.microsoft.com/office/drawing/2014/main" id="{67870EB8-BA38-4DA5-9FB7-2951CB15C18A}"/>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5960" name="직선 화살표 연결선 25959">
          <a:extLst>
            <a:ext uri="{FF2B5EF4-FFF2-40B4-BE49-F238E27FC236}">
              <a16:creationId xmlns:a16="http://schemas.microsoft.com/office/drawing/2014/main" id="{C277C691-A05D-488B-B3E5-7593CE45B3DC}"/>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5961" name="8">
          <a:extLst>
            <a:ext uri="{FF2B5EF4-FFF2-40B4-BE49-F238E27FC236}">
              <a16:creationId xmlns:a16="http://schemas.microsoft.com/office/drawing/2014/main" id="{7663F50C-4F02-4D1A-B51F-32A4FF93ABFB}"/>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5962" name="직선 화살표 연결선 25961">
          <a:extLst>
            <a:ext uri="{FF2B5EF4-FFF2-40B4-BE49-F238E27FC236}">
              <a16:creationId xmlns:a16="http://schemas.microsoft.com/office/drawing/2014/main" id="{4F27605B-31C3-469F-AC44-24DC79C9392E}"/>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5963" name="7">
          <a:extLst>
            <a:ext uri="{FF2B5EF4-FFF2-40B4-BE49-F238E27FC236}">
              <a16:creationId xmlns:a16="http://schemas.microsoft.com/office/drawing/2014/main" id="{455820CE-85C3-4ED1-893F-B12F2990E62F}"/>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5964" name="6">
          <a:extLst>
            <a:ext uri="{FF2B5EF4-FFF2-40B4-BE49-F238E27FC236}">
              <a16:creationId xmlns:a16="http://schemas.microsoft.com/office/drawing/2014/main" id="{78ACA140-817F-4AEC-BB31-052568FFF2A3}"/>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5965" name="직선 화살표 연결선 25964">
          <a:extLst>
            <a:ext uri="{FF2B5EF4-FFF2-40B4-BE49-F238E27FC236}">
              <a16:creationId xmlns:a16="http://schemas.microsoft.com/office/drawing/2014/main" id="{9871E9B9-BC2A-4F24-ACB0-E45703BFCEAA}"/>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5966" name="5">
          <a:extLst>
            <a:ext uri="{FF2B5EF4-FFF2-40B4-BE49-F238E27FC236}">
              <a16:creationId xmlns:a16="http://schemas.microsoft.com/office/drawing/2014/main" id="{8B7DD704-89A4-44F1-B5A7-6B6D4679A948}"/>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5967" name="직선 화살표 연결선 25966">
          <a:extLst>
            <a:ext uri="{FF2B5EF4-FFF2-40B4-BE49-F238E27FC236}">
              <a16:creationId xmlns:a16="http://schemas.microsoft.com/office/drawing/2014/main" id="{CA355C0C-EBB0-42B9-A5D2-ECFD1E88658C}"/>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5968" name="4">
          <a:extLst>
            <a:ext uri="{FF2B5EF4-FFF2-40B4-BE49-F238E27FC236}">
              <a16:creationId xmlns:a16="http://schemas.microsoft.com/office/drawing/2014/main" id="{2226928D-1E18-4804-8B1D-B54CE3067245}"/>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5969" name="직선 화살표 연결선 25968">
          <a:extLst>
            <a:ext uri="{FF2B5EF4-FFF2-40B4-BE49-F238E27FC236}">
              <a16:creationId xmlns:a16="http://schemas.microsoft.com/office/drawing/2014/main" id="{1331AE19-73BB-402D-AE61-58109C79E92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5970" name="3">
          <a:extLst>
            <a:ext uri="{FF2B5EF4-FFF2-40B4-BE49-F238E27FC236}">
              <a16:creationId xmlns:a16="http://schemas.microsoft.com/office/drawing/2014/main" id="{E9A3BCD6-D020-49C5-B826-96239EA6FC49}"/>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5971" name="직선 화살표 연결선 25970">
          <a:extLst>
            <a:ext uri="{FF2B5EF4-FFF2-40B4-BE49-F238E27FC236}">
              <a16:creationId xmlns:a16="http://schemas.microsoft.com/office/drawing/2014/main" id="{2E82ADD6-AF13-4768-B126-B0D738DD5558}"/>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5972" name="2">
          <a:extLst>
            <a:ext uri="{FF2B5EF4-FFF2-40B4-BE49-F238E27FC236}">
              <a16:creationId xmlns:a16="http://schemas.microsoft.com/office/drawing/2014/main" id="{84175822-B8D0-49EE-83C1-87A7922E089F}"/>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5973" name="직선 화살표 연결선 25972">
          <a:extLst>
            <a:ext uri="{FF2B5EF4-FFF2-40B4-BE49-F238E27FC236}">
              <a16:creationId xmlns:a16="http://schemas.microsoft.com/office/drawing/2014/main" id="{DDA000DA-8E99-41A1-B30D-D1DD8C9DA433}"/>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5974" name="1">
          <a:extLst>
            <a:ext uri="{FF2B5EF4-FFF2-40B4-BE49-F238E27FC236}">
              <a16:creationId xmlns:a16="http://schemas.microsoft.com/office/drawing/2014/main" id="{7BD58EC9-B1D0-4E25-AD0B-EA463F4344BD}"/>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5975" name="직선 화살표 연결선 25974">
          <a:extLst>
            <a:ext uri="{FF2B5EF4-FFF2-40B4-BE49-F238E27FC236}">
              <a16:creationId xmlns:a16="http://schemas.microsoft.com/office/drawing/2014/main" id="{CD529527-6EF3-498D-8BDB-7AB6D3BE7914}"/>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3529" name="44">
          <a:extLst>
            <a:ext uri="{FF2B5EF4-FFF2-40B4-BE49-F238E27FC236}">
              <a16:creationId xmlns:a16="http://schemas.microsoft.com/office/drawing/2014/main" id="{57F87CDA-9291-459D-B4EC-0A2D4147AD4F}"/>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3530" name="직선 화살표 연결선 23529">
          <a:extLst>
            <a:ext uri="{FF2B5EF4-FFF2-40B4-BE49-F238E27FC236}">
              <a16:creationId xmlns:a16="http://schemas.microsoft.com/office/drawing/2014/main" id="{C6BA4622-C0C9-4BCA-92C1-2FF5B5E04700}"/>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3531" name="43">
          <a:extLst>
            <a:ext uri="{FF2B5EF4-FFF2-40B4-BE49-F238E27FC236}">
              <a16:creationId xmlns:a16="http://schemas.microsoft.com/office/drawing/2014/main" id="{9FF84043-CF8D-4D86-9A28-D872699C4432}"/>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3532" name="직선 화살표 연결선 23531">
          <a:extLst>
            <a:ext uri="{FF2B5EF4-FFF2-40B4-BE49-F238E27FC236}">
              <a16:creationId xmlns:a16="http://schemas.microsoft.com/office/drawing/2014/main" id="{37FF0065-FC52-4F2E-A35E-1086D9456BDC}"/>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3533" name="42">
          <a:extLst>
            <a:ext uri="{FF2B5EF4-FFF2-40B4-BE49-F238E27FC236}">
              <a16:creationId xmlns:a16="http://schemas.microsoft.com/office/drawing/2014/main" id="{AECC04BE-F3DF-41E7-A904-ADF5943CB791}"/>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3534" name="직선 화살표 연결선 23533">
          <a:extLst>
            <a:ext uri="{FF2B5EF4-FFF2-40B4-BE49-F238E27FC236}">
              <a16:creationId xmlns:a16="http://schemas.microsoft.com/office/drawing/2014/main" id="{6F8A974F-0CEA-4441-BEA0-7AAFE433242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3543" name="41">
          <a:extLst>
            <a:ext uri="{FF2B5EF4-FFF2-40B4-BE49-F238E27FC236}">
              <a16:creationId xmlns:a16="http://schemas.microsoft.com/office/drawing/2014/main" id="{6E041CDD-1E41-4501-BFDA-6388BA6FC02C}"/>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3544" name="직선 화살표 연결선 23543">
          <a:extLst>
            <a:ext uri="{FF2B5EF4-FFF2-40B4-BE49-F238E27FC236}">
              <a16:creationId xmlns:a16="http://schemas.microsoft.com/office/drawing/2014/main" id="{EC3B11EF-DEC8-46CA-9B73-8A055799EB61}"/>
            </a:ext>
          </a:extLst>
        </xdr:cNvPr>
        <xdr:cNvCxnSpPr/>
      </xdr:nvCxnSpPr>
      <xdr:spPr>
        <a:xfrm>
          <a:off x="12959443" y="6987540"/>
          <a:ext cx="446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3586" name="10">
          <a:extLst>
            <a:ext uri="{FF2B5EF4-FFF2-40B4-BE49-F238E27FC236}">
              <a16:creationId xmlns:a16="http://schemas.microsoft.com/office/drawing/2014/main" id="{99982957-0DC8-4226-AE40-BA70F646EBC8}"/>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3587" name="직선 화살표 연결선 23586">
          <a:extLst>
            <a:ext uri="{FF2B5EF4-FFF2-40B4-BE49-F238E27FC236}">
              <a16:creationId xmlns:a16="http://schemas.microsoft.com/office/drawing/2014/main" id="{2CFCC5E2-8D80-492C-B6B4-A4F948434959}"/>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3588" name="9">
          <a:extLst>
            <a:ext uri="{FF2B5EF4-FFF2-40B4-BE49-F238E27FC236}">
              <a16:creationId xmlns:a16="http://schemas.microsoft.com/office/drawing/2014/main" id="{81EA1732-AFE6-4A2C-92AE-BBD91B907933}"/>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3589" name="직선 화살표 연결선 23588">
          <a:extLst>
            <a:ext uri="{FF2B5EF4-FFF2-40B4-BE49-F238E27FC236}">
              <a16:creationId xmlns:a16="http://schemas.microsoft.com/office/drawing/2014/main" id="{0AB5E7BE-2C68-453E-8D23-3C9B93DFD4B1}"/>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3590" name="8">
          <a:extLst>
            <a:ext uri="{FF2B5EF4-FFF2-40B4-BE49-F238E27FC236}">
              <a16:creationId xmlns:a16="http://schemas.microsoft.com/office/drawing/2014/main" id="{9C118A36-A76B-4A49-B592-455FC08827AE}"/>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3591" name="직선 화살표 연결선 23590">
          <a:extLst>
            <a:ext uri="{FF2B5EF4-FFF2-40B4-BE49-F238E27FC236}">
              <a16:creationId xmlns:a16="http://schemas.microsoft.com/office/drawing/2014/main" id="{826DF487-7D7A-47CB-AC33-F8DC89F65DCF}"/>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3592" name="7">
          <a:extLst>
            <a:ext uri="{FF2B5EF4-FFF2-40B4-BE49-F238E27FC236}">
              <a16:creationId xmlns:a16="http://schemas.microsoft.com/office/drawing/2014/main" id="{CF501E25-11FD-4109-886B-B568875F2B38}"/>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3593" name="6">
          <a:extLst>
            <a:ext uri="{FF2B5EF4-FFF2-40B4-BE49-F238E27FC236}">
              <a16:creationId xmlns:a16="http://schemas.microsoft.com/office/drawing/2014/main" id="{8E0ABA2C-8E88-40F6-9AF7-3C5ECA1E4EFA}"/>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3594" name="직선 화살표 연결선 23593">
          <a:extLst>
            <a:ext uri="{FF2B5EF4-FFF2-40B4-BE49-F238E27FC236}">
              <a16:creationId xmlns:a16="http://schemas.microsoft.com/office/drawing/2014/main" id="{5ABB4397-5240-4B8F-8F18-99152A38D84D}"/>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3595" name="5">
          <a:extLst>
            <a:ext uri="{FF2B5EF4-FFF2-40B4-BE49-F238E27FC236}">
              <a16:creationId xmlns:a16="http://schemas.microsoft.com/office/drawing/2014/main" id="{B4D4139F-D4F0-4ABD-A2F2-058E4FC9D1D1}"/>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3596" name="직선 화살표 연결선 23595">
          <a:extLst>
            <a:ext uri="{FF2B5EF4-FFF2-40B4-BE49-F238E27FC236}">
              <a16:creationId xmlns:a16="http://schemas.microsoft.com/office/drawing/2014/main" id="{4D37D100-FE32-44BF-B48C-FB9E1EF53CF5}"/>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3597" name="4">
          <a:extLst>
            <a:ext uri="{FF2B5EF4-FFF2-40B4-BE49-F238E27FC236}">
              <a16:creationId xmlns:a16="http://schemas.microsoft.com/office/drawing/2014/main" id="{75D78EAC-B0E7-45AF-A2D0-161DAE525F70}"/>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3598" name="직선 화살표 연결선 23597">
          <a:extLst>
            <a:ext uri="{FF2B5EF4-FFF2-40B4-BE49-F238E27FC236}">
              <a16:creationId xmlns:a16="http://schemas.microsoft.com/office/drawing/2014/main" id="{D20A7F87-AD82-461F-A13C-931288FD22BD}"/>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3599" name="3">
          <a:extLst>
            <a:ext uri="{FF2B5EF4-FFF2-40B4-BE49-F238E27FC236}">
              <a16:creationId xmlns:a16="http://schemas.microsoft.com/office/drawing/2014/main" id="{71AFDE4E-E59C-4992-AFFE-12017B73142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3600" name="직선 화살표 연결선 23599">
          <a:extLst>
            <a:ext uri="{FF2B5EF4-FFF2-40B4-BE49-F238E27FC236}">
              <a16:creationId xmlns:a16="http://schemas.microsoft.com/office/drawing/2014/main" id="{8B81F3C5-4215-495E-A3B4-0ADDD5DB4D04}"/>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3601" name="2">
          <a:extLst>
            <a:ext uri="{FF2B5EF4-FFF2-40B4-BE49-F238E27FC236}">
              <a16:creationId xmlns:a16="http://schemas.microsoft.com/office/drawing/2014/main" id="{CC0971D2-2FF2-42C9-BFF8-26A220D081B7}"/>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3602" name="직선 화살표 연결선 23601">
          <a:extLst>
            <a:ext uri="{FF2B5EF4-FFF2-40B4-BE49-F238E27FC236}">
              <a16:creationId xmlns:a16="http://schemas.microsoft.com/office/drawing/2014/main" id="{E5C1AC36-344E-446B-B7D1-55BD8CFA89B2}"/>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3603" name="1">
          <a:extLst>
            <a:ext uri="{FF2B5EF4-FFF2-40B4-BE49-F238E27FC236}">
              <a16:creationId xmlns:a16="http://schemas.microsoft.com/office/drawing/2014/main" id="{AA6B9158-F4EE-40AB-B04F-AA9C75F5B50B}"/>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3604" name="직선 화살표 연결선 23603">
          <a:extLst>
            <a:ext uri="{FF2B5EF4-FFF2-40B4-BE49-F238E27FC236}">
              <a16:creationId xmlns:a16="http://schemas.microsoft.com/office/drawing/2014/main" id="{52EA38C8-F236-4910-B09F-662A6913EF36}"/>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6700" name="44">
          <a:extLst>
            <a:ext uri="{FF2B5EF4-FFF2-40B4-BE49-F238E27FC236}">
              <a16:creationId xmlns:a16="http://schemas.microsoft.com/office/drawing/2014/main" id="{A602D6D4-0045-46DD-A68D-893B9F96A225}"/>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6701" name="직선 화살표 연결선 26700">
          <a:extLst>
            <a:ext uri="{FF2B5EF4-FFF2-40B4-BE49-F238E27FC236}">
              <a16:creationId xmlns:a16="http://schemas.microsoft.com/office/drawing/2014/main" id="{F854C32F-6CE3-401A-9AA1-7243CA68527D}"/>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6702" name="43">
          <a:extLst>
            <a:ext uri="{FF2B5EF4-FFF2-40B4-BE49-F238E27FC236}">
              <a16:creationId xmlns:a16="http://schemas.microsoft.com/office/drawing/2014/main" id="{F78600BE-F3CD-41F5-AAF9-922FE4CB7F63}"/>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6703" name="직선 화살표 연결선 26702">
          <a:extLst>
            <a:ext uri="{FF2B5EF4-FFF2-40B4-BE49-F238E27FC236}">
              <a16:creationId xmlns:a16="http://schemas.microsoft.com/office/drawing/2014/main" id="{AE6448B7-EDDE-4A92-BF54-5D1CC8BDD556}"/>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6704" name="42">
          <a:extLst>
            <a:ext uri="{FF2B5EF4-FFF2-40B4-BE49-F238E27FC236}">
              <a16:creationId xmlns:a16="http://schemas.microsoft.com/office/drawing/2014/main" id="{7D2860FE-7513-41E4-ACCF-67DC9EE2056A}"/>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6705" name="직선 화살표 연결선 26704">
          <a:extLst>
            <a:ext uri="{FF2B5EF4-FFF2-40B4-BE49-F238E27FC236}">
              <a16:creationId xmlns:a16="http://schemas.microsoft.com/office/drawing/2014/main" id="{654F48DE-3314-4243-B245-69AF23F3F563}"/>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6706" name="41">
          <a:extLst>
            <a:ext uri="{FF2B5EF4-FFF2-40B4-BE49-F238E27FC236}">
              <a16:creationId xmlns:a16="http://schemas.microsoft.com/office/drawing/2014/main" id="{27AA7C8C-12BA-462F-9E0C-DE2FB5420DA4}"/>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6707" name="직선 화살표 연결선 26706">
          <a:extLst>
            <a:ext uri="{FF2B5EF4-FFF2-40B4-BE49-F238E27FC236}">
              <a16:creationId xmlns:a16="http://schemas.microsoft.com/office/drawing/2014/main" id="{B7C3F9DE-1498-4BCE-A438-D0FB57C3ABDA}"/>
            </a:ext>
          </a:extLst>
        </xdr:cNvPr>
        <xdr:cNvCxnSpPr/>
      </xdr:nvCxnSpPr>
      <xdr:spPr>
        <a:xfrm>
          <a:off x="12959443" y="6987540"/>
          <a:ext cx="4988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6775" name="10">
          <a:extLst>
            <a:ext uri="{FF2B5EF4-FFF2-40B4-BE49-F238E27FC236}">
              <a16:creationId xmlns:a16="http://schemas.microsoft.com/office/drawing/2014/main" id="{50CEC487-B18C-49BE-A158-691B9E6AE2AF}"/>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6776" name="직선 화살표 연결선 26775">
          <a:extLst>
            <a:ext uri="{FF2B5EF4-FFF2-40B4-BE49-F238E27FC236}">
              <a16:creationId xmlns:a16="http://schemas.microsoft.com/office/drawing/2014/main" id="{15EEE4E1-7EA0-4C25-A259-70EDBFE46FEE}"/>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6777" name="9">
          <a:extLst>
            <a:ext uri="{FF2B5EF4-FFF2-40B4-BE49-F238E27FC236}">
              <a16:creationId xmlns:a16="http://schemas.microsoft.com/office/drawing/2014/main" id="{A23CA92E-C908-41C7-BBC8-8B76FE38E455}"/>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6778" name="직선 화살표 연결선 26777">
          <a:extLst>
            <a:ext uri="{FF2B5EF4-FFF2-40B4-BE49-F238E27FC236}">
              <a16:creationId xmlns:a16="http://schemas.microsoft.com/office/drawing/2014/main" id="{E02E7A80-AEE6-497F-84E8-B5D1910BA2AA}"/>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6779" name="8">
          <a:extLst>
            <a:ext uri="{FF2B5EF4-FFF2-40B4-BE49-F238E27FC236}">
              <a16:creationId xmlns:a16="http://schemas.microsoft.com/office/drawing/2014/main" id="{F5999992-C190-43E7-99FB-1030AFFA9398}"/>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6780" name="직선 화살표 연결선 26779">
          <a:extLst>
            <a:ext uri="{FF2B5EF4-FFF2-40B4-BE49-F238E27FC236}">
              <a16:creationId xmlns:a16="http://schemas.microsoft.com/office/drawing/2014/main" id="{331E1F90-03C7-427D-9902-D9DD5A4533FB}"/>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6781" name="7">
          <a:extLst>
            <a:ext uri="{FF2B5EF4-FFF2-40B4-BE49-F238E27FC236}">
              <a16:creationId xmlns:a16="http://schemas.microsoft.com/office/drawing/2014/main" id="{19AC2661-E31E-4527-BEDC-1D6F063AE074}"/>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6782" name="6">
          <a:extLst>
            <a:ext uri="{FF2B5EF4-FFF2-40B4-BE49-F238E27FC236}">
              <a16:creationId xmlns:a16="http://schemas.microsoft.com/office/drawing/2014/main" id="{A7FB5C67-D4C1-4FF1-A926-CC3C918DD68C}"/>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6783" name="직선 화살표 연결선 26782">
          <a:extLst>
            <a:ext uri="{FF2B5EF4-FFF2-40B4-BE49-F238E27FC236}">
              <a16:creationId xmlns:a16="http://schemas.microsoft.com/office/drawing/2014/main" id="{FD1978F1-3721-48C1-B1E9-C60FF8BDE015}"/>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6784" name="5">
          <a:extLst>
            <a:ext uri="{FF2B5EF4-FFF2-40B4-BE49-F238E27FC236}">
              <a16:creationId xmlns:a16="http://schemas.microsoft.com/office/drawing/2014/main" id="{01C3FF70-32B8-4FA2-9803-3008A40E7E12}"/>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6785" name="직선 화살표 연결선 26784">
          <a:extLst>
            <a:ext uri="{FF2B5EF4-FFF2-40B4-BE49-F238E27FC236}">
              <a16:creationId xmlns:a16="http://schemas.microsoft.com/office/drawing/2014/main" id="{475A2E19-58D0-4257-840A-0BE016F0E276}"/>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6805" name="4">
          <a:extLst>
            <a:ext uri="{FF2B5EF4-FFF2-40B4-BE49-F238E27FC236}">
              <a16:creationId xmlns:a16="http://schemas.microsoft.com/office/drawing/2014/main" id="{A8AD3A6B-9BA4-46B3-9BFE-2FAAB68CC09C}"/>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6806" name="직선 화살표 연결선 26805">
          <a:extLst>
            <a:ext uri="{FF2B5EF4-FFF2-40B4-BE49-F238E27FC236}">
              <a16:creationId xmlns:a16="http://schemas.microsoft.com/office/drawing/2014/main" id="{4E390FDB-31DF-4F5B-9744-F0A99CDCB1DF}"/>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6807" name="3">
          <a:extLst>
            <a:ext uri="{FF2B5EF4-FFF2-40B4-BE49-F238E27FC236}">
              <a16:creationId xmlns:a16="http://schemas.microsoft.com/office/drawing/2014/main" id="{5148CD58-EF67-4865-A697-6E5F8B63D5F5}"/>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6808" name="직선 화살표 연결선 26807">
          <a:extLst>
            <a:ext uri="{FF2B5EF4-FFF2-40B4-BE49-F238E27FC236}">
              <a16:creationId xmlns:a16="http://schemas.microsoft.com/office/drawing/2014/main" id="{49BC7A49-62A7-4EC7-9578-F2C7EB4E8E46}"/>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6809" name="2">
          <a:extLst>
            <a:ext uri="{FF2B5EF4-FFF2-40B4-BE49-F238E27FC236}">
              <a16:creationId xmlns:a16="http://schemas.microsoft.com/office/drawing/2014/main" id="{86F0943F-9983-479F-B2E9-CDB50441B09A}"/>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6810" name="직선 화살표 연결선 26809">
          <a:extLst>
            <a:ext uri="{FF2B5EF4-FFF2-40B4-BE49-F238E27FC236}">
              <a16:creationId xmlns:a16="http://schemas.microsoft.com/office/drawing/2014/main" id="{DAB91CCA-80D8-495C-B752-477547A3F091}"/>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6811" name="1">
          <a:extLst>
            <a:ext uri="{FF2B5EF4-FFF2-40B4-BE49-F238E27FC236}">
              <a16:creationId xmlns:a16="http://schemas.microsoft.com/office/drawing/2014/main" id="{2DA108E7-4F7F-427F-B4B2-3B452AD497C9}"/>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6812" name="직선 화살표 연결선 26811">
          <a:extLst>
            <a:ext uri="{FF2B5EF4-FFF2-40B4-BE49-F238E27FC236}">
              <a16:creationId xmlns:a16="http://schemas.microsoft.com/office/drawing/2014/main" id="{92547B1F-8AE9-4E61-84AD-5890EDE71399}"/>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7134" name="44">
          <a:extLst>
            <a:ext uri="{FF2B5EF4-FFF2-40B4-BE49-F238E27FC236}">
              <a16:creationId xmlns:a16="http://schemas.microsoft.com/office/drawing/2014/main" id="{09DCFF13-59BC-4401-855B-2DAB6BF2345D}"/>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7135" name="직선 화살표 연결선 27134">
          <a:extLst>
            <a:ext uri="{FF2B5EF4-FFF2-40B4-BE49-F238E27FC236}">
              <a16:creationId xmlns:a16="http://schemas.microsoft.com/office/drawing/2014/main" id="{F1005768-C5DC-453E-9D2F-A3CB61DFE761}"/>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4384" name="43">
          <a:extLst>
            <a:ext uri="{FF2B5EF4-FFF2-40B4-BE49-F238E27FC236}">
              <a16:creationId xmlns:a16="http://schemas.microsoft.com/office/drawing/2014/main" id="{BCD741E5-319D-40EB-9B42-712DFF773F0B}"/>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4385" name="직선 화살표 연결선 24384">
          <a:extLst>
            <a:ext uri="{FF2B5EF4-FFF2-40B4-BE49-F238E27FC236}">
              <a16:creationId xmlns:a16="http://schemas.microsoft.com/office/drawing/2014/main" id="{AA4B29B6-B36E-41FC-B615-BE796B995DE6}"/>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4405" name="42">
          <a:extLst>
            <a:ext uri="{FF2B5EF4-FFF2-40B4-BE49-F238E27FC236}">
              <a16:creationId xmlns:a16="http://schemas.microsoft.com/office/drawing/2014/main" id="{46BA0EED-3023-4DD9-B6A3-3BA32CDDB614}"/>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4406" name="직선 화살표 연결선 24405">
          <a:extLst>
            <a:ext uri="{FF2B5EF4-FFF2-40B4-BE49-F238E27FC236}">
              <a16:creationId xmlns:a16="http://schemas.microsoft.com/office/drawing/2014/main" id="{5811A49F-0692-4498-ABF3-6F49C01006A8}"/>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4407" name="41">
          <a:extLst>
            <a:ext uri="{FF2B5EF4-FFF2-40B4-BE49-F238E27FC236}">
              <a16:creationId xmlns:a16="http://schemas.microsoft.com/office/drawing/2014/main" id="{9A356CD0-332C-4605-AF30-6B2BC4EC1103}"/>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4408" name="직선 화살표 연결선 24407">
          <a:extLst>
            <a:ext uri="{FF2B5EF4-FFF2-40B4-BE49-F238E27FC236}">
              <a16:creationId xmlns:a16="http://schemas.microsoft.com/office/drawing/2014/main" id="{13839438-B0CB-444A-80C9-B2FF70512A0B}"/>
            </a:ext>
          </a:extLst>
        </xdr:cNvPr>
        <xdr:cNvCxnSpPr/>
      </xdr:nvCxnSpPr>
      <xdr:spPr>
        <a:xfrm>
          <a:off x="12959443" y="6987540"/>
          <a:ext cx="5137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7156" name="10">
          <a:extLst>
            <a:ext uri="{FF2B5EF4-FFF2-40B4-BE49-F238E27FC236}">
              <a16:creationId xmlns:a16="http://schemas.microsoft.com/office/drawing/2014/main" id="{78AE2E40-9B6A-42A5-8A13-97211E83AB21}"/>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7157" name="직선 화살표 연결선 27156">
          <a:extLst>
            <a:ext uri="{FF2B5EF4-FFF2-40B4-BE49-F238E27FC236}">
              <a16:creationId xmlns:a16="http://schemas.microsoft.com/office/drawing/2014/main" id="{6C067909-DECD-497E-8253-B11D742978FA}"/>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7158" name="9">
          <a:extLst>
            <a:ext uri="{FF2B5EF4-FFF2-40B4-BE49-F238E27FC236}">
              <a16:creationId xmlns:a16="http://schemas.microsoft.com/office/drawing/2014/main" id="{59FDC872-75A8-4729-9B66-A193788CB77C}"/>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7159" name="직선 화살표 연결선 27158">
          <a:extLst>
            <a:ext uri="{FF2B5EF4-FFF2-40B4-BE49-F238E27FC236}">
              <a16:creationId xmlns:a16="http://schemas.microsoft.com/office/drawing/2014/main" id="{7CE3EB09-1AC8-47DE-AF16-BFDD5264516C}"/>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7160" name="8">
          <a:extLst>
            <a:ext uri="{FF2B5EF4-FFF2-40B4-BE49-F238E27FC236}">
              <a16:creationId xmlns:a16="http://schemas.microsoft.com/office/drawing/2014/main" id="{0797767B-DE21-4AB5-BEFC-D6E96BBBF322}"/>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7161" name="직선 화살표 연결선 27160">
          <a:extLst>
            <a:ext uri="{FF2B5EF4-FFF2-40B4-BE49-F238E27FC236}">
              <a16:creationId xmlns:a16="http://schemas.microsoft.com/office/drawing/2014/main" id="{247CB5F4-511E-40A9-8C68-62FCFB50815F}"/>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7162" name="7">
          <a:extLst>
            <a:ext uri="{FF2B5EF4-FFF2-40B4-BE49-F238E27FC236}">
              <a16:creationId xmlns:a16="http://schemas.microsoft.com/office/drawing/2014/main" id="{ED01AA6E-6F98-4FF7-8424-B9558EEDA2BB}"/>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7163" name="6">
          <a:extLst>
            <a:ext uri="{FF2B5EF4-FFF2-40B4-BE49-F238E27FC236}">
              <a16:creationId xmlns:a16="http://schemas.microsoft.com/office/drawing/2014/main" id="{84615667-D294-4DD6-9515-A439AFAC82AD}"/>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7164" name="직선 화살표 연결선 27163">
          <a:extLst>
            <a:ext uri="{FF2B5EF4-FFF2-40B4-BE49-F238E27FC236}">
              <a16:creationId xmlns:a16="http://schemas.microsoft.com/office/drawing/2014/main" id="{60A088B6-2E31-4CE6-8E3B-6E77B587A7A8}"/>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7165" name="5">
          <a:extLst>
            <a:ext uri="{FF2B5EF4-FFF2-40B4-BE49-F238E27FC236}">
              <a16:creationId xmlns:a16="http://schemas.microsoft.com/office/drawing/2014/main" id="{E20DCDCF-F10E-44F5-87ED-DFBD052E4C3B}"/>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7166" name="직선 화살표 연결선 27165">
          <a:extLst>
            <a:ext uri="{FF2B5EF4-FFF2-40B4-BE49-F238E27FC236}">
              <a16:creationId xmlns:a16="http://schemas.microsoft.com/office/drawing/2014/main" id="{2CD7917E-3D66-4025-9BF1-DBF0D3EBCB90}"/>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7167" name="4">
          <a:extLst>
            <a:ext uri="{FF2B5EF4-FFF2-40B4-BE49-F238E27FC236}">
              <a16:creationId xmlns:a16="http://schemas.microsoft.com/office/drawing/2014/main" id="{841ECBC7-4A50-4404-8D34-B4CBF2CF844B}"/>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7168" name="직선 화살표 연결선 27167">
          <a:extLst>
            <a:ext uri="{FF2B5EF4-FFF2-40B4-BE49-F238E27FC236}">
              <a16:creationId xmlns:a16="http://schemas.microsoft.com/office/drawing/2014/main" id="{5B4EACE4-9E89-415B-BAEF-1670D87818E3}"/>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7169" name="3">
          <a:extLst>
            <a:ext uri="{FF2B5EF4-FFF2-40B4-BE49-F238E27FC236}">
              <a16:creationId xmlns:a16="http://schemas.microsoft.com/office/drawing/2014/main" id="{671E2C6A-88FA-4F4E-9C49-421211B4E00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7170" name="직선 화살표 연결선 27169">
          <a:extLst>
            <a:ext uri="{FF2B5EF4-FFF2-40B4-BE49-F238E27FC236}">
              <a16:creationId xmlns:a16="http://schemas.microsoft.com/office/drawing/2014/main" id="{8C320324-FE98-4013-B9A5-2087D2AF8A35}"/>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7171" name="2">
          <a:extLst>
            <a:ext uri="{FF2B5EF4-FFF2-40B4-BE49-F238E27FC236}">
              <a16:creationId xmlns:a16="http://schemas.microsoft.com/office/drawing/2014/main" id="{65DA5EB5-E334-4D01-B582-F7A83FD0408D}"/>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7172" name="직선 화살표 연결선 27171">
          <a:extLst>
            <a:ext uri="{FF2B5EF4-FFF2-40B4-BE49-F238E27FC236}">
              <a16:creationId xmlns:a16="http://schemas.microsoft.com/office/drawing/2014/main" id="{3CFD60FA-A228-4DC3-91D1-4E39A5E70E46}"/>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7173" name="1">
          <a:extLst>
            <a:ext uri="{FF2B5EF4-FFF2-40B4-BE49-F238E27FC236}">
              <a16:creationId xmlns:a16="http://schemas.microsoft.com/office/drawing/2014/main" id="{73FF73CA-6876-4C43-B118-50EB5119C72F}"/>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7174" name="직선 화살표 연결선 27173">
          <a:extLst>
            <a:ext uri="{FF2B5EF4-FFF2-40B4-BE49-F238E27FC236}">
              <a16:creationId xmlns:a16="http://schemas.microsoft.com/office/drawing/2014/main" id="{CD3DC42C-C175-4F67-8B50-6608EC3BD6E7}"/>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7798" name="44">
          <a:extLst>
            <a:ext uri="{FF2B5EF4-FFF2-40B4-BE49-F238E27FC236}">
              <a16:creationId xmlns:a16="http://schemas.microsoft.com/office/drawing/2014/main" id="{1480C100-31E1-4C08-8D6D-E827363F166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7799" name="직선 화살표 연결선 27798">
          <a:extLst>
            <a:ext uri="{FF2B5EF4-FFF2-40B4-BE49-F238E27FC236}">
              <a16:creationId xmlns:a16="http://schemas.microsoft.com/office/drawing/2014/main" id="{C922FCF7-7F12-4D47-BAF3-C4EE210F9C01}"/>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7800" name="43">
          <a:extLst>
            <a:ext uri="{FF2B5EF4-FFF2-40B4-BE49-F238E27FC236}">
              <a16:creationId xmlns:a16="http://schemas.microsoft.com/office/drawing/2014/main" id="{E6699486-78D2-42F0-A923-C603C97E0E37}"/>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7801" name="직선 화살표 연결선 27800">
          <a:extLst>
            <a:ext uri="{FF2B5EF4-FFF2-40B4-BE49-F238E27FC236}">
              <a16:creationId xmlns:a16="http://schemas.microsoft.com/office/drawing/2014/main" id="{76764018-576F-4D45-81F6-09C2E3035679}"/>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7802" name="42">
          <a:extLst>
            <a:ext uri="{FF2B5EF4-FFF2-40B4-BE49-F238E27FC236}">
              <a16:creationId xmlns:a16="http://schemas.microsoft.com/office/drawing/2014/main" id="{56ED5C8A-D029-446C-90B2-E4947BC56EC4}"/>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7803" name="직선 화살표 연결선 27802">
          <a:extLst>
            <a:ext uri="{FF2B5EF4-FFF2-40B4-BE49-F238E27FC236}">
              <a16:creationId xmlns:a16="http://schemas.microsoft.com/office/drawing/2014/main" id="{4F840AC5-6356-4831-AC14-1984D1693512}"/>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7804" name="41">
          <a:extLst>
            <a:ext uri="{FF2B5EF4-FFF2-40B4-BE49-F238E27FC236}">
              <a16:creationId xmlns:a16="http://schemas.microsoft.com/office/drawing/2014/main" id="{4E6BCD1D-AD16-4630-B2D1-FC1E2414F50F}"/>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7805" name="직선 화살표 연결선 27804">
          <a:extLst>
            <a:ext uri="{FF2B5EF4-FFF2-40B4-BE49-F238E27FC236}">
              <a16:creationId xmlns:a16="http://schemas.microsoft.com/office/drawing/2014/main" id="{CE5476B0-43EE-4290-9264-0F0196EB8466}"/>
            </a:ext>
          </a:extLst>
        </xdr:cNvPr>
        <xdr:cNvCxnSpPr/>
      </xdr:nvCxnSpPr>
      <xdr:spPr>
        <a:xfrm>
          <a:off x="12959443" y="6987540"/>
          <a:ext cx="5137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7865" name="10">
          <a:extLst>
            <a:ext uri="{FF2B5EF4-FFF2-40B4-BE49-F238E27FC236}">
              <a16:creationId xmlns:a16="http://schemas.microsoft.com/office/drawing/2014/main" id="{3CD45828-96A2-4B78-9C1F-CB6B2067B5E8}"/>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7866" name="직선 화살표 연결선 27865">
          <a:extLst>
            <a:ext uri="{FF2B5EF4-FFF2-40B4-BE49-F238E27FC236}">
              <a16:creationId xmlns:a16="http://schemas.microsoft.com/office/drawing/2014/main" id="{FE4C4702-A13A-4DE8-89B5-1E7D1FADA6F7}"/>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7867" name="9">
          <a:extLst>
            <a:ext uri="{FF2B5EF4-FFF2-40B4-BE49-F238E27FC236}">
              <a16:creationId xmlns:a16="http://schemas.microsoft.com/office/drawing/2014/main" id="{A51E02E5-E3FA-400D-928C-29BD6F0396D5}"/>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7868" name="직선 화살표 연결선 27867">
          <a:extLst>
            <a:ext uri="{FF2B5EF4-FFF2-40B4-BE49-F238E27FC236}">
              <a16:creationId xmlns:a16="http://schemas.microsoft.com/office/drawing/2014/main" id="{28968019-D576-4C3E-A6DA-A962C35C12F1}"/>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7869" name="8">
          <a:extLst>
            <a:ext uri="{FF2B5EF4-FFF2-40B4-BE49-F238E27FC236}">
              <a16:creationId xmlns:a16="http://schemas.microsoft.com/office/drawing/2014/main" id="{64E6325E-C147-49F5-84E8-4059ACD010CC}"/>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7870" name="직선 화살표 연결선 27869">
          <a:extLst>
            <a:ext uri="{FF2B5EF4-FFF2-40B4-BE49-F238E27FC236}">
              <a16:creationId xmlns:a16="http://schemas.microsoft.com/office/drawing/2014/main" id="{CCA3E715-65DE-4A81-9F70-CC904D8CCE3C}"/>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7871" name="7">
          <a:extLst>
            <a:ext uri="{FF2B5EF4-FFF2-40B4-BE49-F238E27FC236}">
              <a16:creationId xmlns:a16="http://schemas.microsoft.com/office/drawing/2014/main" id="{0CDFE678-5006-4FBD-AFE4-0134D0F8A681}"/>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7872" name="6">
          <a:extLst>
            <a:ext uri="{FF2B5EF4-FFF2-40B4-BE49-F238E27FC236}">
              <a16:creationId xmlns:a16="http://schemas.microsoft.com/office/drawing/2014/main" id="{FE891227-AFE8-4134-8939-4370F1147000}"/>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7873" name="직선 화살표 연결선 27872">
          <a:extLst>
            <a:ext uri="{FF2B5EF4-FFF2-40B4-BE49-F238E27FC236}">
              <a16:creationId xmlns:a16="http://schemas.microsoft.com/office/drawing/2014/main" id="{4820E175-8A0C-44D0-84D0-4726A5DDEF72}"/>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7874" name="5">
          <a:extLst>
            <a:ext uri="{FF2B5EF4-FFF2-40B4-BE49-F238E27FC236}">
              <a16:creationId xmlns:a16="http://schemas.microsoft.com/office/drawing/2014/main" id="{544FF901-1194-404D-B98C-7BB498C3B5FD}"/>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7875" name="직선 화살표 연결선 27874">
          <a:extLst>
            <a:ext uri="{FF2B5EF4-FFF2-40B4-BE49-F238E27FC236}">
              <a16:creationId xmlns:a16="http://schemas.microsoft.com/office/drawing/2014/main" id="{D389BFFE-9E64-4986-981F-6CCCD3571426}"/>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7876" name="4">
          <a:extLst>
            <a:ext uri="{FF2B5EF4-FFF2-40B4-BE49-F238E27FC236}">
              <a16:creationId xmlns:a16="http://schemas.microsoft.com/office/drawing/2014/main" id="{E41F2484-A147-4B20-BABB-6272EE212C37}"/>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7877" name="직선 화살표 연결선 27876">
          <a:extLst>
            <a:ext uri="{FF2B5EF4-FFF2-40B4-BE49-F238E27FC236}">
              <a16:creationId xmlns:a16="http://schemas.microsoft.com/office/drawing/2014/main" id="{9117DE51-73A9-448B-8917-09805D6D81B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7878" name="3">
          <a:extLst>
            <a:ext uri="{FF2B5EF4-FFF2-40B4-BE49-F238E27FC236}">
              <a16:creationId xmlns:a16="http://schemas.microsoft.com/office/drawing/2014/main" id="{F1071CAD-66B3-47CA-9E05-4E0B781B95E5}"/>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7879" name="직선 화살표 연결선 27878">
          <a:extLst>
            <a:ext uri="{FF2B5EF4-FFF2-40B4-BE49-F238E27FC236}">
              <a16:creationId xmlns:a16="http://schemas.microsoft.com/office/drawing/2014/main" id="{14F4FC5F-2FAD-4BFF-8B5E-FC5104CD1611}"/>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7880" name="2">
          <a:extLst>
            <a:ext uri="{FF2B5EF4-FFF2-40B4-BE49-F238E27FC236}">
              <a16:creationId xmlns:a16="http://schemas.microsoft.com/office/drawing/2014/main" id="{1F50FA5F-6C3D-4BB9-BA48-BE0ADD085E32}"/>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7881" name="직선 화살표 연결선 27880">
          <a:extLst>
            <a:ext uri="{FF2B5EF4-FFF2-40B4-BE49-F238E27FC236}">
              <a16:creationId xmlns:a16="http://schemas.microsoft.com/office/drawing/2014/main" id="{DE15CAC2-40AA-47AD-977C-0545566D5A78}"/>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7882" name="1">
          <a:extLst>
            <a:ext uri="{FF2B5EF4-FFF2-40B4-BE49-F238E27FC236}">
              <a16:creationId xmlns:a16="http://schemas.microsoft.com/office/drawing/2014/main" id="{1681BAF5-9425-4C6E-9F0C-7FEFB4BF3EC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7883" name="직선 화살표 연결선 27882">
          <a:extLst>
            <a:ext uri="{FF2B5EF4-FFF2-40B4-BE49-F238E27FC236}">
              <a16:creationId xmlns:a16="http://schemas.microsoft.com/office/drawing/2014/main" id="{F1335E66-D72D-48E0-AEE6-32F64E5B8B17}"/>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8199" name="44">
          <a:extLst>
            <a:ext uri="{FF2B5EF4-FFF2-40B4-BE49-F238E27FC236}">
              <a16:creationId xmlns:a16="http://schemas.microsoft.com/office/drawing/2014/main" id="{25F65824-7E36-4131-8BFA-C63B0B7866EE}"/>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8200" name="직선 화살표 연결선 28199">
          <a:extLst>
            <a:ext uri="{FF2B5EF4-FFF2-40B4-BE49-F238E27FC236}">
              <a16:creationId xmlns:a16="http://schemas.microsoft.com/office/drawing/2014/main" id="{85400B09-AFA5-4380-BD59-3FFD680637F0}"/>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8201" name="43">
          <a:extLst>
            <a:ext uri="{FF2B5EF4-FFF2-40B4-BE49-F238E27FC236}">
              <a16:creationId xmlns:a16="http://schemas.microsoft.com/office/drawing/2014/main" id="{0797857C-D37B-465B-B8D3-12729A475F5E}"/>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8202" name="직선 화살표 연결선 28201">
          <a:extLst>
            <a:ext uri="{FF2B5EF4-FFF2-40B4-BE49-F238E27FC236}">
              <a16:creationId xmlns:a16="http://schemas.microsoft.com/office/drawing/2014/main" id="{3EDB446C-FCA3-49C2-B39B-6AA4F034339E}"/>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8203" name="42">
          <a:extLst>
            <a:ext uri="{FF2B5EF4-FFF2-40B4-BE49-F238E27FC236}">
              <a16:creationId xmlns:a16="http://schemas.microsoft.com/office/drawing/2014/main" id="{4B0F5606-CEC6-4E6B-9570-D9F7BB144006}"/>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8204" name="직선 화살표 연결선 28203">
          <a:extLst>
            <a:ext uri="{FF2B5EF4-FFF2-40B4-BE49-F238E27FC236}">
              <a16:creationId xmlns:a16="http://schemas.microsoft.com/office/drawing/2014/main" id="{1EFDF38A-B8AB-46CB-B584-AC7DB7983F6B}"/>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8205" name="41">
          <a:extLst>
            <a:ext uri="{FF2B5EF4-FFF2-40B4-BE49-F238E27FC236}">
              <a16:creationId xmlns:a16="http://schemas.microsoft.com/office/drawing/2014/main" id="{F348C6B7-4746-4098-BC6A-1E9AD0E8FCCF}"/>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8206" name="직선 화살표 연결선 28205">
          <a:extLst>
            <a:ext uri="{FF2B5EF4-FFF2-40B4-BE49-F238E27FC236}">
              <a16:creationId xmlns:a16="http://schemas.microsoft.com/office/drawing/2014/main" id="{E9D4BB61-757E-4F84-9155-6164C2DF5B77}"/>
            </a:ext>
          </a:extLst>
        </xdr:cNvPr>
        <xdr:cNvCxnSpPr/>
      </xdr:nvCxnSpPr>
      <xdr:spPr>
        <a:xfrm>
          <a:off x="12959443" y="6987540"/>
          <a:ext cx="516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8266" name="10">
          <a:extLst>
            <a:ext uri="{FF2B5EF4-FFF2-40B4-BE49-F238E27FC236}">
              <a16:creationId xmlns:a16="http://schemas.microsoft.com/office/drawing/2014/main" id="{F0787DF6-DC7B-4A4F-BF6F-98AF4719C3DF}"/>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8267" name="직선 화살표 연결선 28266">
          <a:extLst>
            <a:ext uri="{FF2B5EF4-FFF2-40B4-BE49-F238E27FC236}">
              <a16:creationId xmlns:a16="http://schemas.microsoft.com/office/drawing/2014/main" id="{05C8E03E-AB65-4A6A-8C58-527BDCE983B2}"/>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8268" name="9">
          <a:extLst>
            <a:ext uri="{FF2B5EF4-FFF2-40B4-BE49-F238E27FC236}">
              <a16:creationId xmlns:a16="http://schemas.microsoft.com/office/drawing/2014/main" id="{1BF1EBEB-D1DA-426A-9ED0-022683F8E8BC}"/>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8269" name="직선 화살표 연결선 28268">
          <a:extLst>
            <a:ext uri="{FF2B5EF4-FFF2-40B4-BE49-F238E27FC236}">
              <a16:creationId xmlns:a16="http://schemas.microsoft.com/office/drawing/2014/main" id="{A7247717-2377-43A5-A9D0-70EF38A480F2}"/>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8270" name="8">
          <a:extLst>
            <a:ext uri="{FF2B5EF4-FFF2-40B4-BE49-F238E27FC236}">
              <a16:creationId xmlns:a16="http://schemas.microsoft.com/office/drawing/2014/main" id="{17F502FC-17FE-4FF5-9A15-B1BA1550FC36}"/>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8271" name="직선 화살표 연결선 28270">
          <a:extLst>
            <a:ext uri="{FF2B5EF4-FFF2-40B4-BE49-F238E27FC236}">
              <a16:creationId xmlns:a16="http://schemas.microsoft.com/office/drawing/2014/main" id="{6401E035-F404-499C-89F3-232252038179}"/>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8272" name="7">
          <a:extLst>
            <a:ext uri="{FF2B5EF4-FFF2-40B4-BE49-F238E27FC236}">
              <a16:creationId xmlns:a16="http://schemas.microsoft.com/office/drawing/2014/main" id="{FDCCDFDE-5BC8-4EBE-AC4B-5D0A1F321D5D}"/>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8273" name="6">
          <a:extLst>
            <a:ext uri="{FF2B5EF4-FFF2-40B4-BE49-F238E27FC236}">
              <a16:creationId xmlns:a16="http://schemas.microsoft.com/office/drawing/2014/main" id="{7C798C18-B19D-48A2-AC10-371184DB8C98}"/>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8274" name="직선 화살표 연결선 28273">
          <a:extLst>
            <a:ext uri="{FF2B5EF4-FFF2-40B4-BE49-F238E27FC236}">
              <a16:creationId xmlns:a16="http://schemas.microsoft.com/office/drawing/2014/main" id="{458058EE-02D5-45C0-ACFF-E2A5CA3CEE96}"/>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8275" name="5">
          <a:extLst>
            <a:ext uri="{FF2B5EF4-FFF2-40B4-BE49-F238E27FC236}">
              <a16:creationId xmlns:a16="http://schemas.microsoft.com/office/drawing/2014/main" id="{4FDA223F-C8D1-4D39-9E6D-ECE38F233DD7}"/>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8276" name="직선 화살표 연결선 28275">
          <a:extLst>
            <a:ext uri="{FF2B5EF4-FFF2-40B4-BE49-F238E27FC236}">
              <a16:creationId xmlns:a16="http://schemas.microsoft.com/office/drawing/2014/main" id="{DBD4F947-F893-4BCF-8950-DDAE219F7123}"/>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8277" name="4">
          <a:extLst>
            <a:ext uri="{FF2B5EF4-FFF2-40B4-BE49-F238E27FC236}">
              <a16:creationId xmlns:a16="http://schemas.microsoft.com/office/drawing/2014/main" id="{735B5C68-AB84-4679-8627-333D72D560C7}"/>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8278" name="직선 화살표 연결선 28277">
          <a:extLst>
            <a:ext uri="{FF2B5EF4-FFF2-40B4-BE49-F238E27FC236}">
              <a16:creationId xmlns:a16="http://schemas.microsoft.com/office/drawing/2014/main" id="{E7437285-C0B4-46F7-A82D-80A9FDC8171A}"/>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8279" name="3">
          <a:extLst>
            <a:ext uri="{FF2B5EF4-FFF2-40B4-BE49-F238E27FC236}">
              <a16:creationId xmlns:a16="http://schemas.microsoft.com/office/drawing/2014/main" id="{FE7762AB-336E-4C4A-BA93-51530AC5AF96}"/>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8280" name="직선 화살표 연결선 28279">
          <a:extLst>
            <a:ext uri="{FF2B5EF4-FFF2-40B4-BE49-F238E27FC236}">
              <a16:creationId xmlns:a16="http://schemas.microsoft.com/office/drawing/2014/main" id="{853B619B-6C11-4CA6-92D9-B8C9058221BE}"/>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8281" name="2">
          <a:extLst>
            <a:ext uri="{FF2B5EF4-FFF2-40B4-BE49-F238E27FC236}">
              <a16:creationId xmlns:a16="http://schemas.microsoft.com/office/drawing/2014/main" id="{AF48540D-9137-4EB4-B2EC-3608346033DD}"/>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8282" name="직선 화살표 연결선 28281">
          <a:extLst>
            <a:ext uri="{FF2B5EF4-FFF2-40B4-BE49-F238E27FC236}">
              <a16:creationId xmlns:a16="http://schemas.microsoft.com/office/drawing/2014/main" id="{88446D70-E717-4282-A3E7-F8C26F703F8A}"/>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8283" name="1">
          <a:extLst>
            <a:ext uri="{FF2B5EF4-FFF2-40B4-BE49-F238E27FC236}">
              <a16:creationId xmlns:a16="http://schemas.microsoft.com/office/drawing/2014/main" id="{69C1E67D-A872-486B-A6FC-CFA55D2D1331}"/>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8284" name="직선 화살표 연결선 28283">
          <a:extLst>
            <a:ext uri="{FF2B5EF4-FFF2-40B4-BE49-F238E27FC236}">
              <a16:creationId xmlns:a16="http://schemas.microsoft.com/office/drawing/2014/main" id="{F476E082-8790-4C7C-A5DC-C83600B7B27E}"/>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8600" name="44">
          <a:extLst>
            <a:ext uri="{FF2B5EF4-FFF2-40B4-BE49-F238E27FC236}">
              <a16:creationId xmlns:a16="http://schemas.microsoft.com/office/drawing/2014/main" id="{9E627ABB-AADD-470E-B978-AB8971F4FAF6}"/>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8601" name="직선 화살표 연결선 28600">
          <a:extLst>
            <a:ext uri="{FF2B5EF4-FFF2-40B4-BE49-F238E27FC236}">
              <a16:creationId xmlns:a16="http://schemas.microsoft.com/office/drawing/2014/main" id="{C8759A8C-A37A-40A3-8984-81BAF8796CD7}"/>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8602" name="43">
          <a:extLst>
            <a:ext uri="{FF2B5EF4-FFF2-40B4-BE49-F238E27FC236}">
              <a16:creationId xmlns:a16="http://schemas.microsoft.com/office/drawing/2014/main" id="{ACCE3E13-24BE-45A1-A82F-CAB14B91CF4D}"/>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8603" name="직선 화살표 연결선 28602">
          <a:extLst>
            <a:ext uri="{FF2B5EF4-FFF2-40B4-BE49-F238E27FC236}">
              <a16:creationId xmlns:a16="http://schemas.microsoft.com/office/drawing/2014/main" id="{C26C4231-078C-4031-9DB4-D58D6F944BEC}"/>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8604" name="42">
          <a:extLst>
            <a:ext uri="{FF2B5EF4-FFF2-40B4-BE49-F238E27FC236}">
              <a16:creationId xmlns:a16="http://schemas.microsoft.com/office/drawing/2014/main" id="{54D25BD0-A1BF-45DC-99F8-F267CDACF8C3}"/>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8605" name="직선 화살표 연결선 28604">
          <a:extLst>
            <a:ext uri="{FF2B5EF4-FFF2-40B4-BE49-F238E27FC236}">
              <a16:creationId xmlns:a16="http://schemas.microsoft.com/office/drawing/2014/main" id="{276F268B-D6B0-48A7-863B-6CABED62BD7B}"/>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8606" name="41">
          <a:extLst>
            <a:ext uri="{FF2B5EF4-FFF2-40B4-BE49-F238E27FC236}">
              <a16:creationId xmlns:a16="http://schemas.microsoft.com/office/drawing/2014/main" id="{ED830E4E-527C-4577-B40F-12ADD1980BA4}"/>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8607" name="직선 화살표 연결선 28606">
          <a:extLst>
            <a:ext uri="{FF2B5EF4-FFF2-40B4-BE49-F238E27FC236}">
              <a16:creationId xmlns:a16="http://schemas.microsoft.com/office/drawing/2014/main" id="{D1EC89BC-6B1D-4389-9911-85DD2F18F517}"/>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8667" name="10">
          <a:extLst>
            <a:ext uri="{FF2B5EF4-FFF2-40B4-BE49-F238E27FC236}">
              <a16:creationId xmlns:a16="http://schemas.microsoft.com/office/drawing/2014/main" id="{7D1D30D5-46B0-4CDC-95EC-13874DDD1A3F}"/>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8668" name="직선 화살표 연결선 28667">
          <a:extLst>
            <a:ext uri="{FF2B5EF4-FFF2-40B4-BE49-F238E27FC236}">
              <a16:creationId xmlns:a16="http://schemas.microsoft.com/office/drawing/2014/main" id="{4F19911D-C581-44F1-9A82-4935E333239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8669" name="9">
          <a:extLst>
            <a:ext uri="{FF2B5EF4-FFF2-40B4-BE49-F238E27FC236}">
              <a16:creationId xmlns:a16="http://schemas.microsoft.com/office/drawing/2014/main" id="{6418581D-510D-44FB-835C-5D4E3D29F1CB}"/>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8670" name="직선 화살표 연결선 28669">
          <a:extLst>
            <a:ext uri="{FF2B5EF4-FFF2-40B4-BE49-F238E27FC236}">
              <a16:creationId xmlns:a16="http://schemas.microsoft.com/office/drawing/2014/main" id="{AD1734D0-999A-4F2A-9FE1-13253A03C589}"/>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8671" name="8">
          <a:extLst>
            <a:ext uri="{FF2B5EF4-FFF2-40B4-BE49-F238E27FC236}">
              <a16:creationId xmlns:a16="http://schemas.microsoft.com/office/drawing/2014/main" id="{3892245A-A0BD-40AA-A446-4556B86DC3B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8672" name="직선 화살표 연결선 28671">
          <a:extLst>
            <a:ext uri="{FF2B5EF4-FFF2-40B4-BE49-F238E27FC236}">
              <a16:creationId xmlns:a16="http://schemas.microsoft.com/office/drawing/2014/main" id="{A715B54D-8D02-443E-97D0-98EB1275D842}"/>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8673" name="7">
          <a:extLst>
            <a:ext uri="{FF2B5EF4-FFF2-40B4-BE49-F238E27FC236}">
              <a16:creationId xmlns:a16="http://schemas.microsoft.com/office/drawing/2014/main" id="{D3A3ABB6-5EC8-4671-A0B2-324D4560A8F7}"/>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8674" name="6">
          <a:extLst>
            <a:ext uri="{FF2B5EF4-FFF2-40B4-BE49-F238E27FC236}">
              <a16:creationId xmlns:a16="http://schemas.microsoft.com/office/drawing/2014/main" id="{794F6986-E60E-4F01-8CF3-0E0CC37BB9B0}"/>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8675" name="직선 화살표 연결선 28674">
          <a:extLst>
            <a:ext uri="{FF2B5EF4-FFF2-40B4-BE49-F238E27FC236}">
              <a16:creationId xmlns:a16="http://schemas.microsoft.com/office/drawing/2014/main" id="{8CE20ECB-6AB0-4992-BED7-DD2E01F1821D}"/>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8676" name="5">
          <a:extLst>
            <a:ext uri="{FF2B5EF4-FFF2-40B4-BE49-F238E27FC236}">
              <a16:creationId xmlns:a16="http://schemas.microsoft.com/office/drawing/2014/main" id="{92394068-D25B-4791-98F7-CAFD342EB3AC}"/>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8677" name="직선 화살표 연결선 28676">
          <a:extLst>
            <a:ext uri="{FF2B5EF4-FFF2-40B4-BE49-F238E27FC236}">
              <a16:creationId xmlns:a16="http://schemas.microsoft.com/office/drawing/2014/main" id="{5CA27714-EF8C-4370-9519-90CC7AAFEA80}"/>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8678" name="4">
          <a:extLst>
            <a:ext uri="{FF2B5EF4-FFF2-40B4-BE49-F238E27FC236}">
              <a16:creationId xmlns:a16="http://schemas.microsoft.com/office/drawing/2014/main" id="{3F58E52C-72A1-4C18-88A5-3EDCCFCEBC5A}"/>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8679" name="직선 화살표 연결선 28678">
          <a:extLst>
            <a:ext uri="{FF2B5EF4-FFF2-40B4-BE49-F238E27FC236}">
              <a16:creationId xmlns:a16="http://schemas.microsoft.com/office/drawing/2014/main" id="{C5F23323-3821-4D25-B40F-6A0FDF091600}"/>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8680" name="3">
          <a:extLst>
            <a:ext uri="{FF2B5EF4-FFF2-40B4-BE49-F238E27FC236}">
              <a16:creationId xmlns:a16="http://schemas.microsoft.com/office/drawing/2014/main" id="{31FA5B2F-E3BF-47DA-AF2D-97FD7E3B4795}"/>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8681" name="직선 화살표 연결선 28680">
          <a:extLst>
            <a:ext uri="{FF2B5EF4-FFF2-40B4-BE49-F238E27FC236}">
              <a16:creationId xmlns:a16="http://schemas.microsoft.com/office/drawing/2014/main" id="{E0FE14DA-5890-4272-BA54-D4D0778E2AA8}"/>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8682" name="2">
          <a:extLst>
            <a:ext uri="{FF2B5EF4-FFF2-40B4-BE49-F238E27FC236}">
              <a16:creationId xmlns:a16="http://schemas.microsoft.com/office/drawing/2014/main" id="{35FF3AD1-DCE0-487C-9357-C7290D79785D}"/>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8683" name="직선 화살표 연결선 28682">
          <a:extLst>
            <a:ext uri="{FF2B5EF4-FFF2-40B4-BE49-F238E27FC236}">
              <a16:creationId xmlns:a16="http://schemas.microsoft.com/office/drawing/2014/main" id="{9D65EAA7-4908-4013-91FE-18835DD2ED9B}"/>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8684" name="1">
          <a:extLst>
            <a:ext uri="{FF2B5EF4-FFF2-40B4-BE49-F238E27FC236}">
              <a16:creationId xmlns:a16="http://schemas.microsoft.com/office/drawing/2014/main" id="{429AEDAE-1A90-42DF-8D13-0F1A4A00022F}"/>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8685" name="직선 화살표 연결선 28684">
          <a:extLst>
            <a:ext uri="{FF2B5EF4-FFF2-40B4-BE49-F238E27FC236}">
              <a16:creationId xmlns:a16="http://schemas.microsoft.com/office/drawing/2014/main" id="{1CFF1D14-2FAF-43F3-B80B-927D7109890A}"/>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9001" name="44">
          <a:extLst>
            <a:ext uri="{FF2B5EF4-FFF2-40B4-BE49-F238E27FC236}">
              <a16:creationId xmlns:a16="http://schemas.microsoft.com/office/drawing/2014/main" id="{989B5C0D-C15C-47EB-87D5-8E5D7F8D1171}"/>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9002" name="직선 화살표 연결선 29001">
          <a:extLst>
            <a:ext uri="{FF2B5EF4-FFF2-40B4-BE49-F238E27FC236}">
              <a16:creationId xmlns:a16="http://schemas.microsoft.com/office/drawing/2014/main" id="{E4791535-F415-476E-9E83-8C1A88C43E48}"/>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9003" name="43">
          <a:extLst>
            <a:ext uri="{FF2B5EF4-FFF2-40B4-BE49-F238E27FC236}">
              <a16:creationId xmlns:a16="http://schemas.microsoft.com/office/drawing/2014/main" id="{5A5D9BB4-4B99-46EA-86EA-9231AC7C3FE3}"/>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9004" name="직선 화살표 연결선 29003">
          <a:extLst>
            <a:ext uri="{FF2B5EF4-FFF2-40B4-BE49-F238E27FC236}">
              <a16:creationId xmlns:a16="http://schemas.microsoft.com/office/drawing/2014/main" id="{475D77FA-89FD-4DBC-B79D-FA591C70D1CC}"/>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9005" name="42">
          <a:extLst>
            <a:ext uri="{FF2B5EF4-FFF2-40B4-BE49-F238E27FC236}">
              <a16:creationId xmlns:a16="http://schemas.microsoft.com/office/drawing/2014/main" id="{16C4F57A-404F-44F6-B532-8674C854AC84}"/>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9006" name="직선 화살표 연결선 29005">
          <a:extLst>
            <a:ext uri="{FF2B5EF4-FFF2-40B4-BE49-F238E27FC236}">
              <a16:creationId xmlns:a16="http://schemas.microsoft.com/office/drawing/2014/main" id="{6DF3150B-E79E-406F-B13C-856BC3789435}"/>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9007" name="41">
          <a:extLst>
            <a:ext uri="{FF2B5EF4-FFF2-40B4-BE49-F238E27FC236}">
              <a16:creationId xmlns:a16="http://schemas.microsoft.com/office/drawing/2014/main" id="{4E59ECAC-1BEA-43BB-8969-F015DE097388}"/>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9008" name="직선 화살표 연결선 29007">
          <a:extLst>
            <a:ext uri="{FF2B5EF4-FFF2-40B4-BE49-F238E27FC236}">
              <a16:creationId xmlns:a16="http://schemas.microsoft.com/office/drawing/2014/main" id="{12D64373-3464-4A37-A99B-8CA745B6EE81}"/>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9068" name="10">
          <a:extLst>
            <a:ext uri="{FF2B5EF4-FFF2-40B4-BE49-F238E27FC236}">
              <a16:creationId xmlns:a16="http://schemas.microsoft.com/office/drawing/2014/main" id="{E0E2AD83-F4EC-45E2-BEFF-2A811EC5A3E9}"/>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9069" name="직선 화살표 연결선 29068">
          <a:extLst>
            <a:ext uri="{FF2B5EF4-FFF2-40B4-BE49-F238E27FC236}">
              <a16:creationId xmlns:a16="http://schemas.microsoft.com/office/drawing/2014/main" id="{2FA7CCD2-4AD0-4E75-9295-1CAD8212C47B}"/>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9070" name="9">
          <a:extLst>
            <a:ext uri="{FF2B5EF4-FFF2-40B4-BE49-F238E27FC236}">
              <a16:creationId xmlns:a16="http://schemas.microsoft.com/office/drawing/2014/main" id="{023C3405-0344-49E8-A027-90449C2379E7}"/>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9071" name="직선 화살표 연결선 29070">
          <a:extLst>
            <a:ext uri="{FF2B5EF4-FFF2-40B4-BE49-F238E27FC236}">
              <a16:creationId xmlns:a16="http://schemas.microsoft.com/office/drawing/2014/main" id="{35217810-4B80-43AE-B521-B0DDBD84B3A9}"/>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9072" name="8">
          <a:extLst>
            <a:ext uri="{FF2B5EF4-FFF2-40B4-BE49-F238E27FC236}">
              <a16:creationId xmlns:a16="http://schemas.microsoft.com/office/drawing/2014/main" id="{281F1E28-7404-4341-9E9A-0E579939072B}"/>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9073" name="직선 화살표 연결선 29072">
          <a:extLst>
            <a:ext uri="{FF2B5EF4-FFF2-40B4-BE49-F238E27FC236}">
              <a16:creationId xmlns:a16="http://schemas.microsoft.com/office/drawing/2014/main" id="{755AC7FF-4C04-45C5-8B67-E5C8A3760C93}"/>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9074" name="7">
          <a:extLst>
            <a:ext uri="{FF2B5EF4-FFF2-40B4-BE49-F238E27FC236}">
              <a16:creationId xmlns:a16="http://schemas.microsoft.com/office/drawing/2014/main" id="{C3C75FD7-6DBA-4C15-8D9E-37CFAC5C15B5}"/>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9075" name="6">
          <a:extLst>
            <a:ext uri="{FF2B5EF4-FFF2-40B4-BE49-F238E27FC236}">
              <a16:creationId xmlns:a16="http://schemas.microsoft.com/office/drawing/2014/main" id="{9EAE0B50-E860-473B-89C6-B2DE3C94C078}"/>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9076" name="직선 화살표 연결선 29075">
          <a:extLst>
            <a:ext uri="{FF2B5EF4-FFF2-40B4-BE49-F238E27FC236}">
              <a16:creationId xmlns:a16="http://schemas.microsoft.com/office/drawing/2014/main" id="{9B0F96BD-203C-45FD-B6B6-98126EC25E02}"/>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9077" name="5">
          <a:extLst>
            <a:ext uri="{FF2B5EF4-FFF2-40B4-BE49-F238E27FC236}">
              <a16:creationId xmlns:a16="http://schemas.microsoft.com/office/drawing/2014/main" id="{D421F6D5-BF31-406C-8560-9BE4187C60CE}"/>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9078" name="직선 화살표 연결선 29077">
          <a:extLst>
            <a:ext uri="{FF2B5EF4-FFF2-40B4-BE49-F238E27FC236}">
              <a16:creationId xmlns:a16="http://schemas.microsoft.com/office/drawing/2014/main" id="{CA2DE0D3-9502-48CB-BE2E-A342BA9FF94E}"/>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9079" name="4">
          <a:extLst>
            <a:ext uri="{FF2B5EF4-FFF2-40B4-BE49-F238E27FC236}">
              <a16:creationId xmlns:a16="http://schemas.microsoft.com/office/drawing/2014/main" id="{407AEAAB-B1FF-498A-86D4-A64FD616379F}"/>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9080" name="직선 화살표 연결선 29079">
          <a:extLst>
            <a:ext uri="{FF2B5EF4-FFF2-40B4-BE49-F238E27FC236}">
              <a16:creationId xmlns:a16="http://schemas.microsoft.com/office/drawing/2014/main" id="{BA25A08D-3B3E-41F7-AD67-33EEA2465302}"/>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9081" name="3">
          <a:extLst>
            <a:ext uri="{FF2B5EF4-FFF2-40B4-BE49-F238E27FC236}">
              <a16:creationId xmlns:a16="http://schemas.microsoft.com/office/drawing/2014/main" id="{E798605C-2ED3-4C42-931C-1D2248248474}"/>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9082" name="직선 화살표 연결선 29081">
          <a:extLst>
            <a:ext uri="{FF2B5EF4-FFF2-40B4-BE49-F238E27FC236}">
              <a16:creationId xmlns:a16="http://schemas.microsoft.com/office/drawing/2014/main" id="{B8903867-0F20-4473-A53D-D1F1CA453B4B}"/>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9083" name="2">
          <a:extLst>
            <a:ext uri="{FF2B5EF4-FFF2-40B4-BE49-F238E27FC236}">
              <a16:creationId xmlns:a16="http://schemas.microsoft.com/office/drawing/2014/main" id="{12BA9164-EEBB-40AD-8CFB-BEC60E234950}"/>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9084" name="직선 화살표 연결선 29083">
          <a:extLst>
            <a:ext uri="{FF2B5EF4-FFF2-40B4-BE49-F238E27FC236}">
              <a16:creationId xmlns:a16="http://schemas.microsoft.com/office/drawing/2014/main" id="{B848FFA0-95FB-4B73-8F61-22BE5EE213F4}"/>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9085" name="1">
          <a:extLst>
            <a:ext uri="{FF2B5EF4-FFF2-40B4-BE49-F238E27FC236}">
              <a16:creationId xmlns:a16="http://schemas.microsoft.com/office/drawing/2014/main" id="{43435F45-48D6-49BA-BDFD-98F86F2BDD29}"/>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9086" name="직선 화살표 연결선 29085">
          <a:extLst>
            <a:ext uri="{FF2B5EF4-FFF2-40B4-BE49-F238E27FC236}">
              <a16:creationId xmlns:a16="http://schemas.microsoft.com/office/drawing/2014/main" id="{07C858C8-1AE5-43FB-8C61-C0B647657B3C}"/>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9402" name="44">
          <a:extLst>
            <a:ext uri="{FF2B5EF4-FFF2-40B4-BE49-F238E27FC236}">
              <a16:creationId xmlns:a16="http://schemas.microsoft.com/office/drawing/2014/main" id="{096082B2-06D0-44B3-BF4B-DBD0CB07FA12}"/>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9403" name="직선 화살표 연결선 29402">
          <a:extLst>
            <a:ext uri="{FF2B5EF4-FFF2-40B4-BE49-F238E27FC236}">
              <a16:creationId xmlns:a16="http://schemas.microsoft.com/office/drawing/2014/main" id="{51939BA8-BB88-45E8-84D3-20D248A278DE}"/>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9404" name="43">
          <a:extLst>
            <a:ext uri="{FF2B5EF4-FFF2-40B4-BE49-F238E27FC236}">
              <a16:creationId xmlns:a16="http://schemas.microsoft.com/office/drawing/2014/main" id="{634126B4-0E03-46D3-9997-DB068EF291C6}"/>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9405" name="직선 화살표 연결선 29404">
          <a:extLst>
            <a:ext uri="{FF2B5EF4-FFF2-40B4-BE49-F238E27FC236}">
              <a16:creationId xmlns:a16="http://schemas.microsoft.com/office/drawing/2014/main" id="{B6B5831A-49F1-417A-AB02-0F8BBA2AE40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9406" name="42">
          <a:extLst>
            <a:ext uri="{FF2B5EF4-FFF2-40B4-BE49-F238E27FC236}">
              <a16:creationId xmlns:a16="http://schemas.microsoft.com/office/drawing/2014/main" id="{22241FA3-9989-4218-8091-EC930E6206F8}"/>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9407" name="직선 화살표 연결선 29406">
          <a:extLst>
            <a:ext uri="{FF2B5EF4-FFF2-40B4-BE49-F238E27FC236}">
              <a16:creationId xmlns:a16="http://schemas.microsoft.com/office/drawing/2014/main" id="{554F8212-3350-476C-B492-1147C7214385}"/>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9408" name="41">
          <a:extLst>
            <a:ext uri="{FF2B5EF4-FFF2-40B4-BE49-F238E27FC236}">
              <a16:creationId xmlns:a16="http://schemas.microsoft.com/office/drawing/2014/main" id="{994C7545-B479-48D9-BD9A-78CEC7E1E47A}"/>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9409" name="직선 화살표 연결선 29408">
          <a:extLst>
            <a:ext uri="{FF2B5EF4-FFF2-40B4-BE49-F238E27FC236}">
              <a16:creationId xmlns:a16="http://schemas.microsoft.com/office/drawing/2014/main" id="{8D396005-718A-4D17-862B-9A2CA1764728}"/>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9469" name="10">
          <a:extLst>
            <a:ext uri="{FF2B5EF4-FFF2-40B4-BE49-F238E27FC236}">
              <a16:creationId xmlns:a16="http://schemas.microsoft.com/office/drawing/2014/main" id="{5041F2A2-8E07-4CDC-AC20-B0AFB1F41D94}"/>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9470" name="직선 화살표 연결선 29469">
          <a:extLst>
            <a:ext uri="{FF2B5EF4-FFF2-40B4-BE49-F238E27FC236}">
              <a16:creationId xmlns:a16="http://schemas.microsoft.com/office/drawing/2014/main" id="{847DA5CE-94B4-4E31-A339-D4767EE8266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9471" name="9">
          <a:extLst>
            <a:ext uri="{FF2B5EF4-FFF2-40B4-BE49-F238E27FC236}">
              <a16:creationId xmlns:a16="http://schemas.microsoft.com/office/drawing/2014/main" id="{B1FD80CD-4F9C-4EBC-A0E3-4C1CE61DD37F}"/>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9472" name="직선 화살표 연결선 29471">
          <a:extLst>
            <a:ext uri="{FF2B5EF4-FFF2-40B4-BE49-F238E27FC236}">
              <a16:creationId xmlns:a16="http://schemas.microsoft.com/office/drawing/2014/main" id="{AF24E92D-1284-4A98-9721-5D6BF5344B72}"/>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9473" name="8">
          <a:extLst>
            <a:ext uri="{FF2B5EF4-FFF2-40B4-BE49-F238E27FC236}">
              <a16:creationId xmlns:a16="http://schemas.microsoft.com/office/drawing/2014/main" id="{36FFE396-A35E-4492-AF47-1196ED512FA5}"/>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9474" name="직선 화살표 연결선 29473">
          <a:extLst>
            <a:ext uri="{FF2B5EF4-FFF2-40B4-BE49-F238E27FC236}">
              <a16:creationId xmlns:a16="http://schemas.microsoft.com/office/drawing/2014/main" id="{3E40F5AC-E40D-42A0-B7ED-752B9C268D82}"/>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9475" name="7">
          <a:extLst>
            <a:ext uri="{FF2B5EF4-FFF2-40B4-BE49-F238E27FC236}">
              <a16:creationId xmlns:a16="http://schemas.microsoft.com/office/drawing/2014/main" id="{71BA7B35-2EA9-4E9C-A87F-FB0EA2B59599}"/>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9476" name="6">
          <a:extLst>
            <a:ext uri="{FF2B5EF4-FFF2-40B4-BE49-F238E27FC236}">
              <a16:creationId xmlns:a16="http://schemas.microsoft.com/office/drawing/2014/main" id="{4610C0B8-F96C-4A4D-8AB5-8A4FAC5BBF19}"/>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9477" name="직선 화살표 연결선 29476">
          <a:extLst>
            <a:ext uri="{FF2B5EF4-FFF2-40B4-BE49-F238E27FC236}">
              <a16:creationId xmlns:a16="http://schemas.microsoft.com/office/drawing/2014/main" id="{7EB59436-D5C1-42B2-9A30-B692F6531869}"/>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9478" name="5">
          <a:extLst>
            <a:ext uri="{FF2B5EF4-FFF2-40B4-BE49-F238E27FC236}">
              <a16:creationId xmlns:a16="http://schemas.microsoft.com/office/drawing/2014/main" id="{933A55E0-A1F8-433C-84F7-ACF73FF10119}"/>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9479" name="직선 화살표 연결선 29478">
          <a:extLst>
            <a:ext uri="{FF2B5EF4-FFF2-40B4-BE49-F238E27FC236}">
              <a16:creationId xmlns:a16="http://schemas.microsoft.com/office/drawing/2014/main" id="{650BD1F8-9F6D-43E6-991D-5AE34BCA50AB}"/>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9480" name="4">
          <a:extLst>
            <a:ext uri="{FF2B5EF4-FFF2-40B4-BE49-F238E27FC236}">
              <a16:creationId xmlns:a16="http://schemas.microsoft.com/office/drawing/2014/main" id="{3C0FF16E-74F6-47DB-A155-BAB11D3B69DB}"/>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9481" name="직선 화살표 연결선 29480">
          <a:extLst>
            <a:ext uri="{FF2B5EF4-FFF2-40B4-BE49-F238E27FC236}">
              <a16:creationId xmlns:a16="http://schemas.microsoft.com/office/drawing/2014/main" id="{9E810227-9EDF-41DD-9A0A-961F8858E874}"/>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9482" name="3">
          <a:extLst>
            <a:ext uri="{FF2B5EF4-FFF2-40B4-BE49-F238E27FC236}">
              <a16:creationId xmlns:a16="http://schemas.microsoft.com/office/drawing/2014/main" id="{17324BA1-67FD-4744-AA54-F0D23EADDDB2}"/>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9483" name="직선 화살표 연결선 29482">
          <a:extLst>
            <a:ext uri="{FF2B5EF4-FFF2-40B4-BE49-F238E27FC236}">
              <a16:creationId xmlns:a16="http://schemas.microsoft.com/office/drawing/2014/main" id="{BA960B2B-97D5-47A8-BB9A-B54F37AC815A}"/>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9484" name="2">
          <a:extLst>
            <a:ext uri="{FF2B5EF4-FFF2-40B4-BE49-F238E27FC236}">
              <a16:creationId xmlns:a16="http://schemas.microsoft.com/office/drawing/2014/main" id="{20177382-2524-44FD-8D38-B735873DE795}"/>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9485" name="직선 화살표 연결선 29484">
          <a:extLst>
            <a:ext uri="{FF2B5EF4-FFF2-40B4-BE49-F238E27FC236}">
              <a16:creationId xmlns:a16="http://schemas.microsoft.com/office/drawing/2014/main" id="{9D6C596C-17C1-4DC9-9BFA-206829B66C51}"/>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9486" name="1">
          <a:extLst>
            <a:ext uri="{FF2B5EF4-FFF2-40B4-BE49-F238E27FC236}">
              <a16:creationId xmlns:a16="http://schemas.microsoft.com/office/drawing/2014/main" id="{7A86A3CA-3369-420C-AF47-90A6527B3D73}"/>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9487" name="직선 화살표 연결선 29486">
          <a:extLst>
            <a:ext uri="{FF2B5EF4-FFF2-40B4-BE49-F238E27FC236}">
              <a16:creationId xmlns:a16="http://schemas.microsoft.com/office/drawing/2014/main" id="{4B6E7527-5938-4D14-AF7C-9CE733B9A224}"/>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9803" name="44">
          <a:extLst>
            <a:ext uri="{FF2B5EF4-FFF2-40B4-BE49-F238E27FC236}">
              <a16:creationId xmlns:a16="http://schemas.microsoft.com/office/drawing/2014/main" id="{81BE5A36-DF7B-4BA6-BB67-D329A1980A7E}"/>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9804" name="직선 화살표 연결선 29803">
          <a:extLst>
            <a:ext uri="{FF2B5EF4-FFF2-40B4-BE49-F238E27FC236}">
              <a16:creationId xmlns:a16="http://schemas.microsoft.com/office/drawing/2014/main" id="{5FD66EB4-2AD1-489F-8DC7-1DB77C5B3BFA}"/>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9805" name="43">
          <a:extLst>
            <a:ext uri="{FF2B5EF4-FFF2-40B4-BE49-F238E27FC236}">
              <a16:creationId xmlns:a16="http://schemas.microsoft.com/office/drawing/2014/main" id="{0B81A727-B295-4A05-85DF-ADBFDBDBADB1}"/>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9806" name="직선 화살표 연결선 29805">
          <a:extLst>
            <a:ext uri="{FF2B5EF4-FFF2-40B4-BE49-F238E27FC236}">
              <a16:creationId xmlns:a16="http://schemas.microsoft.com/office/drawing/2014/main" id="{3CA7AAD9-3BBA-431B-B686-B5F91227CD1C}"/>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9807" name="42">
          <a:extLst>
            <a:ext uri="{FF2B5EF4-FFF2-40B4-BE49-F238E27FC236}">
              <a16:creationId xmlns:a16="http://schemas.microsoft.com/office/drawing/2014/main" id="{9F48AE1F-65B0-4B88-9B5F-3302350393E5}"/>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9808" name="직선 화살표 연결선 29807">
          <a:extLst>
            <a:ext uri="{FF2B5EF4-FFF2-40B4-BE49-F238E27FC236}">
              <a16:creationId xmlns:a16="http://schemas.microsoft.com/office/drawing/2014/main" id="{DF6E0E92-29A1-438D-96ED-BC9B2C4CEAD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9809" name="41">
          <a:extLst>
            <a:ext uri="{FF2B5EF4-FFF2-40B4-BE49-F238E27FC236}">
              <a16:creationId xmlns:a16="http://schemas.microsoft.com/office/drawing/2014/main" id="{EE238E02-C708-4999-8907-BC754D2F74B4}"/>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9810" name="직선 화살표 연결선 29809">
          <a:extLst>
            <a:ext uri="{FF2B5EF4-FFF2-40B4-BE49-F238E27FC236}">
              <a16:creationId xmlns:a16="http://schemas.microsoft.com/office/drawing/2014/main" id="{3815964B-C388-4C0C-BD0A-6B96C7B4855B}"/>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9870" name="10">
          <a:extLst>
            <a:ext uri="{FF2B5EF4-FFF2-40B4-BE49-F238E27FC236}">
              <a16:creationId xmlns:a16="http://schemas.microsoft.com/office/drawing/2014/main" id="{9D72B49B-90CD-43ED-B821-DC4F5DC84CAE}"/>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9871" name="직선 화살표 연결선 29870">
          <a:extLst>
            <a:ext uri="{FF2B5EF4-FFF2-40B4-BE49-F238E27FC236}">
              <a16:creationId xmlns:a16="http://schemas.microsoft.com/office/drawing/2014/main" id="{060D59A6-25A4-4263-9848-99FA019B0878}"/>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9872" name="9">
          <a:extLst>
            <a:ext uri="{FF2B5EF4-FFF2-40B4-BE49-F238E27FC236}">
              <a16:creationId xmlns:a16="http://schemas.microsoft.com/office/drawing/2014/main" id="{7FC33B01-5CE4-4221-8269-6C99AB8E548B}"/>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9873" name="직선 화살표 연결선 29872">
          <a:extLst>
            <a:ext uri="{FF2B5EF4-FFF2-40B4-BE49-F238E27FC236}">
              <a16:creationId xmlns:a16="http://schemas.microsoft.com/office/drawing/2014/main" id="{F94BAE58-E23F-42B8-BBF2-71F7B8B43989}"/>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9874" name="8">
          <a:extLst>
            <a:ext uri="{FF2B5EF4-FFF2-40B4-BE49-F238E27FC236}">
              <a16:creationId xmlns:a16="http://schemas.microsoft.com/office/drawing/2014/main" id="{FEF26DEB-4F91-49BC-B270-61BE6B8F2066}"/>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9875" name="직선 화살표 연결선 29874">
          <a:extLst>
            <a:ext uri="{FF2B5EF4-FFF2-40B4-BE49-F238E27FC236}">
              <a16:creationId xmlns:a16="http://schemas.microsoft.com/office/drawing/2014/main" id="{22453945-9CEE-439C-95FF-85486DB1AE34}"/>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9876" name="7">
          <a:extLst>
            <a:ext uri="{FF2B5EF4-FFF2-40B4-BE49-F238E27FC236}">
              <a16:creationId xmlns:a16="http://schemas.microsoft.com/office/drawing/2014/main" id="{3764D92A-74C4-4EC7-8A76-4046B0861C93}"/>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9877" name="6">
          <a:extLst>
            <a:ext uri="{FF2B5EF4-FFF2-40B4-BE49-F238E27FC236}">
              <a16:creationId xmlns:a16="http://schemas.microsoft.com/office/drawing/2014/main" id="{88994151-30FB-438D-AC60-E9E6F335ECD0}"/>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9878" name="직선 화살표 연결선 29877">
          <a:extLst>
            <a:ext uri="{FF2B5EF4-FFF2-40B4-BE49-F238E27FC236}">
              <a16:creationId xmlns:a16="http://schemas.microsoft.com/office/drawing/2014/main" id="{7774D3E9-D9B3-4704-A043-F2BFC1CAF0EE}"/>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9879" name="5">
          <a:extLst>
            <a:ext uri="{FF2B5EF4-FFF2-40B4-BE49-F238E27FC236}">
              <a16:creationId xmlns:a16="http://schemas.microsoft.com/office/drawing/2014/main" id="{435EBFDD-CDCF-46DB-A4F9-BD98439875FE}"/>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9880" name="직선 화살표 연결선 29879">
          <a:extLst>
            <a:ext uri="{FF2B5EF4-FFF2-40B4-BE49-F238E27FC236}">
              <a16:creationId xmlns:a16="http://schemas.microsoft.com/office/drawing/2014/main" id="{5AA313B3-D0DC-47B9-9A9D-C9D43A8D6887}"/>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9881" name="4">
          <a:extLst>
            <a:ext uri="{FF2B5EF4-FFF2-40B4-BE49-F238E27FC236}">
              <a16:creationId xmlns:a16="http://schemas.microsoft.com/office/drawing/2014/main" id="{6A3089FD-3BEE-4D9F-8779-0B9FE474750B}"/>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9882" name="직선 화살표 연결선 29881">
          <a:extLst>
            <a:ext uri="{FF2B5EF4-FFF2-40B4-BE49-F238E27FC236}">
              <a16:creationId xmlns:a16="http://schemas.microsoft.com/office/drawing/2014/main" id="{08AA1EDC-F916-4501-8E10-E8B48624D311}"/>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9883" name="3">
          <a:extLst>
            <a:ext uri="{FF2B5EF4-FFF2-40B4-BE49-F238E27FC236}">
              <a16:creationId xmlns:a16="http://schemas.microsoft.com/office/drawing/2014/main" id="{59C0A1C2-22FB-44CB-966D-BA65C750478E}"/>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9884" name="직선 화살표 연결선 29883">
          <a:extLst>
            <a:ext uri="{FF2B5EF4-FFF2-40B4-BE49-F238E27FC236}">
              <a16:creationId xmlns:a16="http://schemas.microsoft.com/office/drawing/2014/main" id="{E35165CC-FB4F-4CC7-89AA-6359F9DA0223}"/>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9885" name="2">
          <a:extLst>
            <a:ext uri="{FF2B5EF4-FFF2-40B4-BE49-F238E27FC236}">
              <a16:creationId xmlns:a16="http://schemas.microsoft.com/office/drawing/2014/main" id="{7AE85E7F-8CDF-4CB2-B643-F29D43E399CB}"/>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9886" name="직선 화살표 연결선 29885">
          <a:extLst>
            <a:ext uri="{FF2B5EF4-FFF2-40B4-BE49-F238E27FC236}">
              <a16:creationId xmlns:a16="http://schemas.microsoft.com/office/drawing/2014/main" id="{D249E473-A5F5-4871-978D-ACE33E1CFB65}"/>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9887" name="1">
          <a:extLst>
            <a:ext uri="{FF2B5EF4-FFF2-40B4-BE49-F238E27FC236}">
              <a16:creationId xmlns:a16="http://schemas.microsoft.com/office/drawing/2014/main" id="{2D479D22-31CD-48D5-A5C4-76678CDF1F65}"/>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9888" name="직선 화살표 연결선 29887">
          <a:extLst>
            <a:ext uri="{FF2B5EF4-FFF2-40B4-BE49-F238E27FC236}">
              <a16:creationId xmlns:a16="http://schemas.microsoft.com/office/drawing/2014/main" id="{C9546DE5-B2E5-4C5E-9F36-D6CCFE76D304}"/>
            </a:ext>
          </a:extLst>
        </xdr:cNvPr>
        <xdr:cNvCxnSpPr/>
      </xdr:nvCxnSpPr>
      <xdr:spPr>
        <a:xfrm>
          <a:off x="12959443" y="891540"/>
          <a:ext cx="2247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0204" name="44">
          <a:extLst>
            <a:ext uri="{FF2B5EF4-FFF2-40B4-BE49-F238E27FC236}">
              <a16:creationId xmlns:a16="http://schemas.microsoft.com/office/drawing/2014/main" id="{710E4A52-A311-4D8C-81E6-1583085A0321}"/>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0205" name="직선 화살표 연결선 30204">
          <a:extLst>
            <a:ext uri="{FF2B5EF4-FFF2-40B4-BE49-F238E27FC236}">
              <a16:creationId xmlns:a16="http://schemas.microsoft.com/office/drawing/2014/main" id="{F9ADA02B-D1F9-4FB0-B497-899FF3060D4F}"/>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0206" name="43">
          <a:extLst>
            <a:ext uri="{FF2B5EF4-FFF2-40B4-BE49-F238E27FC236}">
              <a16:creationId xmlns:a16="http://schemas.microsoft.com/office/drawing/2014/main" id="{BC7E62D5-00B4-457B-95DE-4D6C7B9B3451}"/>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0207" name="직선 화살표 연결선 30206">
          <a:extLst>
            <a:ext uri="{FF2B5EF4-FFF2-40B4-BE49-F238E27FC236}">
              <a16:creationId xmlns:a16="http://schemas.microsoft.com/office/drawing/2014/main" id="{CBC395CE-1539-4061-AEBC-F30CF560959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0208" name="42">
          <a:extLst>
            <a:ext uri="{FF2B5EF4-FFF2-40B4-BE49-F238E27FC236}">
              <a16:creationId xmlns:a16="http://schemas.microsoft.com/office/drawing/2014/main" id="{BCF58EE4-5BC1-45E9-B015-3F89258B426E}"/>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0209" name="직선 화살표 연결선 30208">
          <a:extLst>
            <a:ext uri="{FF2B5EF4-FFF2-40B4-BE49-F238E27FC236}">
              <a16:creationId xmlns:a16="http://schemas.microsoft.com/office/drawing/2014/main" id="{F0BB2BF0-35F5-4F00-8054-E0571A0CA71C}"/>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0210" name="41">
          <a:extLst>
            <a:ext uri="{FF2B5EF4-FFF2-40B4-BE49-F238E27FC236}">
              <a16:creationId xmlns:a16="http://schemas.microsoft.com/office/drawing/2014/main" id="{475D5E3F-F834-4BDF-975E-983E83F5DC7A}"/>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0211" name="직선 화살표 연결선 30210">
          <a:extLst>
            <a:ext uri="{FF2B5EF4-FFF2-40B4-BE49-F238E27FC236}">
              <a16:creationId xmlns:a16="http://schemas.microsoft.com/office/drawing/2014/main" id="{15D95B6D-F95B-4FDA-B750-887684967228}"/>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0271" name="10">
          <a:extLst>
            <a:ext uri="{FF2B5EF4-FFF2-40B4-BE49-F238E27FC236}">
              <a16:creationId xmlns:a16="http://schemas.microsoft.com/office/drawing/2014/main" id="{D59C36FE-D49E-4AFA-9CFB-F6A5784E0B20}"/>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0272" name="직선 화살표 연결선 30271">
          <a:extLst>
            <a:ext uri="{FF2B5EF4-FFF2-40B4-BE49-F238E27FC236}">
              <a16:creationId xmlns:a16="http://schemas.microsoft.com/office/drawing/2014/main" id="{114580B3-2352-4734-9822-54C7BB191976}"/>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0273" name="9">
          <a:extLst>
            <a:ext uri="{FF2B5EF4-FFF2-40B4-BE49-F238E27FC236}">
              <a16:creationId xmlns:a16="http://schemas.microsoft.com/office/drawing/2014/main" id="{3E387CEB-50AE-4334-9019-82FBC1497E16}"/>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0274" name="직선 화살표 연결선 30273">
          <a:extLst>
            <a:ext uri="{FF2B5EF4-FFF2-40B4-BE49-F238E27FC236}">
              <a16:creationId xmlns:a16="http://schemas.microsoft.com/office/drawing/2014/main" id="{84EA2DE5-B126-4DF4-B1BA-AE96A0A1E78C}"/>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0275" name="8">
          <a:extLst>
            <a:ext uri="{FF2B5EF4-FFF2-40B4-BE49-F238E27FC236}">
              <a16:creationId xmlns:a16="http://schemas.microsoft.com/office/drawing/2014/main" id="{58F87761-34C5-43A1-BC95-B46D836593E7}"/>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0276" name="직선 화살표 연결선 30275">
          <a:extLst>
            <a:ext uri="{FF2B5EF4-FFF2-40B4-BE49-F238E27FC236}">
              <a16:creationId xmlns:a16="http://schemas.microsoft.com/office/drawing/2014/main" id="{4D5314B1-9450-47F8-B832-B9A6A78168B1}"/>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0277" name="7">
          <a:extLst>
            <a:ext uri="{FF2B5EF4-FFF2-40B4-BE49-F238E27FC236}">
              <a16:creationId xmlns:a16="http://schemas.microsoft.com/office/drawing/2014/main" id="{9EB57A2D-4804-4983-B53C-8053B1896C78}"/>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0278" name="6">
          <a:extLst>
            <a:ext uri="{FF2B5EF4-FFF2-40B4-BE49-F238E27FC236}">
              <a16:creationId xmlns:a16="http://schemas.microsoft.com/office/drawing/2014/main" id="{0DAD5161-290D-4D61-A78A-72FB9AC72C0D}"/>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0279" name="직선 화살표 연결선 30278">
          <a:extLst>
            <a:ext uri="{FF2B5EF4-FFF2-40B4-BE49-F238E27FC236}">
              <a16:creationId xmlns:a16="http://schemas.microsoft.com/office/drawing/2014/main" id="{818E2563-F281-4B33-A831-5B1930725B3F}"/>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0280" name="5">
          <a:extLst>
            <a:ext uri="{FF2B5EF4-FFF2-40B4-BE49-F238E27FC236}">
              <a16:creationId xmlns:a16="http://schemas.microsoft.com/office/drawing/2014/main" id="{1DB01566-03D7-4A8C-805E-22A149E2A83F}"/>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0281" name="직선 화살표 연결선 30280">
          <a:extLst>
            <a:ext uri="{FF2B5EF4-FFF2-40B4-BE49-F238E27FC236}">
              <a16:creationId xmlns:a16="http://schemas.microsoft.com/office/drawing/2014/main" id="{C5E95A98-4720-4BA2-9334-A0194E9ECFA8}"/>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0282" name="4">
          <a:extLst>
            <a:ext uri="{FF2B5EF4-FFF2-40B4-BE49-F238E27FC236}">
              <a16:creationId xmlns:a16="http://schemas.microsoft.com/office/drawing/2014/main" id="{3531C159-D5EC-4B13-9F02-3DB63EFF0FF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0283" name="직선 화살표 연결선 30282">
          <a:extLst>
            <a:ext uri="{FF2B5EF4-FFF2-40B4-BE49-F238E27FC236}">
              <a16:creationId xmlns:a16="http://schemas.microsoft.com/office/drawing/2014/main" id="{B346F9FA-EA4C-43FB-B41C-96E9E28B1B67}"/>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0284" name="3">
          <a:extLst>
            <a:ext uri="{FF2B5EF4-FFF2-40B4-BE49-F238E27FC236}">
              <a16:creationId xmlns:a16="http://schemas.microsoft.com/office/drawing/2014/main" id="{60CA236C-8B50-4EB2-B081-A36CBF4817C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0285" name="직선 화살표 연결선 30284">
          <a:extLst>
            <a:ext uri="{FF2B5EF4-FFF2-40B4-BE49-F238E27FC236}">
              <a16:creationId xmlns:a16="http://schemas.microsoft.com/office/drawing/2014/main" id="{1CC6B16C-53C2-443F-9764-C27C216FADF7}"/>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0286" name="2">
          <a:extLst>
            <a:ext uri="{FF2B5EF4-FFF2-40B4-BE49-F238E27FC236}">
              <a16:creationId xmlns:a16="http://schemas.microsoft.com/office/drawing/2014/main" id="{76CF1292-12C7-4C2F-B5A1-3108B16FC404}"/>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0287" name="직선 화살표 연결선 30286">
          <a:extLst>
            <a:ext uri="{FF2B5EF4-FFF2-40B4-BE49-F238E27FC236}">
              <a16:creationId xmlns:a16="http://schemas.microsoft.com/office/drawing/2014/main" id="{9C1ED78E-2526-4528-A745-1C78BC43DB85}"/>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0288" name="1">
          <a:extLst>
            <a:ext uri="{FF2B5EF4-FFF2-40B4-BE49-F238E27FC236}">
              <a16:creationId xmlns:a16="http://schemas.microsoft.com/office/drawing/2014/main" id="{32206DC1-6B95-461E-9F74-F1F18AEBF922}"/>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0289" name="직선 화살표 연결선 30288">
          <a:extLst>
            <a:ext uri="{FF2B5EF4-FFF2-40B4-BE49-F238E27FC236}">
              <a16:creationId xmlns:a16="http://schemas.microsoft.com/office/drawing/2014/main" id="{B2D7D5AB-4E11-4286-9452-B13393DFC9F0}"/>
            </a:ext>
          </a:extLst>
        </xdr:cNvPr>
        <xdr:cNvCxnSpPr/>
      </xdr:nvCxnSpPr>
      <xdr:spPr>
        <a:xfrm>
          <a:off x="12959443" y="891540"/>
          <a:ext cx="22493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0605" name="44">
          <a:extLst>
            <a:ext uri="{FF2B5EF4-FFF2-40B4-BE49-F238E27FC236}">
              <a16:creationId xmlns:a16="http://schemas.microsoft.com/office/drawing/2014/main" id="{BA123FBE-0616-47AF-AACB-CF3124E7B8E4}"/>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0606" name="직선 화살표 연결선 30605">
          <a:extLst>
            <a:ext uri="{FF2B5EF4-FFF2-40B4-BE49-F238E27FC236}">
              <a16:creationId xmlns:a16="http://schemas.microsoft.com/office/drawing/2014/main" id="{BF5B24D7-41E0-4FAC-A60F-9244B7FABE19}"/>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0607" name="43">
          <a:extLst>
            <a:ext uri="{FF2B5EF4-FFF2-40B4-BE49-F238E27FC236}">
              <a16:creationId xmlns:a16="http://schemas.microsoft.com/office/drawing/2014/main" id="{DB7E9FEC-B5B6-4332-A7D7-4F7196EE7DD5}"/>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0608" name="직선 화살표 연결선 30607">
          <a:extLst>
            <a:ext uri="{FF2B5EF4-FFF2-40B4-BE49-F238E27FC236}">
              <a16:creationId xmlns:a16="http://schemas.microsoft.com/office/drawing/2014/main" id="{50D4A53C-58EB-448F-B3B5-4B6706923205}"/>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0609" name="42">
          <a:extLst>
            <a:ext uri="{FF2B5EF4-FFF2-40B4-BE49-F238E27FC236}">
              <a16:creationId xmlns:a16="http://schemas.microsoft.com/office/drawing/2014/main" id="{554B73EE-770D-4AA8-B97E-5F2868838118}"/>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0610" name="직선 화살표 연결선 30609">
          <a:extLst>
            <a:ext uri="{FF2B5EF4-FFF2-40B4-BE49-F238E27FC236}">
              <a16:creationId xmlns:a16="http://schemas.microsoft.com/office/drawing/2014/main" id="{0CF91F7C-BBD1-444D-85E6-BA3EB5EC3343}"/>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0611" name="41">
          <a:extLst>
            <a:ext uri="{FF2B5EF4-FFF2-40B4-BE49-F238E27FC236}">
              <a16:creationId xmlns:a16="http://schemas.microsoft.com/office/drawing/2014/main" id="{A52A459D-E0CE-43B8-8C88-345B3E282601}"/>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0612" name="직선 화살표 연결선 30611">
          <a:extLst>
            <a:ext uri="{FF2B5EF4-FFF2-40B4-BE49-F238E27FC236}">
              <a16:creationId xmlns:a16="http://schemas.microsoft.com/office/drawing/2014/main" id="{058C0CCE-AABC-4E46-8669-73B9CD6C589A}"/>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0672" name="10">
          <a:extLst>
            <a:ext uri="{FF2B5EF4-FFF2-40B4-BE49-F238E27FC236}">
              <a16:creationId xmlns:a16="http://schemas.microsoft.com/office/drawing/2014/main" id="{65AB5055-F592-43CE-98A7-DF633C67C094}"/>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0673" name="직선 화살표 연결선 30672">
          <a:extLst>
            <a:ext uri="{FF2B5EF4-FFF2-40B4-BE49-F238E27FC236}">
              <a16:creationId xmlns:a16="http://schemas.microsoft.com/office/drawing/2014/main" id="{0A5D5E71-B448-452E-B564-3C975C35F743}"/>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0674" name="9">
          <a:extLst>
            <a:ext uri="{FF2B5EF4-FFF2-40B4-BE49-F238E27FC236}">
              <a16:creationId xmlns:a16="http://schemas.microsoft.com/office/drawing/2014/main" id="{FE0F6149-C651-4AF8-BA9B-7762AD0AC90A}"/>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0675" name="직선 화살표 연결선 30674">
          <a:extLst>
            <a:ext uri="{FF2B5EF4-FFF2-40B4-BE49-F238E27FC236}">
              <a16:creationId xmlns:a16="http://schemas.microsoft.com/office/drawing/2014/main" id="{525DDAE3-2928-4322-997F-064283F02C85}"/>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0676" name="8">
          <a:extLst>
            <a:ext uri="{FF2B5EF4-FFF2-40B4-BE49-F238E27FC236}">
              <a16:creationId xmlns:a16="http://schemas.microsoft.com/office/drawing/2014/main" id="{155621CE-4405-42C5-AC72-C0731759B23C}"/>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0677" name="직선 화살표 연결선 30676">
          <a:extLst>
            <a:ext uri="{FF2B5EF4-FFF2-40B4-BE49-F238E27FC236}">
              <a16:creationId xmlns:a16="http://schemas.microsoft.com/office/drawing/2014/main" id="{39C2ABC7-D674-490D-8FEF-7BCB6978A01A}"/>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0678" name="7">
          <a:extLst>
            <a:ext uri="{FF2B5EF4-FFF2-40B4-BE49-F238E27FC236}">
              <a16:creationId xmlns:a16="http://schemas.microsoft.com/office/drawing/2014/main" id="{A5715CCB-A811-4AD8-B621-D4A9DE5AFA4F}"/>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0679" name="6">
          <a:extLst>
            <a:ext uri="{FF2B5EF4-FFF2-40B4-BE49-F238E27FC236}">
              <a16:creationId xmlns:a16="http://schemas.microsoft.com/office/drawing/2014/main" id="{3800B845-87E7-4E91-BEEE-F1B2EBFA2387}"/>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0680" name="직선 화살표 연결선 30679">
          <a:extLst>
            <a:ext uri="{FF2B5EF4-FFF2-40B4-BE49-F238E27FC236}">
              <a16:creationId xmlns:a16="http://schemas.microsoft.com/office/drawing/2014/main" id="{00450E81-60A2-46B9-82CE-D4709FF11E8D}"/>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0681" name="5">
          <a:extLst>
            <a:ext uri="{FF2B5EF4-FFF2-40B4-BE49-F238E27FC236}">
              <a16:creationId xmlns:a16="http://schemas.microsoft.com/office/drawing/2014/main" id="{92C1C076-411D-4266-895B-8EA7C8732C53}"/>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0682" name="직선 화살표 연결선 30681">
          <a:extLst>
            <a:ext uri="{FF2B5EF4-FFF2-40B4-BE49-F238E27FC236}">
              <a16:creationId xmlns:a16="http://schemas.microsoft.com/office/drawing/2014/main" id="{2DB38A68-046C-4AAF-A9E1-5493C549E47A}"/>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0683" name="4">
          <a:extLst>
            <a:ext uri="{FF2B5EF4-FFF2-40B4-BE49-F238E27FC236}">
              <a16:creationId xmlns:a16="http://schemas.microsoft.com/office/drawing/2014/main" id="{93304E81-9065-491F-9BF0-D4E8D0491624}"/>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0684" name="직선 화살표 연결선 30683">
          <a:extLst>
            <a:ext uri="{FF2B5EF4-FFF2-40B4-BE49-F238E27FC236}">
              <a16:creationId xmlns:a16="http://schemas.microsoft.com/office/drawing/2014/main" id="{4E18B8F3-4E96-4F09-824D-E96FC3C47B5C}"/>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0685" name="3">
          <a:extLst>
            <a:ext uri="{FF2B5EF4-FFF2-40B4-BE49-F238E27FC236}">
              <a16:creationId xmlns:a16="http://schemas.microsoft.com/office/drawing/2014/main" id="{F1B77915-440D-4310-9024-8CC58A610D12}"/>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0686" name="직선 화살표 연결선 30685">
          <a:extLst>
            <a:ext uri="{FF2B5EF4-FFF2-40B4-BE49-F238E27FC236}">
              <a16:creationId xmlns:a16="http://schemas.microsoft.com/office/drawing/2014/main" id="{9172AAE6-6614-4B77-B2E8-CDE7480DDA20}"/>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0687" name="2">
          <a:extLst>
            <a:ext uri="{FF2B5EF4-FFF2-40B4-BE49-F238E27FC236}">
              <a16:creationId xmlns:a16="http://schemas.microsoft.com/office/drawing/2014/main" id="{FC1E121B-FF95-4E1E-B9D5-5EBB0A1F8E0F}"/>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0688" name="직선 화살표 연결선 30687">
          <a:extLst>
            <a:ext uri="{FF2B5EF4-FFF2-40B4-BE49-F238E27FC236}">
              <a16:creationId xmlns:a16="http://schemas.microsoft.com/office/drawing/2014/main" id="{256522C6-C969-4F9F-9D9B-850B1DA1F292}"/>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0689" name="1">
          <a:extLst>
            <a:ext uri="{FF2B5EF4-FFF2-40B4-BE49-F238E27FC236}">
              <a16:creationId xmlns:a16="http://schemas.microsoft.com/office/drawing/2014/main" id="{2B493AFF-16A5-4649-9371-7141CAEEB56C}"/>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0690" name="직선 화살표 연결선 30689">
          <a:extLst>
            <a:ext uri="{FF2B5EF4-FFF2-40B4-BE49-F238E27FC236}">
              <a16:creationId xmlns:a16="http://schemas.microsoft.com/office/drawing/2014/main" id="{96C38215-D125-4282-8EAA-510D97F1FAD7}"/>
            </a:ext>
          </a:extLst>
        </xdr:cNvPr>
        <xdr:cNvCxnSpPr/>
      </xdr:nvCxnSpPr>
      <xdr:spPr>
        <a:xfrm>
          <a:off x="12959443" y="891540"/>
          <a:ext cx="22493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1006" name="44">
          <a:extLst>
            <a:ext uri="{FF2B5EF4-FFF2-40B4-BE49-F238E27FC236}">
              <a16:creationId xmlns:a16="http://schemas.microsoft.com/office/drawing/2014/main" id="{56C8EA41-6FBB-458C-B403-9F360CEDB9A1}"/>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1007" name="직선 화살표 연결선 31006">
          <a:extLst>
            <a:ext uri="{FF2B5EF4-FFF2-40B4-BE49-F238E27FC236}">
              <a16:creationId xmlns:a16="http://schemas.microsoft.com/office/drawing/2014/main" id="{4C747C5F-9771-481B-B384-506B9ECD090F}"/>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1008" name="43">
          <a:extLst>
            <a:ext uri="{FF2B5EF4-FFF2-40B4-BE49-F238E27FC236}">
              <a16:creationId xmlns:a16="http://schemas.microsoft.com/office/drawing/2014/main" id="{EB664B66-16C4-46DC-8B4E-8CCB6AF30381}"/>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1009" name="직선 화살표 연결선 31008">
          <a:extLst>
            <a:ext uri="{FF2B5EF4-FFF2-40B4-BE49-F238E27FC236}">
              <a16:creationId xmlns:a16="http://schemas.microsoft.com/office/drawing/2014/main" id="{118309D9-21ED-47F8-8C6E-E7CEA1826D78}"/>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1010" name="42">
          <a:extLst>
            <a:ext uri="{FF2B5EF4-FFF2-40B4-BE49-F238E27FC236}">
              <a16:creationId xmlns:a16="http://schemas.microsoft.com/office/drawing/2014/main" id="{17DD206B-CCD7-4EE9-A128-F868463F44B1}"/>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1011" name="직선 화살표 연결선 31010">
          <a:extLst>
            <a:ext uri="{FF2B5EF4-FFF2-40B4-BE49-F238E27FC236}">
              <a16:creationId xmlns:a16="http://schemas.microsoft.com/office/drawing/2014/main" id="{F48D2900-A97B-43C0-91E0-C7FD3DF31FF8}"/>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1012" name="41">
          <a:extLst>
            <a:ext uri="{FF2B5EF4-FFF2-40B4-BE49-F238E27FC236}">
              <a16:creationId xmlns:a16="http://schemas.microsoft.com/office/drawing/2014/main" id="{9EB033B3-C393-49CD-8D1E-E83E7839F32A}"/>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1013" name="직선 화살표 연결선 31012">
          <a:extLst>
            <a:ext uri="{FF2B5EF4-FFF2-40B4-BE49-F238E27FC236}">
              <a16:creationId xmlns:a16="http://schemas.microsoft.com/office/drawing/2014/main" id="{2B045819-BC77-421D-B6FF-7CB7DCA5F276}"/>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1073" name="10">
          <a:extLst>
            <a:ext uri="{FF2B5EF4-FFF2-40B4-BE49-F238E27FC236}">
              <a16:creationId xmlns:a16="http://schemas.microsoft.com/office/drawing/2014/main" id="{A8D004DB-538E-4B02-B345-523441202947}"/>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1074" name="직선 화살표 연결선 31073">
          <a:extLst>
            <a:ext uri="{FF2B5EF4-FFF2-40B4-BE49-F238E27FC236}">
              <a16:creationId xmlns:a16="http://schemas.microsoft.com/office/drawing/2014/main" id="{1E8456B3-7490-4A6F-BE31-A291AA0AA43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1075" name="9">
          <a:extLst>
            <a:ext uri="{FF2B5EF4-FFF2-40B4-BE49-F238E27FC236}">
              <a16:creationId xmlns:a16="http://schemas.microsoft.com/office/drawing/2014/main" id="{A1C91F46-E9CD-47AC-9DA6-1EDF0711C809}"/>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1076" name="직선 화살표 연결선 31075">
          <a:extLst>
            <a:ext uri="{FF2B5EF4-FFF2-40B4-BE49-F238E27FC236}">
              <a16:creationId xmlns:a16="http://schemas.microsoft.com/office/drawing/2014/main" id="{5E9618A3-C08D-4162-AD6A-8DC5C4D43D6F}"/>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1077" name="8">
          <a:extLst>
            <a:ext uri="{FF2B5EF4-FFF2-40B4-BE49-F238E27FC236}">
              <a16:creationId xmlns:a16="http://schemas.microsoft.com/office/drawing/2014/main" id="{AB086AAD-D45B-4B48-B064-99F542403F35}"/>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1078" name="직선 화살표 연결선 31077">
          <a:extLst>
            <a:ext uri="{FF2B5EF4-FFF2-40B4-BE49-F238E27FC236}">
              <a16:creationId xmlns:a16="http://schemas.microsoft.com/office/drawing/2014/main" id="{3676C839-6097-4F2A-B009-F7FD7842F574}"/>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1079" name="7">
          <a:extLst>
            <a:ext uri="{FF2B5EF4-FFF2-40B4-BE49-F238E27FC236}">
              <a16:creationId xmlns:a16="http://schemas.microsoft.com/office/drawing/2014/main" id="{E73A7B5E-F8B6-4385-9385-762CD161C8B1}"/>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1080" name="6">
          <a:extLst>
            <a:ext uri="{FF2B5EF4-FFF2-40B4-BE49-F238E27FC236}">
              <a16:creationId xmlns:a16="http://schemas.microsoft.com/office/drawing/2014/main" id="{8F27E028-63DA-43D6-AC18-6980C23E062A}"/>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1081" name="직선 화살표 연결선 31080">
          <a:extLst>
            <a:ext uri="{FF2B5EF4-FFF2-40B4-BE49-F238E27FC236}">
              <a16:creationId xmlns:a16="http://schemas.microsoft.com/office/drawing/2014/main" id="{1407F312-8433-4536-8691-C4B193E4B525}"/>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1082" name="5">
          <a:extLst>
            <a:ext uri="{FF2B5EF4-FFF2-40B4-BE49-F238E27FC236}">
              <a16:creationId xmlns:a16="http://schemas.microsoft.com/office/drawing/2014/main" id="{5AE668FD-CAB9-4B9B-9436-D7596C521D11}"/>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1083" name="직선 화살표 연결선 31082">
          <a:extLst>
            <a:ext uri="{FF2B5EF4-FFF2-40B4-BE49-F238E27FC236}">
              <a16:creationId xmlns:a16="http://schemas.microsoft.com/office/drawing/2014/main" id="{08570FBE-3CC3-41D9-884E-EC360BE1E7F3}"/>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1084" name="4">
          <a:extLst>
            <a:ext uri="{FF2B5EF4-FFF2-40B4-BE49-F238E27FC236}">
              <a16:creationId xmlns:a16="http://schemas.microsoft.com/office/drawing/2014/main" id="{B7050004-9180-41DA-B081-EF138CB0A9E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1085" name="직선 화살표 연결선 31084">
          <a:extLst>
            <a:ext uri="{FF2B5EF4-FFF2-40B4-BE49-F238E27FC236}">
              <a16:creationId xmlns:a16="http://schemas.microsoft.com/office/drawing/2014/main" id="{F3DB39AC-F3BF-4771-83FF-7B366FC67A2A}"/>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1086" name="3">
          <a:extLst>
            <a:ext uri="{FF2B5EF4-FFF2-40B4-BE49-F238E27FC236}">
              <a16:creationId xmlns:a16="http://schemas.microsoft.com/office/drawing/2014/main" id="{60FF5CA0-2093-4D0A-81A5-B8D8CC542883}"/>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1087" name="직선 화살표 연결선 31086">
          <a:extLst>
            <a:ext uri="{FF2B5EF4-FFF2-40B4-BE49-F238E27FC236}">
              <a16:creationId xmlns:a16="http://schemas.microsoft.com/office/drawing/2014/main" id="{73D1E183-7900-4C38-AA93-2027AEEE0482}"/>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1088" name="2">
          <a:extLst>
            <a:ext uri="{FF2B5EF4-FFF2-40B4-BE49-F238E27FC236}">
              <a16:creationId xmlns:a16="http://schemas.microsoft.com/office/drawing/2014/main" id="{83167253-480D-4F1E-9977-C707B7FBD514}"/>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1089" name="직선 화살표 연결선 31088">
          <a:extLst>
            <a:ext uri="{FF2B5EF4-FFF2-40B4-BE49-F238E27FC236}">
              <a16:creationId xmlns:a16="http://schemas.microsoft.com/office/drawing/2014/main" id="{36545519-86ED-4D57-BAE4-C52026CCF30F}"/>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1090" name="1">
          <a:extLst>
            <a:ext uri="{FF2B5EF4-FFF2-40B4-BE49-F238E27FC236}">
              <a16:creationId xmlns:a16="http://schemas.microsoft.com/office/drawing/2014/main" id="{11262B03-D76E-4E75-8D6A-3609DFBE44F8}"/>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1091" name="직선 화살표 연결선 31090">
          <a:extLst>
            <a:ext uri="{FF2B5EF4-FFF2-40B4-BE49-F238E27FC236}">
              <a16:creationId xmlns:a16="http://schemas.microsoft.com/office/drawing/2014/main" id="{F0261DA8-109E-4F71-8FE9-2EFF4FEC9BCA}"/>
            </a:ext>
          </a:extLst>
        </xdr:cNvPr>
        <xdr:cNvCxnSpPr/>
      </xdr:nvCxnSpPr>
      <xdr:spPr>
        <a:xfrm>
          <a:off x="12959443" y="891540"/>
          <a:ext cx="22716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1407" name="44">
          <a:extLst>
            <a:ext uri="{FF2B5EF4-FFF2-40B4-BE49-F238E27FC236}">
              <a16:creationId xmlns:a16="http://schemas.microsoft.com/office/drawing/2014/main" id="{2EBF75F5-D796-4202-AE06-EFFA8DF8289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1408" name="직선 화살표 연결선 31407">
          <a:extLst>
            <a:ext uri="{FF2B5EF4-FFF2-40B4-BE49-F238E27FC236}">
              <a16:creationId xmlns:a16="http://schemas.microsoft.com/office/drawing/2014/main" id="{6B91B122-ECA2-4F2B-B270-3E1F61E397AD}"/>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1409" name="43">
          <a:extLst>
            <a:ext uri="{FF2B5EF4-FFF2-40B4-BE49-F238E27FC236}">
              <a16:creationId xmlns:a16="http://schemas.microsoft.com/office/drawing/2014/main" id="{641C0E29-23B1-41DD-A325-ABEDA6B1A568}"/>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1410" name="직선 화살표 연결선 31409">
          <a:extLst>
            <a:ext uri="{FF2B5EF4-FFF2-40B4-BE49-F238E27FC236}">
              <a16:creationId xmlns:a16="http://schemas.microsoft.com/office/drawing/2014/main" id="{9A8FEF08-2FF9-45FA-A287-372C14243327}"/>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1411" name="42">
          <a:extLst>
            <a:ext uri="{FF2B5EF4-FFF2-40B4-BE49-F238E27FC236}">
              <a16:creationId xmlns:a16="http://schemas.microsoft.com/office/drawing/2014/main" id="{D01A6095-C513-41FF-8FD3-1FE1A673A877}"/>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1412" name="직선 화살표 연결선 31411">
          <a:extLst>
            <a:ext uri="{FF2B5EF4-FFF2-40B4-BE49-F238E27FC236}">
              <a16:creationId xmlns:a16="http://schemas.microsoft.com/office/drawing/2014/main" id="{B5BCF21A-6057-4CA6-A4BC-BFE7D0FDA1BA}"/>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1413" name="41">
          <a:extLst>
            <a:ext uri="{FF2B5EF4-FFF2-40B4-BE49-F238E27FC236}">
              <a16:creationId xmlns:a16="http://schemas.microsoft.com/office/drawing/2014/main" id="{FC80555C-3829-4E27-B695-78A0CAAE25C7}"/>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1414" name="직선 화살표 연결선 31413">
          <a:extLst>
            <a:ext uri="{FF2B5EF4-FFF2-40B4-BE49-F238E27FC236}">
              <a16:creationId xmlns:a16="http://schemas.microsoft.com/office/drawing/2014/main" id="{6AAE5DBB-B1B3-49BC-AACF-C6D3BFBC50AB}"/>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1474" name="10">
          <a:extLst>
            <a:ext uri="{FF2B5EF4-FFF2-40B4-BE49-F238E27FC236}">
              <a16:creationId xmlns:a16="http://schemas.microsoft.com/office/drawing/2014/main" id="{C659B4A2-52EE-4A89-BC3E-A18D98407687}"/>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1475" name="직선 화살표 연결선 31474">
          <a:extLst>
            <a:ext uri="{FF2B5EF4-FFF2-40B4-BE49-F238E27FC236}">
              <a16:creationId xmlns:a16="http://schemas.microsoft.com/office/drawing/2014/main" id="{B59C62C9-A278-45D1-900C-34A20C9056C2}"/>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1476" name="9">
          <a:extLst>
            <a:ext uri="{FF2B5EF4-FFF2-40B4-BE49-F238E27FC236}">
              <a16:creationId xmlns:a16="http://schemas.microsoft.com/office/drawing/2014/main" id="{6F9E4BE2-FC8C-4C74-B9EC-1345955C9736}"/>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1477" name="직선 화살표 연결선 31476">
          <a:extLst>
            <a:ext uri="{FF2B5EF4-FFF2-40B4-BE49-F238E27FC236}">
              <a16:creationId xmlns:a16="http://schemas.microsoft.com/office/drawing/2014/main" id="{7501ED08-0D3F-4DDA-8FC3-A2E057F4C308}"/>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1478" name="8">
          <a:extLst>
            <a:ext uri="{FF2B5EF4-FFF2-40B4-BE49-F238E27FC236}">
              <a16:creationId xmlns:a16="http://schemas.microsoft.com/office/drawing/2014/main" id="{26301769-B8AE-465E-B8EF-34E55BA5D80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1479" name="직선 화살표 연결선 31478">
          <a:extLst>
            <a:ext uri="{FF2B5EF4-FFF2-40B4-BE49-F238E27FC236}">
              <a16:creationId xmlns:a16="http://schemas.microsoft.com/office/drawing/2014/main" id="{419D3E12-CB6D-4F2B-8F86-13ADEA8E6A79}"/>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1480" name="7">
          <a:extLst>
            <a:ext uri="{FF2B5EF4-FFF2-40B4-BE49-F238E27FC236}">
              <a16:creationId xmlns:a16="http://schemas.microsoft.com/office/drawing/2014/main" id="{75DC0424-A1DB-4CD0-ADD9-B49761773176}"/>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1481" name="6">
          <a:extLst>
            <a:ext uri="{FF2B5EF4-FFF2-40B4-BE49-F238E27FC236}">
              <a16:creationId xmlns:a16="http://schemas.microsoft.com/office/drawing/2014/main" id="{7F3AFD33-55A8-4A4A-A219-8BD0D9754519}"/>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1482" name="직선 화살표 연결선 31481">
          <a:extLst>
            <a:ext uri="{FF2B5EF4-FFF2-40B4-BE49-F238E27FC236}">
              <a16:creationId xmlns:a16="http://schemas.microsoft.com/office/drawing/2014/main" id="{32BABC18-3838-45C3-8F58-E72196FF21F6}"/>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1483" name="5">
          <a:extLst>
            <a:ext uri="{FF2B5EF4-FFF2-40B4-BE49-F238E27FC236}">
              <a16:creationId xmlns:a16="http://schemas.microsoft.com/office/drawing/2014/main" id="{D963E3E0-8C63-404C-87CC-37A351F6A75B}"/>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1484" name="직선 화살표 연결선 31483">
          <a:extLst>
            <a:ext uri="{FF2B5EF4-FFF2-40B4-BE49-F238E27FC236}">
              <a16:creationId xmlns:a16="http://schemas.microsoft.com/office/drawing/2014/main" id="{4AD2C610-2B23-4383-A0D1-885DEFBA6D42}"/>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1485" name="4">
          <a:extLst>
            <a:ext uri="{FF2B5EF4-FFF2-40B4-BE49-F238E27FC236}">
              <a16:creationId xmlns:a16="http://schemas.microsoft.com/office/drawing/2014/main" id="{8F1C2AB7-7387-4FF9-B5E5-A07618205109}"/>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1486" name="직선 화살표 연결선 31485">
          <a:extLst>
            <a:ext uri="{FF2B5EF4-FFF2-40B4-BE49-F238E27FC236}">
              <a16:creationId xmlns:a16="http://schemas.microsoft.com/office/drawing/2014/main" id="{CBACD0B0-75CB-4A44-BF19-12270F54FB86}"/>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1487" name="3">
          <a:extLst>
            <a:ext uri="{FF2B5EF4-FFF2-40B4-BE49-F238E27FC236}">
              <a16:creationId xmlns:a16="http://schemas.microsoft.com/office/drawing/2014/main" id="{31841709-2CCB-474D-8A76-F67A4739FD03}"/>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1488" name="직선 화살표 연결선 31487">
          <a:extLst>
            <a:ext uri="{FF2B5EF4-FFF2-40B4-BE49-F238E27FC236}">
              <a16:creationId xmlns:a16="http://schemas.microsoft.com/office/drawing/2014/main" id="{CDFE86E7-39CC-4092-85F9-1ACB3E17770B}"/>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1489" name="2">
          <a:extLst>
            <a:ext uri="{FF2B5EF4-FFF2-40B4-BE49-F238E27FC236}">
              <a16:creationId xmlns:a16="http://schemas.microsoft.com/office/drawing/2014/main" id="{FCC550FA-8675-452F-B812-17C38D8FC731}"/>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1490" name="직선 화살표 연결선 31489">
          <a:extLst>
            <a:ext uri="{FF2B5EF4-FFF2-40B4-BE49-F238E27FC236}">
              <a16:creationId xmlns:a16="http://schemas.microsoft.com/office/drawing/2014/main" id="{555911AC-4CCF-44F3-977C-D9501F227A37}"/>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1491" name="1">
          <a:extLst>
            <a:ext uri="{FF2B5EF4-FFF2-40B4-BE49-F238E27FC236}">
              <a16:creationId xmlns:a16="http://schemas.microsoft.com/office/drawing/2014/main" id="{2AC87F79-C1D3-460A-A369-11DE39036A54}"/>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1492" name="직선 화살표 연결선 31491">
          <a:extLst>
            <a:ext uri="{FF2B5EF4-FFF2-40B4-BE49-F238E27FC236}">
              <a16:creationId xmlns:a16="http://schemas.microsoft.com/office/drawing/2014/main" id="{7B87F70E-9E88-429F-A7C4-7D294A5518DE}"/>
            </a:ext>
          </a:extLst>
        </xdr:cNvPr>
        <xdr:cNvCxnSpPr/>
      </xdr:nvCxnSpPr>
      <xdr:spPr>
        <a:xfrm>
          <a:off x="12959443" y="891540"/>
          <a:ext cx="22911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1808" name="44">
          <a:extLst>
            <a:ext uri="{FF2B5EF4-FFF2-40B4-BE49-F238E27FC236}">
              <a16:creationId xmlns:a16="http://schemas.microsoft.com/office/drawing/2014/main" id="{4E99D2A4-8C28-49D0-A78D-133B67E6F60E}"/>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1809" name="직선 화살표 연결선 31808">
          <a:extLst>
            <a:ext uri="{FF2B5EF4-FFF2-40B4-BE49-F238E27FC236}">
              <a16:creationId xmlns:a16="http://schemas.microsoft.com/office/drawing/2014/main" id="{1DC25556-7817-4BE7-BFED-C723A0DF2842}"/>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1810" name="43">
          <a:extLst>
            <a:ext uri="{FF2B5EF4-FFF2-40B4-BE49-F238E27FC236}">
              <a16:creationId xmlns:a16="http://schemas.microsoft.com/office/drawing/2014/main" id="{6FA5EA7A-7138-48DB-A5A5-6A32978CD6BA}"/>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1811" name="직선 화살표 연결선 31810">
          <a:extLst>
            <a:ext uri="{FF2B5EF4-FFF2-40B4-BE49-F238E27FC236}">
              <a16:creationId xmlns:a16="http://schemas.microsoft.com/office/drawing/2014/main" id="{92D0901C-3F1C-4FE3-A164-71985B5557EA}"/>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1812" name="42">
          <a:extLst>
            <a:ext uri="{FF2B5EF4-FFF2-40B4-BE49-F238E27FC236}">
              <a16:creationId xmlns:a16="http://schemas.microsoft.com/office/drawing/2014/main" id="{7083636F-2F05-4238-93DE-E9347DF3E6B4}"/>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1813" name="직선 화살표 연결선 31812">
          <a:extLst>
            <a:ext uri="{FF2B5EF4-FFF2-40B4-BE49-F238E27FC236}">
              <a16:creationId xmlns:a16="http://schemas.microsoft.com/office/drawing/2014/main" id="{5A7A2ECD-BCBD-4FC8-8942-DB1CD4786FB9}"/>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1814" name="41">
          <a:extLst>
            <a:ext uri="{FF2B5EF4-FFF2-40B4-BE49-F238E27FC236}">
              <a16:creationId xmlns:a16="http://schemas.microsoft.com/office/drawing/2014/main" id="{64ADC2DB-D89F-49FA-9827-6AAF9DBFDDBE}"/>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1815" name="직선 화살표 연결선 31814">
          <a:extLst>
            <a:ext uri="{FF2B5EF4-FFF2-40B4-BE49-F238E27FC236}">
              <a16:creationId xmlns:a16="http://schemas.microsoft.com/office/drawing/2014/main" id="{AB829A6A-5D07-44BB-B104-E07DAD93AA3E}"/>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1875" name="10">
          <a:extLst>
            <a:ext uri="{FF2B5EF4-FFF2-40B4-BE49-F238E27FC236}">
              <a16:creationId xmlns:a16="http://schemas.microsoft.com/office/drawing/2014/main" id="{5D556E5E-2B1E-46A3-83E1-70B91605A643}"/>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1876" name="직선 화살표 연결선 31875">
          <a:extLst>
            <a:ext uri="{FF2B5EF4-FFF2-40B4-BE49-F238E27FC236}">
              <a16:creationId xmlns:a16="http://schemas.microsoft.com/office/drawing/2014/main" id="{3BAF0197-1188-47BC-AC24-80BA34850B28}"/>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1877" name="9">
          <a:extLst>
            <a:ext uri="{FF2B5EF4-FFF2-40B4-BE49-F238E27FC236}">
              <a16:creationId xmlns:a16="http://schemas.microsoft.com/office/drawing/2014/main" id="{89631768-6E18-45E3-97E8-763D2BFBCCCC}"/>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1878" name="직선 화살표 연결선 31877">
          <a:extLst>
            <a:ext uri="{FF2B5EF4-FFF2-40B4-BE49-F238E27FC236}">
              <a16:creationId xmlns:a16="http://schemas.microsoft.com/office/drawing/2014/main" id="{F6B6DD81-125A-4D49-83B2-E15221101143}"/>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1879" name="8">
          <a:extLst>
            <a:ext uri="{FF2B5EF4-FFF2-40B4-BE49-F238E27FC236}">
              <a16:creationId xmlns:a16="http://schemas.microsoft.com/office/drawing/2014/main" id="{D2909B8A-D80E-4D03-A48C-E712ED091461}"/>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1880" name="직선 화살표 연결선 31879">
          <a:extLst>
            <a:ext uri="{FF2B5EF4-FFF2-40B4-BE49-F238E27FC236}">
              <a16:creationId xmlns:a16="http://schemas.microsoft.com/office/drawing/2014/main" id="{BDE6E290-C85C-4D4B-8B85-28040B441489}"/>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1881" name="7">
          <a:extLst>
            <a:ext uri="{FF2B5EF4-FFF2-40B4-BE49-F238E27FC236}">
              <a16:creationId xmlns:a16="http://schemas.microsoft.com/office/drawing/2014/main" id="{6557AA3E-9C7B-4133-8FB2-84F1E75D1173}"/>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1882" name="6">
          <a:extLst>
            <a:ext uri="{FF2B5EF4-FFF2-40B4-BE49-F238E27FC236}">
              <a16:creationId xmlns:a16="http://schemas.microsoft.com/office/drawing/2014/main" id="{F67DF1C8-439B-41FF-BF3D-BAAA2C707FFE}"/>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1883" name="직선 화살표 연결선 31882">
          <a:extLst>
            <a:ext uri="{FF2B5EF4-FFF2-40B4-BE49-F238E27FC236}">
              <a16:creationId xmlns:a16="http://schemas.microsoft.com/office/drawing/2014/main" id="{87BDDAB6-D0C1-4EEC-B571-ED7B2A83C053}"/>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1884" name="5">
          <a:extLst>
            <a:ext uri="{FF2B5EF4-FFF2-40B4-BE49-F238E27FC236}">
              <a16:creationId xmlns:a16="http://schemas.microsoft.com/office/drawing/2014/main" id="{72AA14DB-F6CB-4113-B462-34E218F67BE9}"/>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1885" name="직선 화살표 연결선 31884">
          <a:extLst>
            <a:ext uri="{FF2B5EF4-FFF2-40B4-BE49-F238E27FC236}">
              <a16:creationId xmlns:a16="http://schemas.microsoft.com/office/drawing/2014/main" id="{DFAFF03C-4A2F-4A43-B649-F423D7D9097E}"/>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1886" name="4">
          <a:extLst>
            <a:ext uri="{FF2B5EF4-FFF2-40B4-BE49-F238E27FC236}">
              <a16:creationId xmlns:a16="http://schemas.microsoft.com/office/drawing/2014/main" id="{008850D2-A1E0-4E5A-A4A3-A703DC17707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1887" name="직선 화살표 연결선 31886">
          <a:extLst>
            <a:ext uri="{FF2B5EF4-FFF2-40B4-BE49-F238E27FC236}">
              <a16:creationId xmlns:a16="http://schemas.microsoft.com/office/drawing/2014/main" id="{9E8C2A2E-179C-4C99-9D32-74902237312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1888" name="3">
          <a:extLst>
            <a:ext uri="{FF2B5EF4-FFF2-40B4-BE49-F238E27FC236}">
              <a16:creationId xmlns:a16="http://schemas.microsoft.com/office/drawing/2014/main" id="{44A1D2FE-A9B8-4DCD-8FC7-B93B64000BC0}"/>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1889" name="직선 화살표 연결선 31888">
          <a:extLst>
            <a:ext uri="{FF2B5EF4-FFF2-40B4-BE49-F238E27FC236}">
              <a16:creationId xmlns:a16="http://schemas.microsoft.com/office/drawing/2014/main" id="{49821B28-9B2E-490B-ACEE-ACA0AE26FCB0}"/>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1890" name="2">
          <a:extLst>
            <a:ext uri="{FF2B5EF4-FFF2-40B4-BE49-F238E27FC236}">
              <a16:creationId xmlns:a16="http://schemas.microsoft.com/office/drawing/2014/main" id="{C9F0DC61-80CE-4AA5-B58C-93AB48327BF8}"/>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1891" name="직선 화살표 연결선 31890">
          <a:extLst>
            <a:ext uri="{FF2B5EF4-FFF2-40B4-BE49-F238E27FC236}">
              <a16:creationId xmlns:a16="http://schemas.microsoft.com/office/drawing/2014/main" id="{490CB9D4-EC9A-415F-8FB5-EE46A3AD050F}"/>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1892" name="1">
          <a:extLst>
            <a:ext uri="{FF2B5EF4-FFF2-40B4-BE49-F238E27FC236}">
              <a16:creationId xmlns:a16="http://schemas.microsoft.com/office/drawing/2014/main" id="{392EF3C0-7228-4A82-8A12-5E1A689677C9}"/>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1893" name="직선 화살표 연결선 31892">
          <a:extLst>
            <a:ext uri="{FF2B5EF4-FFF2-40B4-BE49-F238E27FC236}">
              <a16:creationId xmlns:a16="http://schemas.microsoft.com/office/drawing/2014/main" id="{C375AE3C-C766-4D38-90B6-E4A679611974}"/>
            </a:ext>
          </a:extLst>
        </xdr:cNvPr>
        <xdr:cNvCxnSpPr/>
      </xdr:nvCxnSpPr>
      <xdr:spPr>
        <a:xfrm>
          <a:off x="12959443" y="891540"/>
          <a:ext cx="22864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2209" name="44">
          <a:extLst>
            <a:ext uri="{FF2B5EF4-FFF2-40B4-BE49-F238E27FC236}">
              <a16:creationId xmlns:a16="http://schemas.microsoft.com/office/drawing/2014/main" id="{9BA4E6C8-24AF-4B44-81BF-FBC461EAF1CA}"/>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2210" name="직선 화살표 연결선 32209">
          <a:extLst>
            <a:ext uri="{FF2B5EF4-FFF2-40B4-BE49-F238E27FC236}">
              <a16:creationId xmlns:a16="http://schemas.microsoft.com/office/drawing/2014/main" id="{2BFC5812-17D4-46E3-8F06-027033562B00}"/>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2211" name="43">
          <a:extLst>
            <a:ext uri="{FF2B5EF4-FFF2-40B4-BE49-F238E27FC236}">
              <a16:creationId xmlns:a16="http://schemas.microsoft.com/office/drawing/2014/main" id="{134CBE24-850D-4666-B2BE-65634B384F0D}"/>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2212" name="직선 화살표 연결선 32211">
          <a:extLst>
            <a:ext uri="{FF2B5EF4-FFF2-40B4-BE49-F238E27FC236}">
              <a16:creationId xmlns:a16="http://schemas.microsoft.com/office/drawing/2014/main" id="{62564397-2900-48EB-8EB2-52EA9CB925F1}"/>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2213" name="42">
          <a:extLst>
            <a:ext uri="{FF2B5EF4-FFF2-40B4-BE49-F238E27FC236}">
              <a16:creationId xmlns:a16="http://schemas.microsoft.com/office/drawing/2014/main" id="{49C426A9-1589-44F5-ACF4-333AACE09F4A}"/>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2214" name="직선 화살표 연결선 32213">
          <a:extLst>
            <a:ext uri="{FF2B5EF4-FFF2-40B4-BE49-F238E27FC236}">
              <a16:creationId xmlns:a16="http://schemas.microsoft.com/office/drawing/2014/main" id="{EB42910E-8CB2-47D4-8E43-B72A7A94C495}"/>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2215" name="41">
          <a:extLst>
            <a:ext uri="{FF2B5EF4-FFF2-40B4-BE49-F238E27FC236}">
              <a16:creationId xmlns:a16="http://schemas.microsoft.com/office/drawing/2014/main" id="{8BB3933C-AD13-4DF7-9747-753113C712DB}"/>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2216" name="직선 화살표 연결선 32215">
          <a:extLst>
            <a:ext uri="{FF2B5EF4-FFF2-40B4-BE49-F238E27FC236}">
              <a16:creationId xmlns:a16="http://schemas.microsoft.com/office/drawing/2014/main" id="{22535988-F943-4168-AB2C-F6D5069B81D6}"/>
            </a:ext>
          </a:extLst>
        </xdr:cNvPr>
        <xdr:cNvCxnSpPr/>
      </xdr:nvCxnSpPr>
      <xdr:spPr>
        <a:xfrm>
          <a:off x="12959443" y="6987540"/>
          <a:ext cx="540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2276" name="10">
          <a:extLst>
            <a:ext uri="{FF2B5EF4-FFF2-40B4-BE49-F238E27FC236}">
              <a16:creationId xmlns:a16="http://schemas.microsoft.com/office/drawing/2014/main" id="{12DBC86E-056C-4BBA-A041-BC60E1CFB8B1}"/>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2277" name="직선 화살표 연결선 32276">
          <a:extLst>
            <a:ext uri="{FF2B5EF4-FFF2-40B4-BE49-F238E27FC236}">
              <a16:creationId xmlns:a16="http://schemas.microsoft.com/office/drawing/2014/main" id="{DD98CDA2-91CF-4F26-B1EF-561765730057}"/>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2278" name="9">
          <a:extLst>
            <a:ext uri="{FF2B5EF4-FFF2-40B4-BE49-F238E27FC236}">
              <a16:creationId xmlns:a16="http://schemas.microsoft.com/office/drawing/2014/main" id="{3591AA58-62AB-4FAA-BFF3-ED5AB8A17338}"/>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2279" name="직선 화살표 연결선 32278">
          <a:extLst>
            <a:ext uri="{FF2B5EF4-FFF2-40B4-BE49-F238E27FC236}">
              <a16:creationId xmlns:a16="http://schemas.microsoft.com/office/drawing/2014/main" id="{2B3A1FF0-9A0A-493F-A655-9B54EB78FBD4}"/>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2280" name="8">
          <a:extLst>
            <a:ext uri="{FF2B5EF4-FFF2-40B4-BE49-F238E27FC236}">
              <a16:creationId xmlns:a16="http://schemas.microsoft.com/office/drawing/2014/main" id="{F0DD4310-8F50-47EE-870D-7025CA567DA7}"/>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2281" name="직선 화살표 연결선 32280">
          <a:extLst>
            <a:ext uri="{FF2B5EF4-FFF2-40B4-BE49-F238E27FC236}">
              <a16:creationId xmlns:a16="http://schemas.microsoft.com/office/drawing/2014/main" id="{BBAE3E52-62D3-4164-BD49-DC016D07AE07}"/>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2282" name="7">
          <a:extLst>
            <a:ext uri="{FF2B5EF4-FFF2-40B4-BE49-F238E27FC236}">
              <a16:creationId xmlns:a16="http://schemas.microsoft.com/office/drawing/2014/main" id="{40B0AAD2-F848-4B4C-B865-C2B6AF820726}"/>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2283" name="6">
          <a:extLst>
            <a:ext uri="{FF2B5EF4-FFF2-40B4-BE49-F238E27FC236}">
              <a16:creationId xmlns:a16="http://schemas.microsoft.com/office/drawing/2014/main" id="{65AE100B-DCE8-4B39-9262-C3EB6868E1C0}"/>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2284" name="직선 화살표 연결선 32283">
          <a:extLst>
            <a:ext uri="{FF2B5EF4-FFF2-40B4-BE49-F238E27FC236}">
              <a16:creationId xmlns:a16="http://schemas.microsoft.com/office/drawing/2014/main" id="{4C24399E-4225-4B11-899A-209E6B45B139}"/>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2285" name="5">
          <a:extLst>
            <a:ext uri="{FF2B5EF4-FFF2-40B4-BE49-F238E27FC236}">
              <a16:creationId xmlns:a16="http://schemas.microsoft.com/office/drawing/2014/main" id="{4623A420-A981-44F1-BC51-8064ED299AB9}"/>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2286" name="직선 화살표 연결선 32285">
          <a:extLst>
            <a:ext uri="{FF2B5EF4-FFF2-40B4-BE49-F238E27FC236}">
              <a16:creationId xmlns:a16="http://schemas.microsoft.com/office/drawing/2014/main" id="{FE83CF00-DD8D-494F-A4CB-ACD70DACBE54}"/>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2287" name="4">
          <a:extLst>
            <a:ext uri="{FF2B5EF4-FFF2-40B4-BE49-F238E27FC236}">
              <a16:creationId xmlns:a16="http://schemas.microsoft.com/office/drawing/2014/main" id="{C3D3AA5F-5E8A-4BB0-AE8D-52289C953F52}"/>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2288" name="직선 화살표 연결선 32287">
          <a:extLst>
            <a:ext uri="{FF2B5EF4-FFF2-40B4-BE49-F238E27FC236}">
              <a16:creationId xmlns:a16="http://schemas.microsoft.com/office/drawing/2014/main" id="{2E43759C-CF8C-4D95-BAC5-F93B5CCAAE4D}"/>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2289" name="3">
          <a:extLst>
            <a:ext uri="{FF2B5EF4-FFF2-40B4-BE49-F238E27FC236}">
              <a16:creationId xmlns:a16="http://schemas.microsoft.com/office/drawing/2014/main" id="{CCF04269-3608-4D89-B8AB-B1130379920D}"/>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2290" name="직선 화살표 연결선 32289">
          <a:extLst>
            <a:ext uri="{FF2B5EF4-FFF2-40B4-BE49-F238E27FC236}">
              <a16:creationId xmlns:a16="http://schemas.microsoft.com/office/drawing/2014/main" id="{2FE40A1E-A3BF-4F66-8504-2B6B2BD776CC}"/>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2291" name="2">
          <a:extLst>
            <a:ext uri="{FF2B5EF4-FFF2-40B4-BE49-F238E27FC236}">
              <a16:creationId xmlns:a16="http://schemas.microsoft.com/office/drawing/2014/main" id="{7679414E-1C28-4A17-AB99-2E884B330B06}"/>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2292" name="직선 화살표 연결선 32291">
          <a:extLst>
            <a:ext uri="{FF2B5EF4-FFF2-40B4-BE49-F238E27FC236}">
              <a16:creationId xmlns:a16="http://schemas.microsoft.com/office/drawing/2014/main" id="{F176F75E-E596-4090-8186-13306E909828}"/>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2293" name="1">
          <a:extLst>
            <a:ext uri="{FF2B5EF4-FFF2-40B4-BE49-F238E27FC236}">
              <a16:creationId xmlns:a16="http://schemas.microsoft.com/office/drawing/2014/main" id="{24867D0A-55D4-4980-8F5C-294F24867BAF}"/>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2294" name="직선 화살표 연결선 32293">
          <a:extLst>
            <a:ext uri="{FF2B5EF4-FFF2-40B4-BE49-F238E27FC236}">
              <a16:creationId xmlns:a16="http://schemas.microsoft.com/office/drawing/2014/main" id="{2181BAAD-3021-4663-BDC7-55CC0C087762}"/>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5016" name="44">
          <a:extLst>
            <a:ext uri="{FF2B5EF4-FFF2-40B4-BE49-F238E27FC236}">
              <a16:creationId xmlns:a16="http://schemas.microsoft.com/office/drawing/2014/main" id="{0916806B-22BF-4AC7-8235-A327181B02E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5017" name="직선 화살표 연결선 35016">
          <a:extLst>
            <a:ext uri="{FF2B5EF4-FFF2-40B4-BE49-F238E27FC236}">
              <a16:creationId xmlns:a16="http://schemas.microsoft.com/office/drawing/2014/main" id="{0C095A77-F18F-45DA-AD41-F8913501D96D}"/>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5018" name="43">
          <a:extLst>
            <a:ext uri="{FF2B5EF4-FFF2-40B4-BE49-F238E27FC236}">
              <a16:creationId xmlns:a16="http://schemas.microsoft.com/office/drawing/2014/main" id="{08445530-B446-4C81-80C7-52618BC85907}"/>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5019" name="직선 화살표 연결선 35018">
          <a:extLst>
            <a:ext uri="{FF2B5EF4-FFF2-40B4-BE49-F238E27FC236}">
              <a16:creationId xmlns:a16="http://schemas.microsoft.com/office/drawing/2014/main" id="{5E3E5E92-2E1F-4C85-A757-5D6CD22A04E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5020" name="42">
          <a:extLst>
            <a:ext uri="{FF2B5EF4-FFF2-40B4-BE49-F238E27FC236}">
              <a16:creationId xmlns:a16="http://schemas.microsoft.com/office/drawing/2014/main" id="{E1BC0E08-F5C4-4A2E-B485-C1A5843BAE05}"/>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5021" name="직선 화살표 연결선 35020">
          <a:extLst>
            <a:ext uri="{FF2B5EF4-FFF2-40B4-BE49-F238E27FC236}">
              <a16:creationId xmlns:a16="http://schemas.microsoft.com/office/drawing/2014/main" id="{72D40B12-15FA-41BB-AADE-CA747D0AD2CF}"/>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5022" name="41">
          <a:extLst>
            <a:ext uri="{FF2B5EF4-FFF2-40B4-BE49-F238E27FC236}">
              <a16:creationId xmlns:a16="http://schemas.microsoft.com/office/drawing/2014/main" id="{054D29C3-1010-466D-90F7-82B89EC94F7C}"/>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5023" name="직선 화살표 연결선 35022">
          <a:extLst>
            <a:ext uri="{FF2B5EF4-FFF2-40B4-BE49-F238E27FC236}">
              <a16:creationId xmlns:a16="http://schemas.microsoft.com/office/drawing/2014/main" id="{EA1076EB-6F04-4B72-80FB-AE8536337A2A}"/>
            </a:ext>
          </a:extLst>
        </xdr:cNvPr>
        <xdr:cNvCxnSpPr/>
      </xdr:nvCxnSpPr>
      <xdr:spPr>
        <a:xfrm>
          <a:off x="12959443" y="6987540"/>
          <a:ext cx="5977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5083" name="10">
          <a:extLst>
            <a:ext uri="{FF2B5EF4-FFF2-40B4-BE49-F238E27FC236}">
              <a16:creationId xmlns:a16="http://schemas.microsoft.com/office/drawing/2014/main" id="{3917BDC7-FF14-4A6A-9FE7-C0917DECD4BC}"/>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5084" name="직선 화살표 연결선 35083">
          <a:extLst>
            <a:ext uri="{FF2B5EF4-FFF2-40B4-BE49-F238E27FC236}">
              <a16:creationId xmlns:a16="http://schemas.microsoft.com/office/drawing/2014/main" id="{3AAB7451-D945-453B-978A-456339C07948}"/>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5085" name="9">
          <a:extLst>
            <a:ext uri="{FF2B5EF4-FFF2-40B4-BE49-F238E27FC236}">
              <a16:creationId xmlns:a16="http://schemas.microsoft.com/office/drawing/2014/main" id="{F2DF6883-8C06-4041-A5B2-CA1FB899C3EA}"/>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5086" name="직선 화살표 연결선 35085">
          <a:extLst>
            <a:ext uri="{FF2B5EF4-FFF2-40B4-BE49-F238E27FC236}">
              <a16:creationId xmlns:a16="http://schemas.microsoft.com/office/drawing/2014/main" id="{A004933A-79A9-408C-9309-C7B86BCECDAD}"/>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5087" name="8">
          <a:extLst>
            <a:ext uri="{FF2B5EF4-FFF2-40B4-BE49-F238E27FC236}">
              <a16:creationId xmlns:a16="http://schemas.microsoft.com/office/drawing/2014/main" id="{8189676C-7CEE-4FD8-99DB-A8526A3A12C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5088" name="직선 화살표 연결선 35087">
          <a:extLst>
            <a:ext uri="{FF2B5EF4-FFF2-40B4-BE49-F238E27FC236}">
              <a16:creationId xmlns:a16="http://schemas.microsoft.com/office/drawing/2014/main" id="{AAACDCD3-FF1D-4EA1-9B01-E61F83C27496}"/>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5089" name="7">
          <a:extLst>
            <a:ext uri="{FF2B5EF4-FFF2-40B4-BE49-F238E27FC236}">
              <a16:creationId xmlns:a16="http://schemas.microsoft.com/office/drawing/2014/main" id="{42D3E9E5-7AA9-4F5B-8790-82AEE207EFA0}"/>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5090" name="6">
          <a:extLst>
            <a:ext uri="{FF2B5EF4-FFF2-40B4-BE49-F238E27FC236}">
              <a16:creationId xmlns:a16="http://schemas.microsoft.com/office/drawing/2014/main" id="{2E43D810-CF15-4DDD-8EDD-6421B5C33F51}"/>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5091" name="직선 화살표 연결선 35090">
          <a:extLst>
            <a:ext uri="{FF2B5EF4-FFF2-40B4-BE49-F238E27FC236}">
              <a16:creationId xmlns:a16="http://schemas.microsoft.com/office/drawing/2014/main" id="{458C2C8C-2A48-4E12-9496-3950769DB22C}"/>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5092" name="5">
          <a:extLst>
            <a:ext uri="{FF2B5EF4-FFF2-40B4-BE49-F238E27FC236}">
              <a16:creationId xmlns:a16="http://schemas.microsoft.com/office/drawing/2014/main" id="{C5D39402-8B05-4384-8E5C-D93F8B04C08C}"/>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5093" name="직선 화살표 연결선 35092">
          <a:extLst>
            <a:ext uri="{FF2B5EF4-FFF2-40B4-BE49-F238E27FC236}">
              <a16:creationId xmlns:a16="http://schemas.microsoft.com/office/drawing/2014/main" id="{F802938B-4C7D-4990-AA87-D51FF021ECA2}"/>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5094" name="4">
          <a:extLst>
            <a:ext uri="{FF2B5EF4-FFF2-40B4-BE49-F238E27FC236}">
              <a16:creationId xmlns:a16="http://schemas.microsoft.com/office/drawing/2014/main" id="{1979E056-ED7D-448D-BF5B-F5B362F99284}"/>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5095" name="직선 화살표 연결선 35094">
          <a:extLst>
            <a:ext uri="{FF2B5EF4-FFF2-40B4-BE49-F238E27FC236}">
              <a16:creationId xmlns:a16="http://schemas.microsoft.com/office/drawing/2014/main" id="{22A35C8E-EFCD-4BDB-A71A-C6C124D30476}"/>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5096" name="3">
          <a:extLst>
            <a:ext uri="{FF2B5EF4-FFF2-40B4-BE49-F238E27FC236}">
              <a16:creationId xmlns:a16="http://schemas.microsoft.com/office/drawing/2014/main" id="{D5919A3A-4662-4027-86EC-10B194E2D283}"/>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5097" name="직선 화살표 연결선 35096">
          <a:extLst>
            <a:ext uri="{FF2B5EF4-FFF2-40B4-BE49-F238E27FC236}">
              <a16:creationId xmlns:a16="http://schemas.microsoft.com/office/drawing/2014/main" id="{679B86D2-9A0F-49A8-98FF-4D000B2F96C0}"/>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5098" name="2">
          <a:extLst>
            <a:ext uri="{FF2B5EF4-FFF2-40B4-BE49-F238E27FC236}">
              <a16:creationId xmlns:a16="http://schemas.microsoft.com/office/drawing/2014/main" id="{03177C76-30E6-4D12-9C2B-F6BB0F7FA538}"/>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5099" name="직선 화살표 연결선 35098">
          <a:extLst>
            <a:ext uri="{FF2B5EF4-FFF2-40B4-BE49-F238E27FC236}">
              <a16:creationId xmlns:a16="http://schemas.microsoft.com/office/drawing/2014/main" id="{352A7D22-7A51-4EBC-BA65-F5D070AB940A}"/>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5100" name="1">
          <a:extLst>
            <a:ext uri="{FF2B5EF4-FFF2-40B4-BE49-F238E27FC236}">
              <a16:creationId xmlns:a16="http://schemas.microsoft.com/office/drawing/2014/main" id="{C4B23726-5979-4B44-B8BB-2C281E3F2C30}"/>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5101" name="직선 화살표 연결선 35100">
          <a:extLst>
            <a:ext uri="{FF2B5EF4-FFF2-40B4-BE49-F238E27FC236}">
              <a16:creationId xmlns:a16="http://schemas.microsoft.com/office/drawing/2014/main" id="{FB809BE9-221D-471C-BAD0-E6F0010FC256}"/>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5417" name="44">
          <a:extLst>
            <a:ext uri="{FF2B5EF4-FFF2-40B4-BE49-F238E27FC236}">
              <a16:creationId xmlns:a16="http://schemas.microsoft.com/office/drawing/2014/main" id="{E102045C-DE65-4E8B-B698-B3008DF951B9}"/>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5418" name="직선 화살표 연결선 35417">
          <a:extLst>
            <a:ext uri="{FF2B5EF4-FFF2-40B4-BE49-F238E27FC236}">
              <a16:creationId xmlns:a16="http://schemas.microsoft.com/office/drawing/2014/main" id="{F3E33D1E-F978-4F6E-AB3E-3D5E046EEB14}"/>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5419" name="43">
          <a:extLst>
            <a:ext uri="{FF2B5EF4-FFF2-40B4-BE49-F238E27FC236}">
              <a16:creationId xmlns:a16="http://schemas.microsoft.com/office/drawing/2014/main" id="{1910A9F1-ED1A-4BEE-AF2A-ABD6E9FBC05E}"/>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5420" name="직선 화살표 연결선 35419">
          <a:extLst>
            <a:ext uri="{FF2B5EF4-FFF2-40B4-BE49-F238E27FC236}">
              <a16:creationId xmlns:a16="http://schemas.microsoft.com/office/drawing/2014/main" id="{B4CF5A37-EC80-43BE-B4ED-E25A675AE7F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5421" name="42">
          <a:extLst>
            <a:ext uri="{FF2B5EF4-FFF2-40B4-BE49-F238E27FC236}">
              <a16:creationId xmlns:a16="http://schemas.microsoft.com/office/drawing/2014/main" id="{21D15088-CE13-497D-A2DD-8B8DE327EB9A}"/>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5422" name="직선 화살표 연결선 35421">
          <a:extLst>
            <a:ext uri="{FF2B5EF4-FFF2-40B4-BE49-F238E27FC236}">
              <a16:creationId xmlns:a16="http://schemas.microsoft.com/office/drawing/2014/main" id="{EB7418FC-D505-4B30-85B5-3808A6536132}"/>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5423" name="41">
          <a:extLst>
            <a:ext uri="{FF2B5EF4-FFF2-40B4-BE49-F238E27FC236}">
              <a16:creationId xmlns:a16="http://schemas.microsoft.com/office/drawing/2014/main" id="{A1639902-8DCE-4955-AFF9-581CE5BD89CA}"/>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5424" name="직선 화살표 연결선 35423">
          <a:extLst>
            <a:ext uri="{FF2B5EF4-FFF2-40B4-BE49-F238E27FC236}">
              <a16:creationId xmlns:a16="http://schemas.microsoft.com/office/drawing/2014/main" id="{E76CE35E-0883-4882-9D54-827C97CCF3F7}"/>
            </a:ext>
          </a:extLst>
        </xdr:cNvPr>
        <xdr:cNvCxnSpPr/>
      </xdr:nvCxnSpPr>
      <xdr:spPr>
        <a:xfrm>
          <a:off x="12959443" y="6987540"/>
          <a:ext cx="6332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5484" name="10">
          <a:extLst>
            <a:ext uri="{FF2B5EF4-FFF2-40B4-BE49-F238E27FC236}">
              <a16:creationId xmlns:a16="http://schemas.microsoft.com/office/drawing/2014/main" id="{3CE95B3F-517A-4B88-BD53-5A44A61310BA}"/>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5485" name="직선 화살표 연결선 35484">
          <a:extLst>
            <a:ext uri="{FF2B5EF4-FFF2-40B4-BE49-F238E27FC236}">
              <a16:creationId xmlns:a16="http://schemas.microsoft.com/office/drawing/2014/main" id="{89857BE8-627F-498C-B5C4-346E11AE8C58}"/>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5486" name="9">
          <a:extLst>
            <a:ext uri="{FF2B5EF4-FFF2-40B4-BE49-F238E27FC236}">
              <a16:creationId xmlns:a16="http://schemas.microsoft.com/office/drawing/2014/main" id="{68D0E072-AE87-4555-8E4F-D87420ECFD98}"/>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5487" name="직선 화살표 연결선 35486">
          <a:extLst>
            <a:ext uri="{FF2B5EF4-FFF2-40B4-BE49-F238E27FC236}">
              <a16:creationId xmlns:a16="http://schemas.microsoft.com/office/drawing/2014/main" id="{CAD2AB6C-AFF1-49CA-8EE5-2368C9B356E2}"/>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5488" name="8">
          <a:extLst>
            <a:ext uri="{FF2B5EF4-FFF2-40B4-BE49-F238E27FC236}">
              <a16:creationId xmlns:a16="http://schemas.microsoft.com/office/drawing/2014/main" id="{756A3CCF-539C-4A7C-AACD-608031670411}"/>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5489" name="직선 화살표 연결선 35488">
          <a:extLst>
            <a:ext uri="{FF2B5EF4-FFF2-40B4-BE49-F238E27FC236}">
              <a16:creationId xmlns:a16="http://schemas.microsoft.com/office/drawing/2014/main" id="{D2766EB2-560A-4C62-A294-7989890CBA16}"/>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5490" name="7">
          <a:extLst>
            <a:ext uri="{FF2B5EF4-FFF2-40B4-BE49-F238E27FC236}">
              <a16:creationId xmlns:a16="http://schemas.microsoft.com/office/drawing/2014/main" id="{1F7D25E0-7966-499E-B52E-EE47A62722B0}"/>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5491" name="6">
          <a:extLst>
            <a:ext uri="{FF2B5EF4-FFF2-40B4-BE49-F238E27FC236}">
              <a16:creationId xmlns:a16="http://schemas.microsoft.com/office/drawing/2014/main" id="{D4E3553E-7163-4BA9-A59B-CDB116935CB2}"/>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5492" name="직선 화살표 연결선 35491">
          <a:extLst>
            <a:ext uri="{FF2B5EF4-FFF2-40B4-BE49-F238E27FC236}">
              <a16:creationId xmlns:a16="http://schemas.microsoft.com/office/drawing/2014/main" id="{073414F2-0560-49E3-8FBE-CA9CAFB59AFE}"/>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5493" name="5">
          <a:extLst>
            <a:ext uri="{FF2B5EF4-FFF2-40B4-BE49-F238E27FC236}">
              <a16:creationId xmlns:a16="http://schemas.microsoft.com/office/drawing/2014/main" id="{44AD5FC4-4B85-4F8B-9B90-C6E023DDF4D1}"/>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5494" name="직선 화살표 연결선 35493">
          <a:extLst>
            <a:ext uri="{FF2B5EF4-FFF2-40B4-BE49-F238E27FC236}">
              <a16:creationId xmlns:a16="http://schemas.microsoft.com/office/drawing/2014/main" id="{FC83B212-12FE-4C58-AE43-0113D7E26DCC}"/>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5495" name="4">
          <a:extLst>
            <a:ext uri="{FF2B5EF4-FFF2-40B4-BE49-F238E27FC236}">
              <a16:creationId xmlns:a16="http://schemas.microsoft.com/office/drawing/2014/main" id="{F0BB4B4C-EF74-4663-8E4E-F043EC210A3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5496" name="직선 화살표 연결선 35495">
          <a:extLst>
            <a:ext uri="{FF2B5EF4-FFF2-40B4-BE49-F238E27FC236}">
              <a16:creationId xmlns:a16="http://schemas.microsoft.com/office/drawing/2014/main" id="{A6C8A08E-8F24-4312-955D-FD7C562ADF83}"/>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5497" name="3">
          <a:extLst>
            <a:ext uri="{FF2B5EF4-FFF2-40B4-BE49-F238E27FC236}">
              <a16:creationId xmlns:a16="http://schemas.microsoft.com/office/drawing/2014/main" id="{62D1352B-6A04-4567-AAA4-F716327A6406}"/>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5498" name="직선 화살표 연결선 35497">
          <a:extLst>
            <a:ext uri="{FF2B5EF4-FFF2-40B4-BE49-F238E27FC236}">
              <a16:creationId xmlns:a16="http://schemas.microsoft.com/office/drawing/2014/main" id="{8B243D37-6423-4A3F-A811-27EFF2366C2B}"/>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5499" name="2">
          <a:extLst>
            <a:ext uri="{FF2B5EF4-FFF2-40B4-BE49-F238E27FC236}">
              <a16:creationId xmlns:a16="http://schemas.microsoft.com/office/drawing/2014/main" id="{01693AE1-FE12-438C-AC55-152FFBD1B217}"/>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5500" name="직선 화살표 연결선 35499">
          <a:extLst>
            <a:ext uri="{FF2B5EF4-FFF2-40B4-BE49-F238E27FC236}">
              <a16:creationId xmlns:a16="http://schemas.microsoft.com/office/drawing/2014/main" id="{4DD1519A-401B-46B2-A0AA-8FDD007D8DA5}"/>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5501" name="1">
          <a:extLst>
            <a:ext uri="{FF2B5EF4-FFF2-40B4-BE49-F238E27FC236}">
              <a16:creationId xmlns:a16="http://schemas.microsoft.com/office/drawing/2014/main" id="{16DA51E7-204E-417A-805A-F4A616B01FD9}"/>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5502" name="직선 화살표 연결선 35501">
          <a:extLst>
            <a:ext uri="{FF2B5EF4-FFF2-40B4-BE49-F238E27FC236}">
              <a16:creationId xmlns:a16="http://schemas.microsoft.com/office/drawing/2014/main" id="{72BFCC5D-5F72-4EBB-B5ED-9890E70DB872}"/>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5818" name="44">
          <a:extLst>
            <a:ext uri="{FF2B5EF4-FFF2-40B4-BE49-F238E27FC236}">
              <a16:creationId xmlns:a16="http://schemas.microsoft.com/office/drawing/2014/main" id="{1491B373-F51B-493B-8430-C2733FD097D1}"/>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5819" name="직선 화살표 연결선 35818">
          <a:extLst>
            <a:ext uri="{FF2B5EF4-FFF2-40B4-BE49-F238E27FC236}">
              <a16:creationId xmlns:a16="http://schemas.microsoft.com/office/drawing/2014/main" id="{97DA2223-B8D1-4509-A734-4E53C6782B3A}"/>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5820" name="43">
          <a:extLst>
            <a:ext uri="{FF2B5EF4-FFF2-40B4-BE49-F238E27FC236}">
              <a16:creationId xmlns:a16="http://schemas.microsoft.com/office/drawing/2014/main" id="{D8C33CEF-4BD9-4712-BC5A-6DA2891C4BA7}"/>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5821" name="직선 화살표 연결선 35820">
          <a:extLst>
            <a:ext uri="{FF2B5EF4-FFF2-40B4-BE49-F238E27FC236}">
              <a16:creationId xmlns:a16="http://schemas.microsoft.com/office/drawing/2014/main" id="{38E42789-D6CD-4542-A4A2-50A877C9BD03}"/>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5822" name="42">
          <a:extLst>
            <a:ext uri="{FF2B5EF4-FFF2-40B4-BE49-F238E27FC236}">
              <a16:creationId xmlns:a16="http://schemas.microsoft.com/office/drawing/2014/main" id="{6A1C30CA-FEA5-408F-B014-465F38640815}"/>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5823" name="직선 화살표 연결선 35822">
          <a:extLst>
            <a:ext uri="{FF2B5EF4-FFF2-40B4-BE49-F238E27FC236}">
              <a16:creationId xmlns:a16="http://schemas.microsoft.com/office/drawing/2014/main" id="{54E1425A-2492-4F7F-AE88-2B3A6699729E}"/>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5824" name="41">
          <a:extLst>
            <a:ext uri="{FF2B5EF4-FFF2-40B4-BE49-F238E27FC236}">
              <a16:creationId xmlns:a16="http://schemas.microsoft.com/office/drawing/2014/main" id="{C85ACD08-960A-44FD-8280-686C89FFF6D9}"/>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5825" name="직선 화살표 연결선 35824">
          <a:extLst>
            <a:ext uri="{FF2B5EF4-FFF2-40B4-BE49-F238E27FC236}">
              <a16:creationId xmlns:a16="http://schemas.microsoft.com/office/drawing/2014/main" id="{BBD94786-BB15-48B0-A6DB-8BCEB8D65F79}"/>
            </a:ext>
          </a:extLst>
        </xdr:cNvPr>
        <xdr:cNvCxnSpPr/>
      </xdr:nvCxnSpPr>
      <xdr:spPr>
        <a:xfrm>
          <a:off x="12959443" y="6987540"/>
          <a:ext cx="6164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5885" name="10">
          <a:extLst>
            <a:ext uri="{FF2B5EF4-FFF2-40B4-BE49-F238E27FC236}">
              <a16:creationId xmlns:a16="http://schemas.microsoft.com/office/drawing/2014/main" id="{B91B241F-62F4-45C6-9340-69E5ED43B9B2}"/>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5886" name="직선 화살표 연결선 35885">
          <a:extLst>
            <a:ext uri="{FF2B5EF4-FFF2-40B4-BE49-F238E27FC236}">
              <a16:creationId xmlns:a16="http://schemas.microsoft.com/office/drawing/2014/main" id="{B0D82B9A-8A6E-4E36-BB1F-48FE2D72B0F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5887" name="9">
          <a:extLst>
            <a:ext uri="{FF2B5EF4-FFF2-40B4-BE49-F238E27FC236}">
              <a16:creationId xmlns:a16="http://schemas.microsoft.com/office/drawing/2014/main" id="{A6F46952-EEAC-4FDB-B5B9-29325DB4AF15}"/>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5888" name="직선 화살표 연결선 35887">
          <a:extLst>
            <a:ext uri="{FF2B5EF4-FFF2-40B4-BE49-F238E27FC236}">
              <a16:creationId xmlns:a16="http://schemas.microsoft.com/office/drawing/2014/main" id="{EB20F017-5B29-46EA-A6BB-9262D6A4E3EE}"/>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5889" name="8">
          <a:extLst>
            <a:ext uri="{FF2B5EF4-FFF2-40B4-BE49-F238E27FC236}">
              <a16:creationId xmlns:a16="http://schemas.microsoft.com/office/drawing/2014/main" id="{2D670949-DB1F-444D-83F6-DB1E048C739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5890" name="직선 화살표 연결선 35889">
          <a:extLst>
            <a:ext uri="{FF2B5EF4-FFF2-40B4-BE49-F238E27FC236}">
              <a16:creationId xmlns:a16="http://schemas.microsoft.com/office/drawing/2014/main" id="{E34B3D0C-D81A-483A-B914-E5B404323E9E}"/>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5891" name="7">
          <a:extLst>
            <a:ext uri="{FF2B5EF4-FFF2-40B4-BE49-F238E27FC236}">
              <a16:creationId xmlns:a16="http://schemas.microsoft.com/office/drawing/2014/main" id="{62052214-6687-49C1-9940-F2569A37B9ED}"/>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5892" name="6">
          <a:extLst>
            <a:ext uri="{FF2B5EF4-FFF2-40B4-BE49-F238E27FC236}">
              <a16:creationId xmlns:a16="http://schemas.microsoft.com/office/drawing/2014/main" id="{42D32864-D362-4A58-8A3E-9D4CF57507C5}"/>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5893" name="직선 화살표 연결선 35892">
          <a:extLst>
            <a:ext uri="{FF2B5EF4-FFF2-40B4-BE49-F238E27FC236}">
              <a16:creationId xmlns:a16="http://schemas.microsoft.com/office/drawing/2014/main" id="{C7804385-00E3-49BB-87A8-85E00040892E}"/>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5894" name="5">
          <a:extLst>
            <a:ext uri="{FF2B5EF4-FFF2-40B4-BE49-F238E27FC236}">
              <a16:creationId xmlns:a16="http://schemas.microsoft.com/office/drawing/2014/main" id="{3328C5E2-F90E-4D8C-9920-44E9621D5A71}"/>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5895" name="직선 화살표 연결선 35894">
          <a:extLst>
            <a:ext uri="{FF2B5EF4-FFF2-40B4-BE49-F238E27FC236}">
              <a16:creationId xmlns:a16="http://schemas.microsoft.com/office/drawing/2014/main" id="{1E88030B-CD9D-4245-9025-7D6FD4390D72}"/>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5896" name="4">
          <a:extLst>
            <a:ext uri="{FF2B5EF4-FFF2-40B4-BE49-F238E27FC236}">
              <a16:creationId xmlns:a16="http://schemas.microsoft.com/office/drawing/2014/main" id="{3F43DB82-EBA3-4AE2-8739-B1969473A158}"/>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5897" name="직선 화살표 연결선 35896">
          <a:extLst>
            <a:ext uri="{FF2B5EF4-FFF2-40B4-BE49-F238E27FC236}">
              <a16:creationId xmlns:a16="http://schemas.microsoft.com/office/drawing/2014/main" id="{A70E73E5-78D9-4443-8F78-30946D63B31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5898" name="3">
          <a:extLst>
            <a:ext uri="{FF2B5EF4-FFF2-40B4-BE49-F238E27FC236}">
              <a16:creationId xmlns:a16="http://schemas.microsoft.com/office/drawing/2014/main" id="{3A7AA662-BF0C-4FED-9492-EEB93D58F4F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5899" name="직선 화살표 연결선 35898">
          <a:extLst>
            <a:ext uri="{FF2B5EF4-FFF2-40B4-BE49-F238E27FC236}">
              <a16:creationId xmlns:a16="http://schemas.microsoft.com/office/drawing/2014/main" id="{83BDEB43-95F0-4E65-8E6E-59A1A561A5F3}"/>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5900" name="2">
          <a:extLst>
            <a:ext uri="{FF2B5EF4-FFF2-40B4-BE49-F238E27FC236}">
              <a16:creationId xmlns:a16="http://schemas.microsoft.com/office/drawing/2014/main" id="{55E7885C-BD59-4A07-A59E-7546DA2B1BAB}"/>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5901" name="직선 화살표 연결선 35900">
          <a:extLst>
            <a:ext uri="{FF2B5EF4-FFF2-40B4-BE49-F238E27FC236}">
              <a16:creationId xmlns:a16="http://schemas.microsoft.com/office/drawing/2014/main" id="{66415541-7DB6-4D7C-B8C4-AC09BA9126D5}"/>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5902" name="1">
          <a:extLst>
            <a:ext uri="{FF2B5EF4-FFF2-40B4-BE49-F238E27FC236}">
              <a16:creationId xmlns:a16="http://schemas.microsoft.com/office/drawing/2014/main" id="{7124F543-88A0-45DD-8975-AC66B95903CC}"/>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5903" name="직선 화살표 연결선 35902">
          <a:extLst>
            <a:ext uri="{FF2B5EF4-FFF2-40B4-BE49-F238E27FC236}">
              <a16:creationId xmlns:a16="http://schemas.microsoft.com/office/drawing/2014/main" id="{A5EC9407-1287-4D6A-92FD-6CAD17DB0327}"/>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6219" name="44">
          <a:extLst>
            <a:ext uri="{FF2B5EF4-FFF2-40B4-BE49-F238E27FC236}">
              <a16:creationId xmlns:a16="http://schemas.microsoft.com/office/drawing/2014/main" id="{70AAE191-DA7D-40DD-A173-4A180DBD7714}"/>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6220" name="직선 화살표 연결선 36219">
          <a:extLst>
            <a:ext uri="{FF2B5EF4-FFF2-40B4-BE49-F238E27FC236}">
              <a16:creationId xmlns:a16="http://schemas.microsoft.com/office/drawing/2014/main" id="{A4069F08-341B-46FF-AF4E-D486954C5A88}"/>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6221" name="43">
          <a:extLst>
            <a:ext uri="{FF2B5EF4-FFF2-40B4-BE49-F238E27FC236}">
              <a16:creationId xmlns:a16="http://schemas.microsoft.com/office/drawing/2014/main" id="{33794BB4-93DB-4A87-A569-B4C3D8E96E1D}"/>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6222" name="직선 화살표 연결선 36221">
          <a:extLst>
            <a:ext uri="{FF2B5EF4-FFF2-40B4-BE49-F238E27FC236}">
              <a16:creationId xmlns:a16="http://schemas.microsoft.com/office/drawing/2014/main" id="{36B60E23-6FA4-4C7E-B673-56E41AD8CE92}"/>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6223" name="42">
          <a:extLst>
            <a:ext uri="{FF2B5EF4-FFF2-40B4-BE49-F238E27FC236}">
              <a16:creationId xmlns:a16="http://schemas.microsoft.com/office/drawing/2014/main" id="{1F4A22C3-86DD-4203-9753-3C12EF0D95E9}"/>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6224" name="직선 화살표 연결선 36223">
          <a:extLst>
            <a:ext uri="{FF2B5EF4-FFF2-40B4-BE49-F238E27FC236}">
              <a16:creationId xmlns:a16="http://schemas.microsoft.com/office/drawing/2014/main" id="{E2868AD6-8E06-480E-8E2A-8C26ABBE8422}"/>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6225" name="41">
          <a:extLst>
            <a:ext uri="{FF2B5EF4-FFF2-40B4-BE49-F238E27FC236}">
              <a16:creationId xmlns:a16="http://schemas.microsoft.com/office/drawing/2014/main" id="{7DDA4B76-9D69-4A38-8A17-0E7C02663B1C}"/>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6226" name="직선 화살표 연결선 36225">
          <a:extLst>
            <a:ext uri="{FF2B5EF4-FFF2-40B4-BE49-F238E27FC236}">
              <a16:creationId xmlns:a16="http://schemas.microsoft.com/office/drawing/2014/main" id="{62E404A4-0A7A-43AE-97D6-E654B77D5E32}"/>
            </a:ext>
          </a:extLst>
        </xdr:cNvPr>
        <xdr:cNvCxnSpPr/>
      </xdr:nvCxnSpPr>
      <xdr:spPr>
        <a:xfrm>
          <a:off x="12959443" y="6987540"/>
          <a:ext cx="6164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6286" name="10">
          <a:extLst>
            <a:ext uri="{FF2B5EF4-FFF2-40B4-BE49-F238E27FC236}">
              <a16:creationId xmlns:a16="http://schemas.microsoft.com/office/drawing/2014/main" id="{069B46E9-6B56-44D1-B8B9-AF7961C1014F}"/>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6287" name="직선 화살표 연결선 36286">
          <a:extLst>
            <a:ext uri="{FF2B5EF4-FFF2-40B4-BE49-F238E27FC236}">
              <a16:creationId xmlns:a16="http://schemas.microsoft.com/office/drawing/2014/main" id="{21AD0905-A4C8-4DD9-AA56-5C6120DE8944}"/>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6288" name="9">
          <a:extLst>
            <a:ext uri="{FF2B5EF4-FFF2-40B4-BE49-F238E27FC236}">
              <a16:creationId xmlns:a16="http://schemas.microsoft.com/office/drawing/2014/main" id="{0B95B4D9-FD72-4525-953B-63B843CE3A33}"/>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6289" name="직선 화살표 연결선 36288">
          <a:extLst>
            <a:ext uri="{FF2B5EF4-FFF2-40B4-BE49-F238E27FC236}">
              <a16:creationId xmlns:a16="http://schemas.microsoft.com/office/drawing/2014/main" id="{8A2483A9-FF90-4E97-B913-4CEFCD4B2444}"/>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6290" name="8">
          <a:extLst>
            <a:ext uri="{FF2B5EF4-FFF2-40B4-BE49-F238E27FC236}">
              <a16:creationId xmlns:a16="http://schemas.microsoft.com/office/drawing/2014/main" id="{BE810D75-8109-4A5B-80DE-B6D577DD8D7F}"/>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6291" name="직선 화살표 연결선 36290">
          <a:extLst>
            <a:ext uri="{FF2B5EF4-FFF2-40B4-BE49-F238E27FC236}">
              <a16:creationId xmlns:a16="http://schemas.microsoft.com/office/drawing/2014/main" id="{396A5503-524F-4553-A102-92A1E1229DCC}"/>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6292" name="7">
          <a:extLst>
            <a:ext uri="{FF2B5EF4-FFF2-40B4-BE49-F238E27FC236}">
              <a16:creationId xmlns:a16="http://schemas.microsoft.com/office/drawing/2014/main" id="{4CB06D07-8F7D-487C-9EAA-01CC96E5B9D3}"/>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6293" name="6">
          <a:extLst>
            <a:ext uri="{FF2B5EF4-FFF2-40B4-BE49-F238E27FC236}">
              <a16:creationId xmlns:a16="http://schemas.microsoft.com/office/drawing/2014/main" id="{F3BBD394-DE6B-4DF9-A798-E0C7E38E3342}"/>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6294" name="직선 화살표 연결선 36293">
          <a:extLst>
            <a:ext uri="{FF2B5EF4-FFF2-40B4-BE49-F238E27FC236}">
              <a16:creationId xmlns:a16="http://schemas.microsoft.com/office/drawing/2014/main" id="{90932CD9-0449-489F-A071-F2C443ED7E3B}"/>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6295" name="5">
          <a:extLst>
            <a:ext uri="{FF2B5EF4-FFF2-40B4-BE49-F238E27FC236}">
              <a16:creationId xmlns:a16="http://schemas.microsoft.com/office/drawing/2014/main" id="{1047AC8B-2214-4B0B-B0A3-BD4B5879A9E7}"/>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6296" name="직선 화살표 연결선 36295">
          <a:extLst>
            <a:ext uri="{FF2B5EF4-FFF2-40B4-BE49-F238E27FC236}">
              <a16:creationId xmlns:a16="http://schemas.microsoft.com/office/drawing/2014/main" id="{61480AFB-E3E1-4746-B537-54D37459206B}"/>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6297" name="4">
          <a:extLst>
            <a:ext uri="{FF2B5EF4-FFF2-40B4-BE49-F238E27FC236}">
              <a16:creationId xmlns:a16="http://schemas.microsoft.com/office/drawing/2014/main" id="{0A1E5478-DBF4-4007-90D9-00FE297D592B}"/>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6298" name="직선 화살표 연결선 36297">
          <a:extLst>
            <a:ext uri="{FF2B5EF4-FFF2-40B4-BE49-F238E27FC236}">
              <a16:creationId xmlns:a16="http://schemas.microsoft.com/office/drawing/2014/main" id="{1A3FA4F6-5FF2-45DB-B440-6504073CAC79}"/>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6299" name="3">
          <a:extLst>
            <a:ext uri="{FF2B5EF4-FFF2-40B4-BE49-F238E27FC236}">
              <a16:creationId xmlns:a16="http://schemas.microsoft.com/office/drawing/2014/main" id="{D9440A59-370E-4769-A00E-2879908F1EB8}"/>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6300" name="직선 화살표 연결선 36299">
          <a:extLst>
            <a:ext uri="{FF2B5EF4-FFF2-40B4-BE49-F238E27FC236}">
              <a16:creationId xmlns:a16="http://schemas.microsoft.com/office/drawing/2014/main" id="{F972AA5D-DBC6-4AB0-8721-9F14DF88768F}"/>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6301" name="2">
          <a:extLst>
            <a:ext uri="{FF2B5EF4-FFF2-40B4-BE49-F238E27FC236}">
              <a16:creationId xmlns:a16="http://schemas.microsoft.com/office/drawing/2014/main" id="{A2E2167B-0C77-45A4-8BED-C78F372FBEE6}"/>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6302" name="직선 화살표 연결선 36301">
          <a:extLst>
            <a:ext uri="{FF2B5EF4-FFF2-40B4-BE49-F238E27FC236}">
              <a16:creationId xmlns:a16="http://schemas.microsoft.com/office/drawing/2014/main" id="{29A7444F-FD53-46D2-8626-EA33ADEA90A3}"/>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6303" name="1">
          <a:extLst>
            <a:ext uri="{FF2B5EF4-FFF2-40B4-BE49-F238E27FC236}">
              <a16:creationId xmlns:a16="http://schemas.microsoft.com/office/drawing/2014/main" id="{61FBC5DE-0D5F-4188-ADBA-EC8B56757568}"/>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6304" name="직선 화살표 연결선 36303">
          <a:extLst>
            <a:ext uri="{FF2B5EF4-FFF2-40B4-BE49-F238E27FC236}">
              <a16:creationId xmlns:a16="http://schemas.microsoft.com/office/drawing/2014/main" id="{34EDF101-5643-47D7-8F60-907C278BAF6A}"/>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8186" name="44">
          <a:extLst>
            <a:ext uri="{FF2B5EF4-FFF2-40B4-BE49-F238E27FC236}">
              <a16:creationId xmlns:a16="http://schemas.microsoft.com/office/drawing/2014/main" id="{699AB7ED-8944-4B78-BCB5-36310A612936}"/>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8187" name="직선 화살표 연결선 28186">
          <a:extLst>
            <a:ext uri="{FF2B5EF4-FFF2-40B4-BE49-F238E27FC236}">
              <a16:creationId xmlns:a16="http://schemas.microsoft.com/office/drawing/2014/main" id="{A69954B5-8967-4065-98FE-940F3AA78969}"/>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8188" name="43">
          <a:extLst>
            <a:ext uri="{FF2B5EF4-FFF2-40B4-BE49-F238E27FC236}">
              <a16:creationId xmlns:a16="http://schemas.microsoft.com/office/drawing/2014/main" id="{7747559F-C2CC-494D-8D24-69919045F21B}"/>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8189" name="직선 화살표 연결선 28188">
          <a:extLst>
            <a:ext uri="{FF2B5EF4-FFF2-40B4-BE49-F238E27FC236}">
              <a16:creationId xmlns:a16="http://schemas.microsoft.com/office/drawing/2014/main" id="{D0B9A2DC-18C1-4C19-8543-80C613A58F44}"/>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8190" name="42">
          <a:extLst>
            <a:ext uri="{FF2B5EF4-FFF2-40B4-BE49-F238E27FC236}">
              <a16:creationId xmlns:a16="http://schemas.microsoft.com/office/drawing/2014/main" id="{024CF7FC-20C1-4C5E-AE03-A24B364769DB}"/>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8191" name="직선 화살표 연결선 28190">
          <a:extLst>
            <a:ext uri="{FF2B5EF4-FFF2-40B4-BE49-F238E27FC236}">
              <a16:creationId xmlns:a16="http://schemas.microsoft.com/office/drawing/2014/main" id="{51C722AF-FCF4-453F-890C-C25E8BCB4840}"/>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8192" name="41">
          <a:extLst>
            <a:ext uri="{FF2B5EF4-FFF2-40B4-BE49-F238E27FC236}">
              <a16:creationId xmlns:a16="http://schemas.microsoft.com/office/drawing/2014/main" id="{D3520406-0EB6-45DD-80A2-4A0CCC0BC894}"/>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8193" name="직선 화살표 연결선 28192">
          <a:extLst>
            <a:ext uri="{FF2B5EF4-FFF2-40B4-BE49-F238E27FC236}">
              <a16:creationId xmlns:a16="http://schemas.microsoft.com/office/drawing/2014/main" id="{FBFB1226-8687-422F-A12B-A84F6FCD301D}"/>
            </a:ext>
          </a:extLst>
        </xdr:cNvPr>
        <xdr:cNvCxnSpPr/>
      </xdr:nvCxnSpPr>
      <xdr:spPr>
        <a:xfrm>
          <a:off x="12959443" y="6987540"/>
          <a:ext cx="5234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35053" name="10">
          <a:extLst>
            <a:ext uri="{FF2B5EF4-FFF2-40B4-BE49-F238E27FC236}">
              <a16:creationId xmlns:a16="http://schemas.microsoft.com/office/drawing/2014/main" id="{9CBF238A-D3DA-4ABB-9906-8AFF59C004B0}"/>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35054" name="직선 화살표 연결선 35053">
          <a:extLst>
            <a:ext uri="{FF2B5EF4-FFF2-40B4-BE49-F238E27FC236}">
              <a16:creationId xmlns:a16="http://schemas.microsoft.com/office/drawing/2014/main" id="{DD9D4283-4C5A-4863-9BB5-2182877AF6A3}"/>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35055" name="9">
          <a:extLst>
            <a:ext uri="{FF2B5EF4-FFF2-40B4-BE49-F238E27FC236}">
              <a16:creationId xmlns:a16="http://schemas.microsoft.com/office/drawing/2014/main" id="{40A94E62-52C6-47F3-8722-A15C7D860BFF}"/>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35056" name="직선 화살표 연결선 35055">
          <a:extLst>
            <a:ext uri="{FF2B5EF4-FFF2-40B4-BE49-F238E27FC236}">
              <a16:creationId xmlns:a16="http://schemas.microsoft.com/office/drawing/2014/main" id="{CB203B1C-2BB8-4EFB-8970-267CB4A6D203}"/>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35057" name="8">
          <a:extLst>
            <a:ext uri="{FF2B5EF4-FFF2-40B4-BE49-F238E27FC236}">
              <a16:creationId xmlns:a16="http://schemas.microsoft.com/office/drawing/2014/main" id="{25039F1B-47A1-4CF2-B536-9E00DF4F9841}"/>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35058" name="직선 화살표 연결선 35057">
          <a:extLst>
            <a:ext uri="{FF2B5EF4-FFF2-40B4-BE49-F238E27FC236}">
              <a16:creationId xmlns:a16="http://schemas.microsoft.com/office/drawing/2014/main" id="{0CE8C7E7-61BB-428F-B74F-84A48393A774}"/>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35059" name="7">
          <a:extLst>
            <a:ext uri="{FF2B5EF4-FFF2-40B4-BE49-F238E27FC236}">
              <a16:creationId xmlns:a16="http://schemas.microsoft.com/office/drawing/2014/main" id="{26B42A38-4161-4553-9CDF-5361235050CE}"/>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35060" name="6">
          <a:extLst>
            <a:ext uri="{FF2B5EF4-FFF2-40B4-BE49-F238E27FC236}">
              <a16:creationId xmlns:a16="http://schemas.microsoft.com/office/drawing/2014/main" id="{9B417628-8425-4F09-B616-8D88F32B4DAB}"/>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35061" name="직선 화살표 연결선 35060">
          <a:extLst>
            <a:ext uri="{FF2B5EF4-FFF2-40B4-BE49-F238E27FC236}">
              <a16:creationId xmlns:a16="http://schemas.microsoft.com/office/drawing/2014/main" id="{87E35B17-545D-416B-AB14-918F04B27C89}"/>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35062" name="5">
          <a:extLst>
            <a:ext uri="{FF2B5EF4-FFF2-40B4-BE49-F238E27FC236}">
              <a16:creationId xmlns:a16="http://schemas.microsoft.com/office/drawing/2014/main" id="{5E6B0292-8BC2-40CE-BFF1-82E680E211F0}"/>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35063" name="직선 화살표 연결선 35062">
          <a:extLst>
            <a:ext uri="{FF2B5EF4-FFF2-40B4-BE49-F238E27FC236}">
              <a16:creationId xmlns:a16="http://schemas.microsoft.com/office/drawing/2014/main" id="{C6B64526-8932-4B08-83D0-D2F510FA3371}"/>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35064" name="4">
          <a:extLst>
            <a:ext uri="{FF2B5EF4-FFF2-40B4-BE49-F238E27FC236}">
              <a16:creationId xmlns:a16="http://schemas.microsoft.com/office/drawing/2014/main" id="{A7797FB0-47A8-4A70-AA65-4B2258C4046A}"/>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35065" name="직선 화살표 연결선 35064">
          <a:extLst>
            <a:ext uri="{FF2B5EF4-FFF2-40B4-BE49-F238E27FC236}">
              <a16:creationId xmlns:a16="http://schemas.microsoft.com/office/drawing/2014/main" id="{9296FA29-EFF9-4D2B-8120-B09589283FDF}"/>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35066" name="3">
          <a:extLst>
            <a:ext uri="{FF2B5EF4-FFF2-40B4-BE49-F238E27FC236}">
              <a16:creationId xmlns:a16="http://schemas.microsoft.com/office/drawing/2014/main" id="{AE0D9744-65F0-48E9-9EAE-6A48AC6EE2A1}"/>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35067" name="직선 화살표 연결선 35066">
          <a:extLst>
            <a:ext uri="{FF2B5EF4-FFF2-40B4-BE49-F238E27FC236}">
              <a16:creationId xmlns:a16="http://schemas.microsoft.com/office/drawing/2014/main" id="{19B6BADC-FECD-454C-9070-92AE648D1BA2}"/>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35068" name="2">
          <a:extLst>
            <a:ext uri="{FF2B5EF4-FFF2-40B4-BE49-F238E27FC236}">
              <a16:creationId xmlns:a16="http://schemas.microsoft.com/office/drawing/2014/main" id="{71D0A1E5-E038-4EFD-B70C-053F306037BD}"/>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35069" name="직선 화살표 연결선 35068">
          <a:extLst>
            <a:ext uri="{FF2B5EF4-FFF2-40B4-BE49-F238E27FC236}">
              <a16:creationId xmlns:a16="http://schemas.microsoft.com/office/drawing/2014/main" id="{497A29E4-9FF0-42F1-9920-0E200E421E7B}"/>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35070" name="1">
          <a:extLst>
            <a:ext uri="{FF2B5EF4-FFF2-40B4-BE49-F238E27FC236}">
              <a16:creationId xmlns:a16="http://schemas.microsoft.com/office/drawing/2014/main" id="{288F28EE-D039-4D65-A8FF-7DF09A8E8C1E}"/>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35071" name="직선 화살표 연결선 35070">
          <a:extLst>
            <a:ext uri="{FF2B5EF4-FFF2-40B4-BE49-F238E27FC236}">
              <a16:creationId xmlns:a16="http://schemas.microsoft.com/office/drawing/2014/main" id="{1813A402-67F6-43E5-8D23-EEA6C2FB3086}"/>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8731" name="44">
          <a:extLst>
            <a:ext uri="{FF2B5EF4-FFF2-40B4-BE49-F238E27FC236}">
              <a16:creationId xmlns:a16="http://schemas.microsoft.com/office/drawing/2014/main" id="{1989C38B-1AA2-4FF2-B31E-A08AAC7A6F70}"/>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8732" name="직선 화살표 연결선 28731">
          <a:extLst>
            <a:ext uri="{FF2B5EF4-FFF2-40B4-BE49-F238E27FC236}">
              <a16:creationId xmlns:a16="http://schemas.microsoft.com/office/drawing/2014/main" id="{0F450F58-19AD-4F8A-9A5A-29B0CE0E5C34}"/>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8733" name="43">
          <a:extLst>
            <a:ext uri="{FF2B5EF4-FFF2-40B4-BE49-F238E27FC236}">
              <a16:creationId xmlns:a16="http://schemas.microsoft.com/office/drawing/2014/main" id="{B9E4C3F6-C517-4A15-85ED-662CE9E40D52}"/>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8734" name="직선 화살표 연결선 28733">
          <a:extLst>
            <a:ext uri="{FF2B5EF4-FFF2-40B4-BE49-F238E27FC236}">
              <a16:creationId xmlns:a16="http://schemas.microsoft.com/office/drawing/2014/main" id="{71270687-C995-435F-9D6A-EBBA138F081F}"/>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8735" name="42">
          <a:extLst>
            <a:ext uri="{FF2B5EF4-FFF2-40B4-BE49-F238E27FC236}">
              <a16:creationId xmlns:a16="http://schemas.microsoft.com/office/drawing/2014/main" id="{BF45A10F-40DB-45E1-AD4B-C759E6F883CF}"/>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5776" name="직선 화살표 연결선 35775">
          <a:extLst>
            <a:ext uri="{FF2B5EF4-FFF2-40B4-BE49-F238E27FC236}">
              <a16:creationId xmlns:a16="http://schemas.microsoft.com/office/drawing/2014/main" id="{AA85410B-3F0C-4117-952A-503EEC5E4178}"/>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5777" name="41">
          <a:extLst>
            <a:ext uri="{FF2B5EF4-FFF2-40B4-BE49-F238E27FC236}">
              <a16:creationId xmlns:a16="http://schemas.microsoft.com/office/drawing/2014/main" id="{9335BE5E-C7EE-499E-9053-7E07590D3C08}"/>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5778" name="직선 화살표 연결선 35777">
          <a:extLst>
            <a:ext uri="{FF2B5EF4-FFF2-40B4-BE49-F238E27FC236}">
              <a16:creationId xmlns:a16="http://schemas.microsoft.com/office/drawing/2014/main" id="{F6865DA0-F55D-4659-9633-89DFB30C61D3}"/>
            </a:ext>
          </a:extLst>
        </xdr:cNvPr>
        <xdr:cNvCxnSpPr/>
      </xdr:nvCxnSpPr>
      <xdr:spPr>
        <a:xfrm>
          <a:off x="12959443" y="6987540"/>
          <a:ext cx="5234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8997" name="10">
          <a:extLst>
            <a:ext uri="{FF2B5EF4-FFF2-40B4-BE49-F238E27FC236}">
              <a16:creationId xmlns:a16="http://schemas.microsoft.com/office/drawing/2014/main" id="{0ACCDF28-8D40-446C-8E8F-5A2889A88495}"/>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8998" name="직선 화살표 연결선 28997">
          <a:extLst>
            <a:ext uri="{FF2B5EF4-FFF2-40B4-BE49-F238E27FC236}">
              <a16:creationId xmlns:a16="http://schemas.microsoft.com/office/drawing/2014/main" id="{5100C9EF-5322-47DD-B23B-9433E6732618}"/>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8999" name="9">
          <a:extLst>
            <a:ext uri="{FF2B5EF4-FFF2-40B4-BE49-F238E27FC236}">
              <a16:creationId xmlns:a16="http://schemas.microsoft.com/office/drawing/2014/main" id="{6ED74375-4532-4496-906D-DF31D3443772}"/>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9000" name="직선 화살표 연결선 28999">
          <a:extLst>
            <a:ext uri="{FF2B5EF4-FFF2-40B4-BE49-F238E27FC236}">
              <a16:creationId xmlns:a16="http://schemas.microsoft.com/office/drawing/2014/main" id="{9D44F383-8C74-4465-840C-2F9CB51071AF}"/>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9009" name="8">
          <a:extLst>
            <a:ext uri="{FF2B5EF4-FFF2-40B4-BE49-F238E27FC236}">
              <a16:creationId xmlns:a16="http://schemas.microsoft.com/office/drawing/2014/main" id="{A405CA31-B23B-49E3-A391-81C1B2A6DEFE}"/>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9010" name="직선 화살표 연결선 29009">
          <a:extLst>
            <a:ext uri="{FF2B5EF4-FFF2-40B4-BE49-F238E27FC236}">
              <a16:creationId xmlns:a16="http://schemas.microsoft.com/office/drawing/2014/main" id="{CA084B35-5750-4C30-BB99-50D8BA702892}"/>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9011" name="7">
          <a:extLst>
            <a:ext uri="{FF2B5EF4-FFF2-40B4-BE49-F238E27FC236}">
              <a16:creationId xmlns:a16="http://schemas.microsoft.com/office/drawing/2014/main" id="{D67E6629-DCBD-4B46-AD03-DFDDD6415C4F}"/>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9012" name="6">
          <a:extLst>
            <a:ext uri="{FF2B5EF4-FFF2-40B4-BE49-F238E27FC236}">
              <a16:creationId xmlns:a16="http://schemas.microsoft.com/office/drawing/2014/main" id="{513613F5-18A8-45FD-B07F-3A1B3233BC95}"/>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9013" name="직선 화살표 연결선 29012">
          <a:extLst>
            <a:ext uri="{FF2B5EF4-FFF2-40B4-BE49-F238E27FC236}">
              <a16:creationId xmlns:a16="http://schemas.microsoft.com/office/drawing/2014/main" id="{39F0114D-7319-41CA-B9E0-FC3807976D3A}"/>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9014" name="5">
          <a:extLst>
            <a:ext uri="{FF2B5EF4-FFF2-40B4-BE49-F238E27FC236}">
              <a16:creationId xmlns:a16="http://schemas.microsoft.com/office/drawing/2014/main" id="{74D05B49-940A-400F-9B46-1A8BBDFA5ACC}"/>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9015" name="직선 화살표 연결선 29014">
          <a:extLst>
            <a:ext uri="{FF2B5EF4-FFF2-40B4-BE49-F238E27FC236}">
              <a16:creationId xmlns:a16="http://schemas.microsoft.com/office/drawing/2014/main" id="{89EFD1CC-EAF7-4EC6-9F0E-DCE0B0172188}"/>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9016" name="4">
          <a:extLst>
            <a:ext uri="{FF2B5EF4-FFF2-40B4-BE49-F238E27FC236}">
              <a16:creationId xmlns:a16="http://schemas.microsoft.com/office/drawing/2014/main" id="{D3B23664-9F9B-461F-A007-2F7B620E72A2}"/>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9017" name="직선 화살표 연결선 29016">
          <a:extLst>
            <a:ext uri="{FF2B5EF4-FFF2-40B4-BE49-F238E27FC236}">
              <a16:creationId xmlns:a16="http://schemas.microsoft.com/office/drawing/2014/main" id="{374F0212-EB12-4BEA-A74B-3635AB815B8B}"/>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9018" name="3">
          <a:extLst>
            <a:ext uri="{FF2B5EF4-FFF2-40B4-BE49-F238E27FC236}">
              <a16:creationId xmlns:a16="http://schemas.microsoft.com/office/drawing/2014/main" id="{EC8A7B36-AB30-4F0F-93C3-76C90732A657}"/>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9019" name="직선 화살표 연결선 29018">
          <a:extLst>
            <a:ext uri="{FF2B5EF4-FFF2-40B4-BE49-F238E27FC236}">
              <a16:creationId xmlns:a16="http://schemas.microsoft.com/office/drawing/2014/main" id="{68B95208-032D-491B-8DAA-4723C797F707}"/>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9020" name="2">
          <a:extLst>
            <a:ext uri="{FF2B5EF4-FFF2-40B4-BE49-F238E27FC236}">
              <a16:creationId xmlns:a16="http://schemas.microsoft.com/office/drawing/2014/main" id="{562236FD-2DDF-46F2-BA13-B2AEE991E1E6}"/>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9021" name="직선 화살표 연결선 29020">
          <a:extLst>
            <a:ext uri="{FF2B5EF4-FFF2-40B4-BE49-F238E27FC236}">
              <a16:creationId xmlns:a16="http://schemas.microsoft.com/office/drawing/2014/main" id="{CE95067F-002F-4949-A88E-66B066BF18F6}"/>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9022" name="1">
          <a:extLst>
            <a:ext uri="{FF2B5EF4-FFF2-40B4-BE49-F238E27FC236}">
              <a16:creationId xmlns:a16="http://schemas.microsoft.com/office/drawing/2014/main" id="{5ED360F1-2E1E-473C-8EEE-64EE010C83C9}"/>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9023" name="직선 화살표 연결선 29022">
          <a:extLst>
            <a:ext uri="{FF2B5EF4-FFF2-40B4-BE49-F238E27FC236}">
              <a16:creationId xmlns:a16="http://schemas.microsoft.com/office/drawing/2014/main" id="{2997B666-F306-4655-A21F-913204D3DA23}"/>
            </a:ext>
          </a:extLst>
        </xdr:cNvPr>
        <xdr:cNvCxnSpPr/>
      </xdr:nvCxnSpPr>
      <xdr:spPr>
        <a:xfrm>
          <a:off x="12959443" y="891540"/>
          <a:ext cx="2436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22981" name="44">
          <a:extLst>
            <a:ext uri="{FF2B5EF4-FFF2-40B4-BE49-F238E27FC236}">
              <a16:creationId xmlns:a16="http://schemas.microsoft.com/office/drawing/2014/main" id="{0E811FE4-A452-4A67-8D21-A5DCD2C41CCD}"/>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22982" name="직선 화살표 연결선 22981">
          <a:extLst>
            <a:ext uri="{FF2B5EF4-FFF2-40B4-BE49-F238E27FC236}">
              <a16:creationId xmlns:a16="http://schemas.microsoft.com/office/drawing/2014/main" id="{76AF41B7-BF36-4FF9-B1C4-EDD5F7B49D96}"/>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22983" name="43">
          <a:extLst>
            <a:ext uri="{FF2B5EF4-FFF2-40B4-BE49-F238E27FC236}">
              <a16:creationId xmlns:a16="http://schemas.microsoft.com/office/drawing/2014/main" id="{A8A2C387-B103-4227-8242-0D2B5A306EB9}"/>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22984" name="직선 화살표 연결선 22983">
          <a:extLst>
            <a:ext uri="{FF2B5EF4-FFF2-40B4-BE49-F238E27FC236}">
              <a16:creationId xmlns:a16="http://schemas.microsoft.com/office/drawing/2014/main" id="{234B483A-8D78-49E1-B474-944BDAFA0D0C}"/>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22985" name="42">
          <a:extLst>
            <a:ext uri="{FF2B5EF4-FFF2-40B4-BE49-F238E27FC236}">
              <a16:creationId xmlns:a16="http://schemas.microsoft.com/office/drawing/2014/main" id="{F643D733-0B95-4661-BE00-97896439FC66}"/>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22986" name="직선 화살표 연결선 22985">
          <a:extLst>
            <a:ext uri="{FF2B5EF4-FFF2-40B4-BE49-F238E27FC236}">
              <a16:creationId xmlns:a16="http://schemas.microsoft.com/office/drawing/2014/main" id="{AD392CBD-ABFF-46D9-9CF9-307011824859}"/>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22987" name="41">
          <a:extLst>
            <a:ext uri="{FF2B5EF4-FFF2-40B4-BE49-F238E27FC236}">
              <a16:creationId xmlns:a16="http://schemas.microsoft.com/office/drawing/2014/main" id="{CC87C838-BBB6-4CBD-B5C8-418C205DD73A}"/>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22988" name="직선 화살표 연결선 22987">
          <a:extLst>
            <a:ext uri="{FF2B5EF4-FFF2-40B4-BE49-F238E27FC236}">
              <a16:creationId xmlns:a16="http://schemas.microsoft.com/office/drawing/2014/main" id="{A48DE88D-6D4F-4D89-B16F-4BB2555B2D58}"/>
            </a:ext>
          </a:extLst>
        </xdr:cNvPr>
        <xdr:cNvCxnSpPr/>
      </xdr:nvCxnSpPr>
      <xdr:spPr>
        <a:xfrm>
          <a:off x="12959443" y="6987540"/>
          <a:ext cx="5234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9832" name="10">
          <a:extLst>
            <a:ext uri="{FF2B5EF4-FFF2-40B4-BE49-F238E27FC236}">
              <a16:creationId xmlns:a16="http://schemas.microsoft.com/office/drawing/2014/main" id="{B9C37637-A1D7-47AB-97C4-DC4DEF5FD850}"/>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9833" name="직선 화살표 연결선 29832">
          <a:extLst>
            <a:ext uri="{FF2B5EF4-FFF2-40B4-BE49-F238E27FC236}">
              <a16:creationId xmlns:a16="http://schemas.microsoft.com/office/drawing/2014/main" id="{507E1E56-D755-475F-81D6-34E775DC02EB}"/>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9834" name="9">
          <a:extLst>
            <a:ext uri="{FF2B5EF4-FFF2-40B4-BE49-F238E27FC236}">
              <a16:creationId xmlns:a16="http://schemas.microsoft.com/office/drawing/2014/main" id="{5D0CEB5C-B867-48F0-B60E-19CADF43375F}"/>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9835" name="직선 화살표 연결선 29834">
          <a:extLst>
            <a:ext uri="{FF2B5EF4-FFF2-40B4-BE49-F238E27FC236}">
              <a16:creationId xmlns:a16="http://schemas.microsoft.com/office/drawing/2014/main" id="{FE1F8750-E2E4-4598-A1BA-E249B9557831}"/>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9836" name="8">
          <a:extLst>
            <a:ext uri="{FF2B5EF4-FFF2-40B4-BE49-F238E27FC236}">
              <a16:creationId xmlns:a16="http://schemas.microsoft.com/office/drawing/2014/main" id="{23EC6DE6-8334-4866-9B12-EFE9B47389A0}"/>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9837" name="직선 화살표 연결선 29836">
          <a:extLst>
            <a:ext uri="{FF2B5EF4-FFF2-40B4-BE49-F238E27FC236}">
              <a16:creationId xmlns:a16="http://schemas.microsoft.com/office/drawing/2014/main" id="{0EC634E0-E346-41FB-83E5-4FC494B124F0}"/>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9838" name="7">
          <a:extLst>
            <a:ext uri="{FF2B5EF4-FFF2-40B4-BE49-F238E27FC236}">
              <a16:creationId xmlns:a16="http://schemas.microsoft.com/office/drawing/2014/main" id="{D700994E-3109-444A-AC4A-F1047E1C2EED}"/>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9839" name="6">
          <a:extLst>
            <a:ext uri="{FF2B5EF4-FFF2-40B4-BE49-F238E27FC236}">
              <a16:creationId xmlns:a16="http://schemas.microsoft.com/office/drawing/2014/main" id="{5A6F9EAB-93AE-4BE0-90C8-D95D2D86644C}"/>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9840" name="직선 화살표 연결선 29839">
          <a:extLst>
            <a:ext uri="{FF2B5EF4-FFF2-40B4-BE49-F238E27FC236}">
              <a16:creationId xmlns:a16="http://schemas.microsoft.com/office/drawing/2014/main" id="{4FCC96DB-9447-4688-BACF-621F8E02F6D7}"/>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9841" name="5">
          <a:extLst>
            <a:ext uri="{FF2B5EF4-FFF2-40B4-BE49-F238E27FC236}">
              <a16:creationId xmlns:a16="http://schemas.microsoft.com/office/drawing/2014/main" id="{EDF0527F-241C-48EB-AD4B-3424B094992C}"/>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9842" name="직선 화살표 연결선 29841">
          <a:extLst>
            <a:ext uri="{FF2B5EF4-FFF2-40B4-BE49-F238E27FC236}">
              <a16:creationId xmlns:a16="http://schemas.microsoft.com/office/drawing/2014/main" id="{4BC6A0EA-FBB0-454C-BE86-F9055A7C195C}"/>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9843" name="4">
          <a:extLst>
            <a:ext uri="{FF2B5EF4-FFF2-40B4-BE49-F238E27FC236}">
              <a16:creationId xmlns:a16="http://schemas.microsoft.com/office/drawing/2014/main" id="{86B1DCAB-B994-41EB-B289-B6EDE8FBEDA4}"/>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9844" name="직선 화살표 연결선 29843">
          <a:extLst>
            <a:ext uri="{FF2B5EF4-FFF2-40B4-BE49-F238E27FC236}">
              <a16:creationId xmlns:a16="http://schemas.microsoft.com/office/drawing/2014/main" id="{593E668E-E591-4781-BE21-B09083523F9A}"/>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9845" name="3">
          <a:extLst>
            <a:ext uri="{FF2B5EF4-FFF2-40B4-BE49-F238E27FC236}">
              <a16:creationId xmlns:a16="http://schemas.microsoft.com/office/drawing/2014/main" id="{EF088FBB-6A1B-454E-B614-22FC323B4AE9}"/>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9846" name="직선 화살표 연결선 29845">
          <a:extLst>
            <a:ext uri="{FF2B5EF4-FFF2-40B4-BE49-F238E27FC236}">
              <a16:creationId xmlns:a16="http://schemas.microsoft.com/office/drawing/2014/main" id="{8A845662-0A01-45E0-8970-26B1206CB785}"/>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9847" name="2">
          <a:extLst>
            <a:ext uri="{FF2B5EF4-FFF2-40B4-BE49-F238E27FC236}">
              <a16:creationId xmlns:a16="http://schemas.microsoft.com/office/drawing/2014/main" id="{92418E09-325A-4805-9E80-B811FEDCEA7A}"/>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9848" name="직선 화살표 연결선 29847">
          <a:extLst>
            <a:ext uri="{FF2B5EF4-FFF2-40B4-BE49-F238E27FC236}">
              <a16:creationId xmlns:a16="http://schemas.microsoft.com/office/drawing/2014/main" id="{217AA298-E4E0-4C59-8D8D-50622D6391E2}"/>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9849" name="1">
          <a:extLst>
            <a:ext uri="{FF2B5EF4-FFF2-40B4-BE49-F238E27FC236}">
              <a16:creationId xmlns:a16="http://schemas.microsoft.com/office/drawing/2014/main" id="{D838AB32-5ACA-4212-AD1E-64D8CE86ADDB}"/>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9850" name="직선 화살표 연결선 29849">
          <a:extLst>
            <a:ext uri="{FF2B5EF4-FFF2-40B4-BE49-F238E27FC236}">
              <a16:creationId xmlns:a16="http://schemas.microsoft.com/office/drawing/2014/main" id="{2407DFD8-3DD6-484C-AE6A-4CFC89D4B300}"/>
            </a:ext>
          </a:extLst>
        </xdr:cNvPr>
        <xdr:cNvCxnSpPr/>
      </xdr:nvCxnSpPr>
      <xdr:spPr>
        <a:xfrm>
          <a:off x="12959443" y="891540"/>
          <a:ext cx="2474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47</xdr:row>
      <xdr:rowOff>15240</xdr:rowOff>
    </xdr:from>
    <xdr:to>
      <xdr:col>31</xdr:col>
      <xdr:colOff>0</xdr:colOff>
      <xdr:row>47</xdr:row>
      <xdr:rowOff>129540</xdr:rowOff>
    </xdr:to>
    <xdr:sp macro="" textlink="">
      <xdr:nvSpPr>
        <xdr:cNvPr id="30219" name="44">
          <a:extLst>
            <a:ext uri="{FF2B5EF4-FFF2-40B4-BE49-F238E27FC236}">
              <a16:creationId xmlns:a16="http://schemas.microsoft.com/office/drawing/2014/main" id="{BFF557EA-B239-449E-978B-E67F6482BB0F}"/>
            </a:ext>
          </a:extLst>
        </xdr:cNvPr>
        <xdr:cNvSpPr/>
      </xdr:nvSpPr>
      <xdr:spPr>
        <a:xfrm>
          <a:off x="12959443" y="73875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47</xdr:row>
      <xdr:rowOff>72390</xdr:rowOff>
    </xdr:from>
    <xdr:to>
      <xdr:col>31</xdr:col>
      <xdr:colOff>0</xdr:colOff>
      <xdr:row>47</xdr:row>
      <xdr:rowOff>72390</xdr:rowOff>
    </xdr:to>
    <xdr:cxnSp macro="">
      <xdr:nvCxnSpPr>
        <xdr:cNvPr id="30220" name="직선 화살표 연결선 30219">
          <a:extLst>
            <a:ext uri="{FF2B5EF4-FFF2-40B4-BE49-F238E27FC236}">
              <a16:creationId xmlns:a16="http://schemas.microsoft.com/office/drawing/2014/main" id="{33203669-253E-4297-A426-B09F918A28C2}"/>
            </a:ext>
          </a:extLst>
        </xdr:cNvPr>
        <xdr:cNvCxnSpPr/>
      </xdr:nvCxnSpPr>
      <xdr:spPr>
        <a:xfrm>
          <a:off x="12959443"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46</xdr:row>
      <xdr:rowOff>15240</xdr:rowOff>
    </xdr:from>
    <xdr:to>
      <xdr:col>31</xdr:col>
      <xdr:colOff>0</xdr:colOff>
      <xdr:row>46</xdr:row>
      <xdr:rowOff>129540</xdr:rowOff>
    </xdr:to>
    <xdr:sp macro="" textlink="">
      <xdr:nvSpPr>
        <xdr:cNvPr id="30221" name="43">
          <a:extLst>
            <a:ext uri="{FF2B5EF4-FFF2-40B4-BE49-F238E27FC236}">
              <a16:creationId xmlns:a16="http://schemas.microsoft.com/office/drawing/2014/main" id="{A77C34C5-9A7D-4746-BDC3-617069B02FB1}"/>
            </a:ext>
          </a:extLst>
        </xdr:cNvPr>
        <xdr:cNvSpPr/>
      </xdr:nvSpPr>
      <xdr:spPr>
        <a:xfrm>
          <a:off x="12959443" y="72351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46</xdr:row>
      <xdr:rowOff>72390</xdr:rowOff>
    </xdr:from>
    <xdr:to>
      <xdr:col>31</xdr:col>
      <xdr:colOff>0</xdr:colOff>
      <xdr:row>46</xdr:row>
      <xdr:rowOff>72390</xdr:rowOff>
    </xdr:to>
    <xdr:cxnSp macro="">
      <xdr:nvCxnSpPr>
        <xdr:cNvPr id="30222" name="직선 화살표 연결선 30221">
          <a:extLst>
            <a:ext uri="{FF2B5EF4-FFF2-40B4-BE49-F238E27FC236}">
              <a16:creationId xmlns:a16="http://schemas.microsoft.com/office/drawing/2014/main" id="{BB9453BC-C6C5-4A5D-8FC0-F232971CAF98}"/>
            </a:ext>
          </a:extLst>
        </xdr:cNvPr>
        <xdr:cNvCxnSpPr/>
      </xdr:nvCxnSpPr>
      <xdr:spPr>
        <a:xfrm>
          <a:off x="12959443" y="72923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45</xdr:row>
      <xdr:rowOff>15240</xdr:rowOff>
    </xdr:from>
    <xdr:to>
      <xdr:col>31</xdr:col>
      <xdr:colOff>0</xdr:colOff>
      <xdr:row>45</xdr:row>
      <xdr:rowOff>129540</xdr:rowOff>
    </xdr:to>
    <xdr:sp macro="" textlink="">
      <xdr:nvSpPr>
        <xdr:cNvPr id="30223" name="42">
          <a:extLst>
            <a:ext uri="{FF2B5EF4-FFF2-40B4-BE49-F238E27FC236}">
              <a16:creationId xmlns:a16="http://schemas.microsoft.com/office/drawing/2014/main" id="{F107F9C2-E1AE-4F65-B36C-B77426C2535B}"/>
            </a:ext>
          </a:extLst>
        </xdr:cNvPr>
        <xdr:cNvSpPr/>
      </xdr:nvSpPr>
      <xdr:spPr>
        <a:xfrm>
          <a:off x="12959443" y="7082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45</xdr:row>
      <xdr:rowOff>72390</xdr:rowOff>
    </xdr:from>
    <xdr:to>
      <xdr:col>31</xdr:col>
      <xdr:colOff>0</xdr:colOff>
      <xdr:row>45</xdr:row>
      <xdr:rowOff>72390</xdr:rowOff>
    </xdr:to>
    <xdr:cxnSp macro="">
      <xdr:nvCxnSpPr>
        <xdr:cNvPr id="30224" name="직선 화살표 연결선 30223">
          <a:extLst>
            <a:ext uri="{FF2B5EF4-FFF2-40B4-BE49-F238E27FC236}">
              <a16:creationId xmlns:a16="http://schemas.microsoft.com/office/drawing/2014/main" id="{84649331-BD1E-4049-B06C-498BC7AEFE6E}"/>
            </a:ext>
          </a:extLst>
        </xdr:cNvPr>
        <xdr:cNvCxnSpPr/>
      </xdr:nvCxnSpPr>
      <xdr:spPr>
        <a:xfrm>
          <a:off x="12959443" y="7139940"/>
          <a:ext cx="641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44</xdr:row>
      <xdr:rowOff>15240</xdr:rowOff>
    </xdr:from>
    <xdr:to>
      <xdr:col>31</xdr:col>
      <xdr:colOff>0</xdr:colOff>
      <xdr:row>44</xdr:row>
      <xdr:rowOff>129540</xdr:rowOff>
    </xdr:to>
    <xdr:sp macro="" textlink="">
      <xdr:nvSpPr>
        <xdr:cNvPr id="30225" name="41">
          <a:extLst>
            <a:ext uri="{FF2B5EF4-FFF2-40B4-BE49-F238E27FC236}">
              <a16:creationId xmlns:a16="http://schemas.microsoft.com/office/drawing/2014/main" id="{0935DA54-057F-44A9-B9D5-D7C305118FD2}"/>
            </a:ext>
          </a:extLst>
        </xdr:cNvPr>
        <xdr:cNvSpPr/>
      </xdr:nvSpPr>
      <xdr:spPr>
        <a:xfrm>
          <a:off x="12959443" y="6930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44</xdr:row>
      <xdr:rowOff>72390</xdr:rowOff>
    </xdr:from>
    <xdr:to>
      <xdr:col>31</xdr:col>
      <xdr:colOff>0</xdr:colOff>
      <xdr:row>44</xdr:row>
      <xdr:rowOff>72390</xdr:rowOff>
    </xdr:to>
    <xdr:cxnSp macro="">
      <xdr:nvCxnSpPr>
        <xdr:cNvPr id="30226" name="직선 화살표 연결선 30225">
          <a:extLst>
            <a:ext uri="{FF2B5EF4-FFF2-40B4-BE49-F238E27FC236}">
              <a16:creationId xmlns:a16="http://schemas.microsoft.com/office/drawing/2014/main" id="{9160A21C-F4E3-489E-9096-3B90A9DC3540}"/>
            </a:ext>
          </a:extLst>
        </xdr:cNvPr>
        <xdr:cNvCxnSpPr/>
      </xdr:nvCxnSpPr>
      <xdr:spPr>
        <a:xfrm>
          <a:off x="12959443" y="6987540"/>
          <a:ext cx="5197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13</xdr:row>
      <xdr:rowOff>15240</xdr:rowOff>
    </xdr:from>
    <xdr:to>
      <xdr:col>31</xdr:col>
      <xdr:colOff>0</xdr:colOff>
      <xdr:row>13</xdr:row>
      <xdr:rowOff>129540</xdr:rowOff>
    </xdr:to>
    <xdr:sp macro="" textlink="">
      <xdr:nvSpPr>
        <xdr:cNvPr id="23439" name="10">
          <a:extLst>
            <a:ext uri="{FF2B5EF4-FFF2-40B4-BE49-F238E27FC236}">
              <a16:creationId xmlns:a16="http://schemas.microsoft.com/office/drawing/2014/main" id="{13911E31-7C79-44E6-940E-63A0C6C946DE}"/>
            </a:ext>
          </a:extLst>
        </xdr:cNvPr>
        <xdr:cNvSpPr/>
      </xdr:nvSpPr>
      <xdr:spPr>
        <a:xfrm>
          <a:off x="12959443" y="2205990"/>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13</xdr:row>
      <xdr:rowOff>72390</xdr:rowOff>
    </xdr:from>
    <xdr:to>
      <xdr:col>31</xdr:col>
      <xdr:colOff>0</xdr:colOff>
      <xdr:row>13</xdr:row>
      <xdr:rowOff>72390</xdr:rowOff>
    </xdr:to>
    <xdr:cxnSp macro="">
      <xdr:nvCxnSpPr>
        <xdr:cNvPr id="23440" name="직선 화살표 연결선 23439">
          <a:extLst>
            <a:ext uri="{FF2B5EF4-FFF2-40B4-BE49-F238E27FC236}">
              <a16:creationId xmlns:a16="http://schemas.microsoft.com/office/drawing/2014/main" id="{BE9DF59E-1423-4E9F-8738-B4C18306A0F5}"/>
            </a:ext>
          </a:extLst>
        </xdr:cNvPr>
        <xdr:cNvCxnSpPr/>
      </xdr:nvCxnSpPr>
      <xdr:spPr>
        <a:xfrm>
          <a:off x="12959443" y="22631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12</xdr:row>
      <xdr:rowOff>15240</xdr:rowOff>
    </xdr:from>
    <xdr:to>
      <xdr:col>31</xdr:col>
      <xdr:colOff>0</xdr:colOff>
      <xdr:row>12</xdr:row>
      <xdr:rowOff>129540</xdr:rowOff>
    </xdr:to>
    <xdr:sp macro="" textlink="">
      <xdr:nvSpPr>
        <xdr:cNvPr id="23441" name="9">
          <a:extLst>
            <a:ext uri="{FF2B5EF4-FFF2-40B4-BE49-F238E27FC236}">
              <a16:creationId xmlns:a16="http://schemas.microsoft.com/office/drawing/2014/main" id="{3C7AC92E-1521-40BB-BFB5-9E63629BD943}"/>
            </a:ext>
          </a:extLst>
        </xdr:cNvPr>
        <xdr:cNvSpPr/>
      </xdr:nvSpPr>
      <xdr:spPr>
        <a:xfrm>
          <a:off x="12959443" y="20535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12</xdr:row>
      <xdr:rowOff>72390</xdr:rowOff>
    </xdr:from>
    <xdr:to>
      <xdr:col>31</xdr:col>
      <xdr:colOff>0</xdr:colOff>
      <xdr:row>12</xdr:row>
      <xdr:rowOff>72390</xdr:rowOff>
    </xdr:to>
    <xdr:cxnSp macro="">
      <xdr:nvCxnSpPr>
        <xdr:cNvPr id="23442" name="직선 화살표 연결선 23441">
          <a:extLst>
            <a:ext uri="{FF2B5EF4-FFF2-40B4-BE49-F238E27FC236}">
              <a16:creationId xmlns:a16="http://schemas.microsoft.com/office/drawing/2014/main" id="{72C2D5DA-561A-4CC1-9C64-4843BD736741}"/>
            </a:ext>
          </a:extLst>
        </xdr:cNvPr>
        <xdr:cNvCxnSpPr/>
      </xdr:nvCxnSpPr>
      <xdr:spPr>
        <a:xfrm>
          <a:off x="12959443" y="21107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11</xdr:row>
      <xdr:rowOff>15240</xdr:rowOff>
    </xdr:from>
    <xdr:to>
      <xdr:col>31</xdr:col>
      <xdr:colOff>0</xdr:colOff>
      <xdr:row>11</xdr:row>
      <xdr:rowOff>129540</xdr:rowOff>
    </xdr:to>
    <xdr:sp macro="" textlink="">
      <xdr:nvSpPr>
        <xdr:cNvPr id="23443" name="8">
          <a:extLst>
            <a:ext uri="{FF2B5EF4-FFF2-40B4-BE49-F238E27FC236}">
              <a16:creationId xmlns:a16="http://schemas.microsoft.com/office/drawing/2014/main" id="{CC1644F5-8887-4681-9CF2-80FB1456A7ED}"/>
            </a:ext>
          </a:extLst>
        </xdr:cNvPr>
        <xdr:cNvSpPr/>
      </xdr:nvSpPr>
      <xdr:spPr>
        <a:xfrm>
          <a:off x="12959443" y="19011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11</xdr:row>
      <xdr:rowOff>72390</xdr:rowOff>
    </xdr:from>
    <xdr:to>
      <xdr:col>31</xdr:col>
      <xdr:colOff>0</xdr:colOff>
      <xdr:row>11</xdr:row>
      <xdr:rowOff>72390</xdr:rowOff>
    </xdr:to>
    <xdr:cxnSp macro="">
      <xdr:nvCxnSpPr>
        <xdr:cNvPr id="23444" name="직선 화살표 연결선 23443">
          <a:extLst>
            <a:ext uri="{FF2B5EF4-FFF2-40B4-BE49-F238E27FC236}">
              <a16:creationId xmlns:a16="http://schemas.microsoft.com/office/drawing/2014/main" id="{0197AA8E-868F-4CF0-A6B9-646ED2D561A3}"/>
            </a:ext>
          </a:extLst>
        </xdr:cNvPr>
        <xdr:cNvCxnSpPr/>
      </xdr:nvCxnSpPr>
      <xdr:spPr>
        <a:xfrm>
          <a:off x="12959443" y="1958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10</xdr:row>
      <xdr:rowOff>15240</xdr:rowOff>
    </xdr:from>
    <xdr:to>
      <xdr:col>31</xdr:col>
      <xdr:colOff>0</xdr:colOff>
      <xdr:row>10</xdr:row>
      <xdr:rowOff>142240</xdr:rowOff>
    </xdr:to>
    <xdr:sp macro="" textlink="">
      <xdr:nvSpPr>
        <xdr:cNvPr id="23445" name="7">
          <a:extLst>
            <a:ext uri="{FF2B5EF4-FFF2-40B4-BE49-F238E27FC236}">
              <a16:creationId xmlns:a16="http://schemas.microsoft.com/office/drawing/2014/main" id="{5714A9F9-3BEC-42D7-BDB5-6744039C6DDC}"/>
            </a:ext>
          </a:extLst>
        </xdr:cNvPr>
        <xdr:cNvSpPr/>
      </xdr:nvSpPr>
      <xdr:spPr>
        <a:xfrm>
          <a:off x="12959443" y="1748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15240</xdr:rowOff>
    </xdr:from>
    <xdr:to>
      <xdr:col>31</xdr:col>
      <xdr:colOff>0</xdr:colOff>
      <xdr:row>9</xdr:row>
      <xdr:rowOff>129540</xdr:rowOff>
    </xdr:to>
    <xdr:sp macro="" textlink="">
      <xdr:nvSpPr>
        <xdr:cNvPr id="23446" name="6">
          <a:extLst>
            <a:ext uri="{FF2B5EF4-FFF2-40B4-BE49-F238E27FC236}">
              <a16:creationId xmlns:a16="http://schemas.microsoft.com/office/drawing/2014/main" id="{DBC6B9B9-FC32-4EC8-8599-0585648627A6}"/>
            </a:ext>
          </a:extLst>
        </xdr:cNvPr>
        <xdr:cNvSpPr/>
      </xdr:nvSpPr>
      <xdr:spPr>
        <a:xfrm>
          <a:off x="12959443" y="15963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9</xdr:row>
      <xdr:rowOff>72390</xdr:rowOff>
    </xdr:from>
    <xdr:to>
      <xdr:col>31</xdr:col>
      <xdr:colOff>0</xdr:colOff>
      <xdr:row>9</xdr:row>
      <xdr:rowOff>72390</xdr:rowOff>
    </xdr:to>
    <xdr:cxnSp macro="">
      <xdr:nvCxnSpPr>
        <xdr:cNvPr id="23447" name="직선 화살표 연결선 23446">
          <a:extLst>
            <a:ext uri="{FF2B5EF4-FFF2-40B4-BE49-F238E27FC236}">
              <a16:creationId xmlns:a16="http://schemas.microsoft.com/office/drawing/2014/main" id="{FD358FB8-99D7-4175-9E1C-E88B7D8CF603}"/>
            </a:ext>
          </a:extLst>
        </xdr:cNvPr>
        <xdr:cNvCxnSpPr/>
      </xdr:nvCxnSpPr>
      <xdr:spPr>
        <a:xfrm>
          <a:off x="12959443" y="16535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8</xdr:row>
      <xdr:rowOff>15240</xdr:rowOff>
    </xdr:from>
    <xdr:to>
      <xdr:col>31</xdr:col>
      <xdr:colOff>0</xdr:colOff>
      <xdr:row>8</xdr:row>
      <xdr:rowOff>129540</xdr:rowOff>
    </xdr:to>
    <xdr:sp macro="" textlink="">
      <xdr:nvSpPr>
        <xdr:cNvPr id="23448" name="5">
          <a:extLst>
            <a:ext uri="{FF2B5EF4-FFF2-40B4-BE49-F238E27FC236}">
              <a16:creationId xmlns:a16="http://schemas.microsoft.com/office/drawing/2014/main" id="{0239D0FC-ACFD-4CB0-BDA6-F2C374B73B22}"/>
            </a:ext>
          </a:extLst>
        </xdr:cNvPr>
        <xdr:cNvSpPr/>
      </xdr:nvSpPr>
      <xdr:spPr>
        <a:xfrm>
          <a:off x="12959443" y="14439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8</xdr:row>
      <xdr:rowOff>72390</xdr:rowOff>
    </xdr:from>
    <xdr:to>
      <xdr:col>31</xdr:col>
      <xdr:colOff>0</xdr:colOff>
      <xdr:row>8</xdr:row>
      <xdr:rowOff>72390</xdr:rowOff>
    </xdr:to>
    <xdr:cxnSp macro="">
      <xdr:nvCxnSpPr>
        <xdr:cNvPr id="23449" name="직선 화살표 연결선 23448">
          <a:extLst>
            <a:ext uri="{FF2B5EF4-FFF2-40B4-BE49-F238E27FC236}">
              <a16:creationId xmlns:a16="http://schemas.microsoft.com/office/drawing/2014/main" id="{7DEC2C1B-0E48-4D48-B97B-9F132DE1ED6E}"/>
            </a:ext>
          </a:extLst>
        </xdr:cNvPr>
        <xdr:cNvCxnSpPr/>
      </xdr:nvCxnSpPr>
      <xdr:spPr>
        <a:xfrm>
          <a:off x="12959443" y="15011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7</xdr:row>
      <xdr:rowOff>15240</xdr:rowOff>
    </xdr:from>
    <xdr:to>
      <xdr:col>31</xdr:col>
      <xdr:colOff>0</xdr:colOff>
      <xdr:row>7</xdr:row>
      <xdr:rowOff>129540</xdr:rowOff>
    </xdr:to>
    <xdr:sp macro="" textlink="">
      <xdr:nvSpPr>
        <xdr:cNvPr id="23450" name="4">
          <a:extLst>
            <a:ext uri="{FF2B5EF4-FFF2-40B4-BE49-F238E27FC236}">
              <a16:creationId xmlns:a16="http://schemas.microsoft.com/office/drawing/2014/main" id="{E9797ADD-47F7-4CD4-B925-720764BB7A61}"/>
            </a:ext>
          </a:extLst>
        </xdr:cNvPr>
        <xdr:cNvSpPr/>
      </xdr:nvSpPr>
      <xdr:spPr>
        <a:xfrm>
          <a:off x="12959443" y="12915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7</xdr:row>
      <xdr:rowOff>72390</xdr:rowOff>
    </xdr:from>
    <xdr:to>
      <xdr:col>31</xdr:col>
      <xdr:colOff>0</xdr:colOff>
      <xdr:row>7</xdr:row>
      <xdr:rowOff>72390</xdr:rowOff>
    </xdr:to>
    <xdr:cxnSp macro="">
      <xdr:nvCxnSpPr>
        <xdr:cNvPr id="23451" name="직선 화살표 연결선 23450">
          <a:extLst>
            <a:ext uri="{FF2B5EF4-FFF2-40B4-BE49-F238E27FC236}">
              <a16:creationId xmlns:a16="http://schemas.microsoft.com/office/drawing/2014/main" id="{50C6B3F3-2945-4463-B601-E225ADEA910E}"/>
            </a:ext>
          </a:extLst>
        </xdr:cNvPr>
        <xdr:cNvCxnSpPr/>
      </xdr:nvCxnSpPr>
      <xdr:spPr>
        <a:xfrm>
          <a:off x="12959443" y="13487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6</xdr:row>
      <xdr:rowOff>15240</xdr:rowOff>
    </xdr:from>
    <xdr:to>
      <xdr:col>31</xdr:col>
      <xdr:colOff>0</xdr:colOff>
      <xdr:row>6</xdr:row>
      <xdr:rowOff>129540</xdr:rowOff>
    </xdr:to>
    <xdr:sp macro="" textlink="">
      <xdr:nvSpPr>
        <xdr:cNvPr id="23452" name="3">
          <a:extLst>
            <a:ext uri="{FF2B5EF4-FFF2-40B4-BE49-F238E27FC236}">
              <a16:creationId xmlns:a16="http://schemas.microsoft.com/office/drawing/2014/main" id="{C68C4724-664B-4E62-8EB9-713299D8598A}"/>
            </a:ext>
          </a:extLst>
        </xdr:cNvPr>
        <xdr:cNvSpPr/>
      </xdr:nvSpPr>
      <xdr:spPr>
        <a:xfrm>
          <a:off x="12959443" y="113919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6</xdr:row>
      <xdr:rowOff>72390</xdr:rowOff>
    </xdr:from>
    <xdr:to>
      <xdr:col>31</xdr:col>
      <xdr:colOff>0</xdr:colOff>
      <xdr:row>6</xdr:row>
      <xdr:rowOff>72390</xdr:rowOff>
    </xdr:to>
    <xdr:cxnSp macro="">
      <xdr:nvCxnSpPr>
        <xdr:cNvPr id="23453" name="직선 화살표 연결선 23452">
          <a:extLst>
            <a:ext uri="{FF2B5EF4-FFF2-40B4-BE49-F238E27FC236}">
              <a16:creationId xmlns:a16="http://schemas.microsoft.com/office/drawing/2014/main" id="{DED23A60-2CAC-4716-9B39-9A10CC70C141}"/>
            </a:ext>
          </a:extLst>
        </xdr:cNvPr>
        <xdr:cNvCxnSpPr/>
      </xdr:nvCxnSpPr>
      <xdr:spPr>
        <a:xfrm>
          <a:off x="12959443" y="119634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5</xdr:row>
      <xdr:rowOff>15240</xdr:rowOff>
    </xdr:from>
    <xdr:to>
      <xdr:col>31</xdr:col>
      <xdr:colOff>0</xdr:colOff>
      <xdr:row>5</xdr:row>
      <xdr:rowOff>129540</xdr:rowOff>
    </xdr:to>
    <xdr:sp macro="" textlink="">
      <xdr:nvSpPr>
        <xdr:cNvPr id="23454" name="2">
          <a:extLst>
            <a:ext uri="{FF2B5EF4-FFF2-40B4-BE49-F238E27FC236}">
              <a16:creationId xmlns:a16="http://schemas.microsoft.com/office/drawing/2014/main" id="{AAD7FC33-4A88-47CA-BDAA-65FC62D19B78}"/>
            </a:ext>
          </a:extLst>
        </xdr:cNvPr>
        <xdr:cNvSpPr/>
      </xdr:nvSpPr>
      <xdr:spPr>
        <a:xfrm>
          <a:off x="12959443" y="986790"/>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5</xdr:row>
      <xdr:rowOff>72390</xdr:rowOff>
    </xdr:from>
    <xdr:to>
      <xdr:col>31</xdr:col>
      <xdr:colOff>0</xdr:colOff>
      <xdr:row>5</xdr:row>
      <xdr:rowOff>72390</xdr:rowOff>
    </xdr:to>
    <xdr:cxnSp macro="">
      <xdr:nvCxnSpPr>
        <xdr:cNvPr id="23455" name="직선 화살표 연결선 23454">
          <a:extLst>
            <a:ext uri="{FF2B5EF4-FFF2-40B4-BE49-F238E27FC236}">
              <a16:creationId xmlns:a16="http://schemas.microsoft.com/office/drawing/2014/main" id="{ECBCDBA4-4181-44DC-ADB6-799A33399AAC}"/>
            </a:ext>
          </a:extLst>
        </xdr:cNvPr>
        <xdr:cNvCxnSpPr/>
      </xdr:nvCxnSpPr>
      <xdr:spPr>
        <a:xfrm>
          <a:off x="12959443" y="1043940"/>
          <a:ext cx="682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624568</xdr:colOff>
      <xdr:row>4</xdr:row>
      <xdr:rowOff>15240</xdr:rowOff>
    </xdr:from>
    <xdr:to>
      <xdr:col>31</xdr:col>
      <xdr:colOff>0</xdr:colOff>
      <xdr:row>4</xdr:row>
      <xdr:rowOff>129540</xdr:rowOff>
    </xdr:to>
    <xdr:sp macro="" textlink="">
      <xdr:nvSpPr>
        <xdr:cNvPr id="23456" name="1">
          <a:extLst>
            <a:ext uri="{FF2B5EF4-FFF2-40B4-BE49-F238E27FC236}">
              <a16:creationId xmlns:a16="http://schemas.microsoft.com/office/drawing/2014/main" id="{D856A70D-CAF8-418E-BA10-396A5B8AEB1B}"/>
            </a:ext>
          </a:extLst>
        </xdr:cNvPr>
        <xdr:cNvSpPr/>
      </xdr:nvSpPr>
      <xdr:spPr>
        <a:xfrm>
          <a:off x="12959443" y="834390"/>
          <a:ext cx="77573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624568</xdr:colOff>
      <xdr:row>4</xdr:row>
      <xdr:rowOff>72390</xdr:rowOff>
    </xdr:from>
    <xdr:to>
      <xdr:col>31</xdr:col>
      <xdr:colOff>0</xdr:colOff>
      <xdr:row>4</xdr:row>
      <xdr:rowOff>72390</xdr:rowOff>
    </xdr:to>
    <xdr:cxnSp macro="">
      <xdr:nvCxnSpPr>
        <xdr:cNvPr id="23457" name="직선 화살표 연결선 23456">
          <a:extLst>
            <a:ext uri="{FF2B5EF4-FFF2-40B4-BE49-F238E27FC236}">
              <a16:creationId xmlns:a16="http://schemas.microsoft.com/office/drawing/2014/main" id="{DA0F7CD6-10B5-43BC-9C69-C6FC6793E1F5}"/>
            </a:ext>
          </a:extLst>
        </xdr:cNvPr>
        <xdr:cNvCxnSpPr/>
      </xdr:nvCxnSpPr>
      <xdr:spPr>
        <a:xfrm>
          <a:off x="12959443" y="891540"/>
          <a:ext cx="2474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8208" name="44">
          <a:extLst>
            <a:ext uri="{FF2B5EF4-FFF2-40B4-BE49-F238E27FC236}">
              <a16:creationId xmlns:a16="http://schemas.microsoft.com/office/drawing/2014/main" id="{0C38E618-5087-5D73-78E6-0278286649D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8209" name="직선 화살표 연결선 28208">
          <a:extLst>
            <a:ext uri="{FF2B5EF4-FFF2-40B4-BE49-F238E27FC236}">
              <a16:creationId xmlns:a16="http://schemas.microsoft.com/office/drawing/2014/main" id="{A6A915DF-0ECA-17BD-CFDE-1F0E7B9C33B6}"/>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8210" name="43">
          <a:extLst>
            <a:ext uri="{FF2B5EF4-FFF2-40B4-BE49-F238E27FC236}">
              <a16:creationId xmlns:a16="http://schemas.microsoft.com/office/drawing/2014/main" id="{0BC59CC2-4466-B3C1-E69F-F8A8ADD9B399}"/>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8211" name="직선 화살표 연결선 28210">
          <a:extLst>
            <a:ext uri="{FF2B5EF4-FFF2-40B4-BE49-F238E27FC236}">
              <a16:creationId xmlns:a16="http://schemas.microsoft.com/office/drawing/2014/main" id="{9B0951BC-1162-7496-5DCF-408745BDB9F5}"/>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8212" name="42">
          <a:extLst>
            <a:ext uri="{FF2B5EF4-FFF2-40B4-BE49-F238E27FC236}">
              <a16:creationId xmlns:a16="http://schemas.microsoft.com/office/drawing/2014/main" id="{8398D862-666F-27F6-E638-A4F9E9811BD3}"/>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8213" name="직선 화살표 연결선 28212">
          <a:extLst>
            <a:ext uri="{FF2B5EF4-FFF2-40B4-BE49-F238E27FC236}">
              <a16:creationId xmlns:a16="http://schemas.microsoft.com/office/drawing/2014/main" id="{53AD0F30-10AB-9CDA-1702-D0F2557A926D}"/>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8214" name="41">
          <a:extLst>
            <a:ext uri="{FF2B5EF4-FFF2-40B4-BE49-F238E27FC236}">
              <a16:creationId xmlns:a16="http://schemas.microsoft.com/office/drawing/2014/main" id="{6ABA5CF5-9F6B-969A-569F-F7AAFDE8CE97}"/>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8215" name="직선 화살표 연결선 28214">
          <a:extLst>
            <a:ext uri="{FF2B5EF4-FFF2-40B4-BE49-F238E27FC236}">
              <a16:creationId xmlns:a16="http://schemas.microsoft.com/office/drawing/2014/main" id="{45211EC5-591A-1FFB-4C27-BCE1785B2C8F}"/>
            </a:ext>
          </a:extLst>
        </xdr:cNvPr>
        <xdr:cNvCxnSpPr/>
      </xdr:nvCxnSpPr>
      <xdr:spPr>
        <a:xfrm>
          <a:off x="12944475" y="6991350"/>
          <a:ext cx="4670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28238" name="10">
          <a:extLst>
            <a:ext uri="{FF2B5EF4-FFF2-40B4-BE49-F238E27FC236}">
              <a16:creationId xmlns:a16="http://schemas.microsoft.com/office/drawing/2014/main" id="{3A050E46-61BF-AA78-12E7-CC67FE371495}"/>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28239" name="직선 화살표 연결선 28238">
          <a:extLst>
            <a:ext uri="{FF2B5EF4-FFF2-40B4-BE49-F238E27FC236}">
              <a16:creationId xmlns:a16="http://schemas.microsoft.com/office/drawing/2014/main" id="{03E07B5A-D12F-25CC-0ECC-143C9EE94B28}"/>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28240" name="9">
          <a:extLst>
            <a:ext uri="{FF2B5EF4-FFF2-40B4-BE49-F238E27FC236}">
              <a16:creationId xmlns:a16="http://schemas.microsoft.com/office/drawing/2014/main" id="{4A6DFEBD-F309-A1F7-5D30-3EA9CDAE2365}"/>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28241" name="직선 화살표 연결선 28240">
          <a:extLst>
            <a:ext uri="{FF2B5EF4-FFF2-40B4-BE49-F238E27FC236}">
              <a16:creationId xmlns:a16="http://schemas.microsoft.com/office/drawing/2014/main" id="{C17726F7-60A6-8FF1-1B48-39D36786A4BD}"/>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28242" name="8">
          <a:extLst>
            <a:ext uri="{FF2B5EF4-FFF2-40B4-BE49-F238E27FC236}">
              <a16:creationId xmlns:a16="http://schemas.microsoft.com/office/drawing/2014/main" id="{ED1B2F60-41F5-C703-F950-1F2DB592BC58}"/>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28243" name="직선 화살표 연결선 28242">
          <a:extLst>
            <a:ext uri="{FF2B5EF4-FFF2-40B4-BE49-F238E27FC236}">
              <a16:creationId xmlns:a16="http://schemas.microsoft.com/office/drawing/2014/main" id="{EB648030-5BD3-8999-C8FB-3F2A40188983}"/>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28244" name="7">
          <a:extLst>
            <a:ext uri="{FF2B5EF4-FFF2-40B4-BE49-F238E27FC236}">
              <a16:creationId xmlns:a16="http://schemas.microsoft.com/office/drawing/2014/main" id="{ABA054BE-D05F-201D-0FF8-8FB4CF89E703}"/>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28245" name="6">
          <a:extLst>
            <a:ext uri="{FF2B5EF4-FFF2-40B4-BE49-F238E27FC236}">
              <a16:creationId xmlns:a16="http://schemas.microsoft.com/office/drawing/2014/main" id="{5E48B0BB-141F-AD8D-A0E3-ED1889A019B0}"/>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28246" name="직선 화살표 연결선 28245">
          <a:extLst>
            <a:ext uri="{FF2B5EF4-FFF2-40B4-BE49-F238E27FC236}">
              <a16:creationId xmlns:a16="http://schemas.microsoft.com/office/drawing/2014/main" id="{D04B1BCC-A005-D5EF-251F-573E92BFD2D8}"/>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28247" name="5">
          <a:extLst>
            <a:ext uri="{FF2B5EF4-FFF2-40B4-BE49-F238E27FC236}">
              <a16:creationId xmlns:a16="http://schemas.microsoft.com/office/drawing/2014/main" id="{E3391045-47D8-552A-84D9-A776EF80C5C2}"/>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28248" name="직선 화살표 연결선 28247">
          <a:extLst>
            <a:ext uri="{FF2B5EF4-FFF2-40B4-BE49-F238E27FC236}">
              <a16:creationId xmlns:a16="http://schemas.microsoft.com/office/drawing/2014/main" id="{8CFCD0CF-33BC-9CFF-847C-038F68A04F79}"/>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28249" name="4">
          <a:extLst>
            <a:ext uri="{FF2B5EF4-FFF2-40B4-BE49-F238E27FC236}">
              <a16:creationId xmlns:a16="http://schemas.microsoft.com/office/drawing/2014/main" id="{F38C4F5A-86D4-983F-D10F-DBB284A85A35}"/>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28250" name="직선 화살표 연결선 28249">
          <a:extLst>
            <a:ext uri="{FF2B5EF4-FFF2-40B4-BE49-F238E27FC236}">
              <a16:creationId xmlns:a16="http://schemas.microsoft.com/office/drawing/2014/main" id="{4B9C00D6-9F76-5154-E473-DFCB2551710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28251" name="3">
          <a:extLst>
            <a:ext uri="{FF2B5EF4-FFF2-40B4-BE49-F238E27FC236}">
              <a16:creationId xmlns:a16="http://schemas.microsoft.com/office/drawing/2014/main" id="{598AE149-7C6A-7F7F-725E-D49A79E0DA0C}"/>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28252" name="직선 화살표 연결선 28251">
          <a:extLst>
            <a:ext uri="{FF2B5EF4-FFF2-40B4-BE49-F238E27FC236}">
              <a16:creationId xmlns:a16="http://schemas.microsoft.com/office/drawing/2014/main" id="{3F74ABA7-DB9F-E49A-D74B-0801B7C31F94}"/>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28253" name="2">
          <a:extLst>
            <a:ext uri="{FF2B5EF4-FFF2-40B4-BE49-F238E27FC236}">
              <a16:creationId xmlns:a16="http://schemas.microsoft.com/office/drawing/2014/main" id="{A269A922-EA85-9095-625F-3A7024374185}"/>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28254" name="직선 화살표 연결선 28253">
          <a:extLst>
            <a:ext uri="{FF2B5EF4-FFF2-40B4-BE49-F238E27FC236}">
              <a16:creationId xmlns:a16="http://schemas.microsoft.com/office/drawing/2014/main" id="{C1F191B0-72F8-E8CA-C825-D2AC198402E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28255" name="1">
          <a:extLst>
            <a:ext uri="{FF2B5EF4-FFF2-40B4-BE49-F238E27FC236}">
              <a16:creationId xmlns:a16="http://schemas.microsoft.com/office/drawing/2014/main" id="{DF8C646D-CC96-CAB2-54CE-33F9E7E6B32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28256" name="직선 화살표 연결선 28255">
          <a:extLst>
            <a:ext uri="{FF2B5EF4-FFF2-40B4-BE49-F238E27FC236}">
              <a16:creationId xmlns:a16="http://schemas.microsoft.com/office/drawing/2014/main" id="{612A61F2-8C60-D065-BCA5-9C064FFF537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5826" name="44">
          <a:extLst>
            <a:ext uri="{FF2B5EF4-FFF2-40B4-BE49-F238E27FC236}">
              <a16:creationId xmlns:a16="http://schemas.microsoft.com/office/drawing/2014/main" id="{BD306D60-FD3E-6FEB-7C64-93849F550DF1}"/>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5827" name="직선 화살표 연결선 35826">
          <a:extLst>
            <a:ext uri="{FF2B5EF4-FFF2-40B4-BE49-F238E27FC236}">
              <a16:creationId xmlns:a16="http://schemas.microsoft.com/office/drawing/2014/main" id="{B7042D82-E448-B796-75E6-64BDF9AF6EB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5828" name="43">
          <a:extLst>
            <a:ext uri="{FF2B5EF4-FFF2-40B4-BE49-F238E27FC236}">
              <a16:creationId xmlns:a16="http://schemas.microsoft.com/office/drawing/2014/main" id="{BFC550F2-317C-4C8F-648F-BFD925A08D7F}"/>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5829" name="직선 화살표 연결선 35828">
          <a:extLst>
            <a:ext uri="{FF2B5EF4-FFF2-40B4-BE49-F238E27FC236}">
              <a16:creationId xmlns:a16="http://schemas.microsoft.com/office/drawing/2014/main" id="{FF39706B-E6E8-0CF2-D602-53476F9462C2}"/>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5830" name="42">
          <a:extLst>
            <a:ext uri="{FF2B5EF4-FFF2-40B4-BE49-F238E27FC236}">
              <a16:creationId xmlns:a16="http://schemas.microsoft.com/office/drawing/2014/main" id="{D3D36B27-BB40-FDDE-4542-9664DC37D0FF}"/>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5831" name="직선 화살표 연결선 35830">
          <a:extLst>
            <a:ext uri="{FF2B5EF4-FFF2-40B4-BE49-F238E27FC236}">
              <a16:creationId xmlns:a16="http://schemas.microsoft.com/office/drawing/2014/main" id="{5571E83E-BA72-74B1-09DE-261039BA4C88}"/>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5832" name="41">
          <a:extLst>
            <a:ext uri="{FF2B5EF4-FFF2-40B4-BE49-F238E27FC236}">
              <a16:creationId xmlns:a16="http://schemas.microsoft.com/office/drawing/2014/main" id="{DD347309-5E15-4F35-A6FB-F333A11FEEFC}"/>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5833" name="직선 화살표 연결선 35832">
          <a:extLst>
            <a:ext uri="{FF2B5EF4-FFF2-40B4-BE49-F238E27FC236}">
              <a16:creationId xmlns:a16="http://schemas.microsoft.com/office/drawing/2014/main" id="{8B8CC2A6-A495-E4FA-DE8A-752D88D3E43E}"/>
            </a:ext>
          </a:extLst>
        </xdr:cNvPr>
        <xdr:cNvCxnSpPr/>
      </xdr:nvCxnSpPr>
      <xdr:spPr>
        <a:xfrm>
          <a:off x="12944475" y="6991350"/>
          <a:ext cx="4583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5856" name="10">
          <a:extLst>
            <a:ext uri="{FF2B5EF4-FFF2-40B4-BE49-F238E27FC236}">
              <a16:creationId xmlns:a16="http://schemas.microsoft.com/office/drawing/2014/main" id="{D92F7E8B-2ECE-B634-D1F1-4FE49C6CC73C}"/>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5857" name="직선 화살표 연결선 35856">
          <a:extLst>
            <a:ext uri="{FF2B5EF4-FFF2-40B4-BE49-F238E27FC236}">
              <a16:creationId xmlns:a16="http://schemas.microsoft.com/office/drawing/2014/main" id="{5D895A2B-8CD0-F8ED-7943-A5C6F46AD2A2}"/>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5858" name="9">
          <a:extLst>
            <a:ext uri="{FF2B5EF4-FFF2-40B4-BE49-F238E27FC236}">
              <a16:creationId xmlns:a16="http://schemas.microsoft.com/office/drawing/2014/main" id="{A60C84D9-9605-E51B-5D5B-A34A009A580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5859" name="직선 화살표 연결선 35858">
          <a:extLst>
            <a:ext uri="{FF2B5EF4-FFF2-40B4-BE49-F238E27FC236}">
              <a16:creationId xmlns:a16="http://schemas.microsoft.com/office/drawing/2014/main" id="{4DC9E0E3-EA37-6803-33BE-683435E6A5AE}"/>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5860" name="8">
          <a:extLst>
            <a:ext uri="{FF2B5EF4-FFF2-40B4-BE49-F238E27FC236}">
              <a16:creationId xmlns:a16="http://schemas.microsoft.com/office/drawing/2014/main" id="{4F1AABAD-9F30-CF2E-8465-445B038F194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5861" name="직선 화살표 연결선 35860">
          <a:extLst>
            <a:ext uri="{FF2B5EF4-FFF2-40B4-BE49-F238E27FC236}">
              <a16:creationId xmlns:a16="http://schemas.microsoft.com/office/drawing/2014/main" id="{9E7BEEAF-520A-E771-DE61-DE63F5A88494}"/>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5862" name="7">
          <a:extLst>
            <a:ext uri="{FF2B5EF4-FFF2-40B4-BE49-F238E27FC236}">
              <a16:creationId xmlns:a16="http://schemas.microsoft.com/office/drawing/2014/main" id="{50809D30-A4F3-93ED-BF0B-C13938F537EC}"/>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5863" name="6">
          <a:extLst>
            <a:ext uri="{FF2B5EF4-FFF2-40B4-BE49-F238E27FC236}">
              <a16:creationId xmlns:a16="http://schemas.microsoft.com/office/drawing/2014/main" id="{CCD08C9D-978E-148C-FD8A-137E87D558CF}"/>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5864" name="직선 화살표 연결선 35863">
          <a:extLst>
            <a:ext uri="{FF2B5EF4-FFF2-40B4-BE49-F238E27FC236}">
              <a16:creationId xmlns:a16="http://schemas.microsoft.com/office/drawing/2014/main" id="{F3520149-2413-F14F-ADA8-809FEB5D17A9}"/>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5865" name="5">
          <a:extLst>
            <a:ext uri="{FF2B5EF4-FFF2-40B4-BE49-F238E27FC236}">
              <a16:creationId xmlns:a16="http://schemas.microsoft.com/office/drawing/2014/main" id="{2667070A-66B2-063A-C0A1-2122C60F231C}"/>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5866" name="직선 화살표 연결선 35865">
          <a:extLst>
            <a:ext uri="{FF2B5EF4-FFF2-40B4-BE49-F238E27FC236}">
              <a16:creationId xmlns:a16="http://schemas.microsoft.com/office/drawing/2014/main" id="{0F101783-143C-E4F6-3B6E-1D316D28E35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5867" name="4">
          <a:extLst>
            <a:ext uri="{FF2B5EF4-FFF2-40B4-BE49-F238E27FC236}">
              <a16:creationId xmlns:a16="http://schemas.microsoft.com/office/drawing/2014/main" id="{FB932088-5F76-2B6B-EDF7-1263E0E3F60F}"/>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5868" name="직선 화살표 연결선 35867">
          <a:extLst>
            <a:ext uri="{FF2B5EF4-FFF2-40B4-BE49-F238E27FC236}">
              <a16:creationId xmlns:a16="http://schemas.microsoft.com/office/drawing/2014/main" id="{849ABBE7-E46E-E050-E5D5-E62D33F7DC15}"/>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5869" name="3">
          <a:extLst>
            <a:ext uri="{FF2B5EF4-FFF2-40B4-BE49-F238E27FC236}">
              <a16:creationId xmlns:a16="http://schemas.microsoft.com/office/drawing/2014/main" id="{270410F2-083C-38CD-85CB-555D689AE6E9}"/>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5870" name="직선 화살표 연결선 35869">
          <a:extLst>
            <a:ext uri="{FF2B5EF4-FFF2-40B4-BE49-F238E27FC236}">
              <a16:creationId xmlns:a16="http://schemas.microsoft.com/office/drawing/2014/main" id="{89E570DF-403C-DEB5-51DD-37C7AF99DA8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5871" name="2">
          <a:extLst>
            <a:ext uri="{FF2B5EF4-FFF2-40B4-BE49-F238E27FC236}">
              <a16:creationId xmlns:a16="http://schemas.microsoft.com/office/drawing/2014/main" id="{16096BFA-5555-4EE2-6AA5-003ADC96DFC5}"/>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5872" name="직선 화살표 연결선 35871">
          <a:extLst>
            <a:ext uri="{FF2B5EF4-FFF2-40B4-BE49-F238E27FC236}">
              <a16:creationId xmlns:a16="http://schemas.microsoft.com/office/drawing/2014/main" id="{AB4E15A2-3206-A58C-70BD-FA019B5B6A9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5873" name="1">
          <a:extLst>
            <a:ext uri="{FF2B5EF4-FFF2-40B4-BE49-F238E27FC236}">
              <a16:creationId xmlns:a16="http://schemas.microsoft.com/office/drawing/2014/main" id="{F5B82FAA-5B4E-F82E-51C0-4925B9AD4CFF}"/>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5874" name="직선 화살표 연결선 35873">
          <a:extLst>
            <a:ext uri="{FF2B5EF4-FFF2-40B4-BE49-F238E27FC236}">
              <a16:creationId xmlns:a16="http://schemas.microsoft.com/office/drawing/2014/main" id="{7FE7531D-6095-60E0-3C20-AA3640AB1C2A}"/>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9794" name="44">
          <a:extLst>
            <a:ext uri="{FF2B5EF4-FFF2-40B4-BE49-F238E27FC236}">
              <a16:creationId xmlns:a16="http://schemas.microsoft.com/office/drawing/2014/main" id="{5786B4A7-412F-2072-9F36-79D3B677FC6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9795" name="직선 화살표 연결선 29794">
          <a:extLst>
            <a:ext uri="{FF2B5EF4-FFF2-40B4-BE49-F238E27FC236}">
              <a16:creationId xmlns:a16="http://schemas.microsoft.com/office/drawing/2014/main" id="{D2FE8430-CA7E-74D5-60A2-33CBB7C6FB8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9796" name="43">
          <a:extLst>
            <a:ext uri="{FF2B5EF4-FFF2-40B4-BE49-F238E27FC236}">
              <a16:creationId xmlns:a16="http://schemas.microsoft.com/office/drawing/2014/main" id="{F8D7D827-2F40-041E-519D-143FEEBCECA6}"/>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9797" name="직선 화살표 연결선 29796">
          <a:extLst>
            <a:ext uri="{FF2B5EF4-FFF2-40B4-BE49-F238E27FC236}">
              <a16:creationId xmlns:a16="http://schemas.microsoft.com/office/drawing/2014/main" id="{8B51A16B-9BA6-CF6E-DFB8-CBDE0D743AAA}"/>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9798" name="42">
          <a:extLst>
            <a:ext uri="{FF2B5EF4-FFF2-40B4-BE49-F238E27FC236}">
              <a16:creationId xmlns:a16="http://schemas.microsoft.com/office/drawing/2014/main" id="{526540D2-7CDE-6947-2188-1DE3CFF35C4C}"/>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9799" name="직선 화살표 연결선 29798">
          <a:extLst>
            <a:ext uri="{FF2B5EF4-FFF2-40B4-BE49-F238E27FC236}">
              <a16:creationId xmlns:a16="http://schemas.microsoft.com/office/drawing/2014/main" id="{7E48CBF8-3E96-4466-E412-12709B08488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9800" name="41">
          <a:extLst>
            <a:ext uri="{FF2B5EF4-FFF2-40B4-BE49-F238E27FC236}">
              <a16:creationId xmlns:a16="http://schemas.microsoft.com/office/drawing/2014/main" id="{9CEF00CB-0F46-BF02-4DC8-CDBD72462A2B}"/>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9801" name="직선 화살표 연결선 29800">
          <a:extLst>
            <a:ext uri="{FF2B5EF4-FFF2-40B4-BE49-F238E27FC236}">
              <a16:creationId xmlns:a16="http://schemas.microsoft.com/office/drawing/2014/main" id="{4B745011-5873-75E0-33FF-31770C4B7F71}"/>
            </a:ext>
          </a:extLst>
        </xdr:cNvPr>
        <xdr:cNvCxnSpPr/>
      </xdr:nvCxnSpPr>
      <xdr:spPr>
        <a:xfrm>
          <a:off x="12944475" y="6991350"/>
          <a:ext cx="4557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23030" name="10">
          <a:extLst>
            <a:ext uri="{FF2B5EF4-FFF2-40B4-BE49-F238E27FC236}">
              <a16:creationId xmlns:a16="http://schemas.microsoft.com/office/drawing/2014/main" id="{F70C1A70-DA1E-D41B-BE8F-4CD6D297C8E4}"/>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23031" name="직선 화살표 연결선 23030">
          <a:extLst>
            <a:ext uri="{FF2B5EF4-FFF2-40B4-BE49-F238E27FC236}">
              <a16:creationId xmlns:a16="http://schemas.microsoft.com/office/drawing/2014/main" id="{1EC6F780-399B-25DA-5F0C-9A2F53CD4A82}"/>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23032" name="9">
          <a:extLst>
            <a:ext uri="{FF2B5EF4-FFF2-40B4-BE49-F238E27FC236}">
              <a16:creationId xmlns:a16="http://schemas.microsoft.com/office/drawing/2014/main" id="{131F4DC6-9B4A-07DE-A0BE-B20AD27D65F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23033" name="직선 화살표 연결선 23032">
          <a:extLst>
            <a:ext uri="{FF2B5EF4-FFF2-40B4-BE49-F238E27FC236}">
              <a16:creationId xmlns:a16="http://schemas.microsoft.com/office/drawing/2014/main" id="{EE07C243-7753-8A95-CD70-9AAB5168F26F}"/>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23034" name="8">
          <a:extLst>
            <a:ext uri="{FF2B5EF4-FFF2-40B4-BE49-F238E27FC236}">
              <a16:creationId xmlns:a16="http://schemas.microsoft.com/office/drawing/2014/main" id="{D2606741-7C37-876A-46EA-BEBDE13A8FE9}"/>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23035" name="직선 화살표 연결선 23034">
          <a:extLst>
            <a:ext uri="{FF2B5EF4-FFF2-40B4-BE49-F238E27FC236}">
              <a16:creationId xmlns:a16="http://schemas.microsoft.com/office/drawing/2014/main" id="{5134A7F6-E7DD-0657-8ADB-0BBB7C288BE9}"/>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23036" name="7">
          <a:extLst>
            <a:ext uri="{FF2B5EF4-FFF2-40B4-BE49-F238E27FC236}">
              <a16:creationId xmlns:a16="http://schemas.microsoft.com/office/drawing/2014/main" id="{414FCCD6-EAF0-9F39-EB9A-80A49352A94B}"/>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23037" name="6">
          <a:extLst>
            <a:ext uri="{FF2B5EF4-FFF2-40B4-BE49-F238E27FC236}">
              <a16:creationId xmlns:a16="http://schemas.microsoft.com/office/drawing/2014/main" id="{47057443-53E6-7B9D-917D-C8FAA1F7325F}"/>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23038" name="직선 화살표 연결선 23037">
          <a:extLst>
            <a:ext uri="{FF2B5EF4-FFF2-40B4-BE49-F238E27FC236}">
              <a16:creationId xmlns:a16="http://schemas.microsoft.com/office/drawing/2014/main" id="{107C6134-3BF7-868A-1ACE-DCF0C266FE4B}"/>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23039" name="5">
          <a:extLst>
            <a:ext uri="{FF2B5EF4-FFF2-40B4-BE49-F238E27FC236}">
              <a16:creationId xmlns:a16="http://schemas.microsoft.com/office/drawing/2014/main" id="{08E1DE7B-BFEB-5EC5-20E9-A884F4AB97E9}"/>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29824" name="직선 화살표 연결선 29823">
          <a:extLst>
            <a:ext uri="{FF2B5EF4-FFF2-40B4-BE49-F238E27FC236}">
              <a16:creationId xmlns:a16="http://schemas.microsoft.com/office/drawing/2014/main" id="{779CFD2A-5A97-E2A8-E837-B38F05ADAF5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29825" name="4">
          <a:extLst>
            <a:ext uri="{FF2B5EF4-FFF2-40B4-BE49-F238E27FC236}">
              <a16:creationId xmlns:a16="http://schemas.microsoft.com/office/drawing/2014/main" id="{36E40EB6-D1ED-83D8-7C76-8E8169744AA7}"/>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29826" name="직선 화살표 연결선 29825">
          <a:extLst>
            <a:ext uri="{FF2B5EF4-FFF2-40B4-BE49-F238E27FC236}">
              <a16:creationId xmlns:a16="http://schemas.microsoft.com/office/drawing/2014/main" id="{A27803E5-52A0-202D-9979-E392123023AC}"/>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29827" name="3">
          <a:extLst>
            <a:ext uri="{FF2B5EF4-FFF2-40B4-BE49-F238E27FC236}">
              <a16:creationId xmlns:a16="http://schemas.microsoft.com/office/drawing/2014/main" id="{02FE874D-5973-461C-BEEB-FD5EB483D570}"/>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29828" name="직선 화살표 연결선 29827">
          <a:extLst>
            <a:ext uri="{FF2B5EF4-FFF2-40B4-BE49-F238E27FC236}">
              <a16:creationId xmlns:a16="http://schemas.microsoft.com/office/drawing/2014/main" id="{B2AEFD2D-3141-7F50-3933-EE2CA4BA4BAD}"/>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29829" name="2">
          <a:extLst>
            <a:ext uri="{FF2B5EF4-FFF2-40B4-BE49-F238E27FC236}">
              <a16:creationId xmlns:a16="http://schemas.microsoft.com/office/drawing/2014/main" id="{217E521B-4D8E-2A80-7B3D-06762F718C6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29830" name="직선 화살표 연결선 29829">
          <a:extLst>
            <a:ext uri="{FF2B5EF4-FFF2-40B4-BE49-F238E27FC236}">
              <a16:creationId xmlns:a16="http://schemas.microsoft.com/office/drawing/2014/main" id="{557D5F1B-7A21-6933-5384-14AC5F3271A1}"/>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29831" name="1">
          <a:extLst>
            <a:ext uri="{FF2B5EF4-FFF2-40B4-BE49-F238E27FC236}">
              <a16:creationId xmlns:a16="http://schemas.microsoft.com/office/drawing/2014/main" id="{8C2D66DE-167F-4928-428B-0B6ECFA54ED8}"/>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29851" name="직선 화살표 연결선 29850">
          <a:extLst>
            <a:ext uri="{FF2B5EF4-FFF2-40B4-BE49-F238E27FC236}">
              <a16:creationId xmlns:a16="http://schemas.microsoft.com/office/drawing/2014/main" id="{130F8208-3B31-59EF-9A6D-B2AAD4612A5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0240" name="44">
          <a:extLst>
            <a:ext uri="{FF2B5EF4-FFF2-40B4-BE49-F238E27FC236}">
              <a16:creationId xmlns:a16="http://schemas.microsoft.com/office/drawing/2014/main" id="{4BD6AB33-92FE-1A43-4D05-AE47B0437CC4}"/>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0241" name="직선 화살표 연결선 30240">
          <a:extLst>
            <a:ext uri="{FF2B5EF4-FFF2-40B4-BE49-F238E27FC236}">
              <a16:creationId xmlns:a16="http://schemas.microsoft.com/office/drawing/2014/main" id="{F1E5AF03-43B9-3CBF-C868-344007CB8B7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0242" name="43">
          <a:extLst>
            <a:ext uri="{FF2B5EF4-FFF2-40B4-BE49-F238E27FC236}">
              <a16:creationId xmlns:a16="http://schemas.microsoft.com/office/drawing/2014/main" id="{7B60508A-97F6-5A5E-D7D7-14E95B2C38BD}"/>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0243" name="직선 화살표 연결선 30242">
          <a:extLst>
            <a:ext uri="{FF2B5EF4-FFF2-40B4-BE49-F238E27FC236}">
              <a16:creationId xmlns:a16="http://schemas.microsoft.com/office/drawing/2014/main" id="{225B8F5F-90F6-D5E7-A620-B20153E394FE}"/>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0244" name="42">
          <a:extLst>
            <a:ext uri="{FF2B5EF4-FFF2-40B4-BE49-F238E27FC236}">
              <a16:creationId xmlns:a16="http://schemas.microsoft.com/office/drawing/2014/main" id="{20F5C719-E2D6-E9C5-BD5B-8E144D14D50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0245" name="직선 화살표 연결선 30244">
          <a:extLst>
            <a:ext uri="{FF2B5EF4-FFF2-40B4-BE49-F238E27FC236}">
              <a16:creationId xmlns:a16="http://schemas.microsoft.com/office/drawing/2014/main" id="{663BC5BF-7328-AD3D-104B-1A67FD7F4C6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0246" name="41">
          <a:extLst>
            <a:ext uri="{FF2B5EF4-FFF2-40B4-BE49-F238E27FC236}">
              <a16:creationId xmlns:a16="http://schemas.microsoft.com/office/drawing/2014/main" id="{ECEA7FC9-4BC4-10D8-04B1-95D42AB3F611}"/>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0247" name="직선 화살표 연결선 30246">
          <a:extLst>
            <a:ext uri="{FF2B5EF4-FFF2-40B4-BE49-F238E27FC236}">
              <a16:creationId xmlns:a16="http://schemas.microsoft.com/office/drawing/2014/main" id="{9CA8D97F-6AEF-7337-C423-94E31CCC4414}"/>
            </a:ext>
          </a:extLst>
        </xdr:cNvPr>
        <xdr:cNvCxnSpPr/>
      </xdr:nvCxnSpPr>
      <xdr:spPr>
        <a:xfrm>
          <a:off x="12944475" y="6991350"/>
          <a:ext cx="4514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23479" name="10">
          <a:extLst>
            <a:ext uri="{FF2B5EF4-FFF2-40B4-BE49-F238E27FC236}">
              <a16:creationId xmlns:a16="http://schemas.microsoft.com/office/drawing/2014/main" id="{CAEC791A-172A-2436-DD62-C1378E69EC4C}"/>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23480" name="직선 화살표 연결선 23479">
          <a:extLst>
            <a:ext uri="{FF2B5EF4-FFF2-40B4-BE49-F238E27FC236}">
              <a16:creationId xmlns:a16="http://schemas.microsoft.com/office/drawing/2014/main" id="{E8400E89-F066-673B-610E-7BC757147C6D}"/>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23481" name="9">
          <a:extLst>
            <a:ext uri="{FF2B5EF4-FFF2-40B4-BE49-F238E27FC236}">
              <a16:creationId xmlns:a16="http://schemas.microsoft.com/office/drawing/2014/main" id="{086EA107-56CA-BFF5-102E-FE072CECC2CE}"/>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23482" name="직선 화살표 연결선 23481">
          <a:extLst>
            <a:ext uri="{FF2B5EF4-FFF2-40B4-BE49-F238E27FC236}">
              <a16:creationId xmlns:a16="http://schemas.microsoft.com/office/drawing/2014/main" id="{F4662ECB-FDD4-8151-3D4C-97EF9C519FC7}"/>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23483" name="8">
          <a:extLst>
            <a:ext uri="{FF2B5EF4-FFF2-40B4-BE49-F238E27FC236}">
              <a16:creationId xmlns:a16="http://schemas.microsoft.com/office/drawing/2014/main" id="{C5FD4ED5-2CFA-33F3-F1AF-A23CE81F62E9}"/>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23484" name="직선 화살표 연결선 23483">
          <a:extLst>
            <a:ext uri="{FF2B5EF4-FFF2-40B4-BE49-F238E27FC236}">
              <a16:creationId xmlns:a16="http://schemas.microsoft.com/office/drawing/2014/main" id="{90967362-D2E5-B734-D26C-B1FCC7FE0944}"/>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23485" name="7">
          <a:extLst>
            <a:ext uri="{FF2B5EF4-FFF2-40B4-BE49-F238E27FC236}">
              <a16:creationId xmlns:a16="http://schemas.microsoft.com/office/drawing/2014/main" id="{B2151DD9-C16A-6218-3DC5-7C6CAFFC15E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23486" name="6">
          <a:extLst>
            <a:ext uri="{FF2B5EF4-FFF2-40B4-BE49-F238E27FC236}">
              <a16:creationId xmlns:a16="http://schemas.microsoft.com/office/drawing/2014/main" id="{0EB18733-8A4A-4BE5-D473-FE320433F471}"/>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0290" name="직선 화살표 연결선 30289">
          <a:extLst>
            <a:ext uri="{FF2B5EF4-FFF2-40B4-BE49-F238E27FC236}">
              <a16:creationId xmlns:a16="http://schemas.microsoft.com/office/drawing/2014/main" id="{A8366932-F78C-872F-1285-8A710D15DE15}"/>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0291" name="5">
          <a:extLst>
            <a:ext uri="{FF2B5EF4-FFF2-40B4-BE49-F238E27FC236}">
              <a16:creationId xmlns:a16="http://schemas.microsoft.com/office/drawing/2014/main" id="{5ADED9F9-23DF-6DD0-2F19-EA96F3CE35D9}"/>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0292" name="직선 화살표 연결선 30291">
          <a:extLst>
            <a:ext uri="{FF2B5EF4-FFF2-40B4-BE49-F238E27FC236}">
              <a16:creationId xmlns:a16="http://schemas.microsoft.com/office/drawing/2014/main" id="{E29F44F2-28BF-5CB3-E701-0D39FDB1A3BA}"/>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0293" name="4">
          <a:extLst>
            <a:ext uri="{FF2B5EF4-FFF2-40B4-BE49-F238E27FC236}">
              <a16:creationId xmlns:a16="http://schemas.microsoft.com/office/drawing/2014/main" id="{AB357366-BB2B-3ADC-074E-A7946DE97E5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0294" name="직선 화살표 연결선 30293">
          <a:extLst>
            <a:ext uri="{FF2B5EF4-FFF2-40B4-BE49-F238E27FC236}">
              <a16:creationId xmlns:a16="http://schemas.microsoft.com/office/drawing/2014/main" id="{E537258A-DF93-EF0C-3363-1DFE7FA54E6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0295" name="3">
          <a:extLst>
            <a:ext uri="{FF2B5EF4-FFF2-40B4-BE49-F238E27FC236}">
              <a16:creationId xmlns:a16="http://schemas.microsoft.com/office/drawing/2014/main" id="{D9E4A683-901F-F941-D5EC-4132035C9155}"/>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0296" name="직선 화살표 연결선 30295">
          <a:extLst>
            <a:ext uri="{FF2B5EF4-FFF2-40B4-BE49-F238E27FC236}">
              <a16:creationId xmlns:a16="http://schemas.microsoft.com/office/drawing/2014/main" id="{79152A22-C87E-410D-7DBE-3BC85BC2B7D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0297" name="2">
          <a:extLst>
            <a:ext uri="{FF2B5EF4-FFF2-40B4-BE49-F238E27FC236}">
              <a16:creationId xmlns:a16="http://schemas.microsoft.com/office/drawing/2014/main" id="{93464675-90BA-070C-4D11-17A1FCA6A355}"/>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0298" name="직선 화살표 연결선 30297">
          <a:extLst>
            <a:ext uri="{FF2B5EF4-FFF2-40B4-BE49-F238E27FC236}">
              <a16:creationId xmlns:a16="http://schemas.microsoft.com/office/drawing/2014/main" id="{A973C905-DAB3-CDDB-EF3F-EB7579630C39}"/>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0299" name="1">
          <a:extLst>
            <a:ext uri="{FF2B5EF4-FFF2-40B4-BE49-F238E27FC236}">
              <a16:creationId xmlns:a16="http://schemas.microsoft.com/office/drawing/2014/main" id="{64AEA376-D531-02D0-5A63-6EF2BF01024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0300" name="직선 화살표 연결선 30299">
          <a:extLst>
            <a:ext uri="{FF2B5EF4-FFF2-40B4-BE49-F238E27FC236}">
              <a16:creationId xmlns:a16="http://schemas.microsoft.com/office/drawing/2014/main" id="{E44CC403-BAFF-1444-E6F0-A840F9BC0F9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3954" name="44">
          <a:extLst>
            <a:ext uri="{FF2B5EF4-FFF2-40B4-BE49-F238E27FC236}">
              <a16:creationId xmlns:a16="http://schemas.microsoft.com/office/drawing/2014/main" id="{241720D1-F473-1851-AD92-34605B3E807F}"/>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3955" name="직선 화살표 연결선 23954">
          <a:extLst>
            <a:ext uri="{FF2B5EF4-FFF2-40B4-BE49-F238E27FC236}">
              <a16:creationId xmlns:a16="http://schemas.microsoft.com/office/drawing/2014/main" id="{12181283-59E8-EAAB-91EF-FF3D40925524}"/>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3956" name="43">
          <a:extLst>
            <a:ext uri="{FF2B5EF4-FFF2-40B4-BE49-F238E27FC236}">
              <a16:creationId xmlns:a16="http://schemas.microsoft.com/office/drawing/2014/main" id="{79E28166-5BE3-FA22-BD5A-6F1CDFA40B35}"/>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3957" name="직선 화살표 연결선 23956">
          <a:extLst>
            <a:ext uri="{FF2B5EF4-FFF2-40B4-BE49-F238E27FC236}">
              <a16:creationId xmlns:a16="http://schemas.microsoft.com/office/drawing/2014/main" id="{DBA334BC-99BB-049B-6058-E03C85EC5CBD}"/>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3958" name="42">
          <a:extLst>
            <a:ext uri="{FF2B5EF4-FFF2-40B4-BE49-F238E27FC236}">
              <a16:creationId xmlns:a16="http://schemas.microsoft.com/office/drawing/2014/main" id="{493D2F7A-D4F9-1F0D-7C63-07FEDCFC03C0}"/>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3959" name="직선 화살표 연결선 23958">
          <a:extLst>
            <a:ext uri="{FF2B5EF4-FFF2-40B4-BE49-F238E27FC236}">
              <a16:creationId xmlns:a16="http://schemas.microsoft.com/office/drawing/2014/main" id="{3EB7FC55-0A20-0095-4532-D95196F00FB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3960" name="41">
          <a:extLst>
            <a:ext uri="{FF2B5EF4-FFF2-40B4-BE49-F238E27FC236}">
              <a16:creationId xmlns:a16="http://schemas.microsoft.com/office/drawing/2014/main" id="{993182A5-211B-7861-61DB-C5EDFACC7DBC}"/>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3961" name="직선 화살표 연결선 23960">
          <a:extLst>
            <a:ext uri="{FF2B5EF4-FFF2-40B4-BE49-F238E27FC236}">
              <a16:creationId xmlns:a16="http://schemas.microsoft.com/office/drawing/2014/main" id="{46A64290-C46F-527E-0347-DE027065269F}"/>
            </a:ext>
          </a:extLst>
        </xdr:cNvPr>
        <xdr:cNvCxnSpPr/>
      </xdr:nvCxnSpPr>
      <xdr:spPr>
        <a:xfrm>
          <a:off x="12944475" y="6991350"/>
          <a:ext cx="4579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24120" name="10">
          <a:extLst>
            <a:ext uri="{FF2B5EF4-FFF2-40B4-BE49-F238E27FC236}">
              <a16:creationId xmlns:a16="http://schemas.microsoft.com/office/drawing/2014/main" id="{83C99FE3-FDA3-EE9F-8133-CF0D96895537}"/>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24121" name="직선 화살표 연결선 24120">
          <a:extLst>
            <a:ext uri="{FF2B5EF4-FFF2-40B4-BE49-F238E27FC236}">
              <a16:creationId xmlns:a16="http://schemas.microsoft.com/office/drawing/2014/main" id="{183B3A8B-BBBF-FBE1-4607-7C3A138347BA}"/>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24122" name="9">
          <a:extLst>
            <a:ext uri="{FF2B5EF4-FFF2-40B4-BE49-F238E27FC236}">
              <a16:creationId xmlns:a16="http://schemas.microsoft.com/office/drawing/2014/main" id="{8B18EDDD-E967-B468-159E-9144FA95865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24123" name="직선 화살표 연결선 24122">
          <a:extLst>
            <a:ext uri="{FF2B5EF4-FFF2-40B4-BE49-F238E27FC236}">
              <a16:creationId xmlns:a16="http://schemas.microsoft.com/office/drawing/2014/main" id="{F02CABE3-1CE0-B750-01E5-8893BF0001FE}"/>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24124" name="8">
          <a:extLst>
            <a:ext uri="{FF2B5EF4-FFF2-40B4-BE49-F238E27FC236}">
              <a16:creationId xmlns:a16="http://schemas.microsoft.com/office/drawing/2014/main" id="{CEF9106C-39A7-F481-3334-1908B683F259}"/>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24125" name="직선 화살표 연결선 24124">
          <a:extLst>
            <a:ext uri="{FF2B5EF4-FFF2-40B4-BE49-F238E27FC236}">
              <a16:creationId xmlns:a16="http://schemas.microsoft.com/office/drawing/2014/main" id="{8E727EBE-81BB-D6C2-B0B3-15840E0AF3A3}"/>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24126" name="7">
          <a:extLst>
            <a:ext uri="{FF2B5EF4-FFF2-40B4-BE49-F238E27FC236}">
              <a16:creationId xmlns:a16="http://schemas.microsoft.com/office/drawing/2014/main" id="{BA802EB8-EB61-784F-7C39-E0384C74019C}"/>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24127" name="6">
          <a:extLst>
            <a:ext uri="{FF2B5EF4-FFF2-40B4-BE49-F238E27FC236}">
              <a16:creationId xmlns:a16="http://schemas.microsoft.com/office/drawing/2014/main" id="{DA2F14F9-31B6-0DD1-BBBF-064B90D4CE99}"/>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24128" name="직선 화살표 연결선 24127">
          <a:extLst>
            <a:ext uri="{FF2B5EF4-FFF2-40B4-BE49-F238E27FC236}">
              <a16:creationId xmlns:a16="http://schemas.microsoft.com/office/drawing/2014/main" id="{AAC5F5A3-3993-6372-3C0C-E60ABE16543F}"/>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24129" name="5">
          <a:extLst>
            <a:ext uri="{FF2B5EF4-FFF2-40B4-BE49-F238E27FC236}">
              <a16:creationId xmlns:a16="http://schemas.microsoft.com/office/drawing/2014/main" id="{4C80B864-791A-53E3-8A70-4C46EF604F27}"/>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24130" name="직선 화살표 연결선 24129">
          <a:extLst>
            <a:ext uri="{FF2B5EF4-FFF2-40B4-BE49-F238E27FC236}">
              <a16:creationId xmlns:a16="http://schemas.microsoft.com/office/drawing/2014/main" id="{6FBC3E90-9CCF-4E8B-8E1C-C3FCDB5A5DC4}"/>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24131" name="4">
          <a:extLst>
            <a:ext uri="{FF2B5EF4-FFF2-40B4-BE49-F238E27FC236}">
              <a16:creationId xmlns:a16="http://schemas.microsoft.com/office/drawing/2014/main" id="{AB7BFF8B-B273-C4E9-E76F-EB5691C8DB4C}"/>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24132" name="직선 화살표 연결선 24131">
          <a:extLst>
            <a:ext uri="{FF2B5EF4-FFF2-40B4-BE49-F238E27FC236}">
              <a16:creationId xmlns:a16="http://schemas.microsoft.com/office/drawing/2014/main" id="{7CCF1E02-5AD6-E61E-B31F-68F31873EA96}"/>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24133" name="3">
          <a:extLst>
            <a:ext uri="{FF2B5EF4-FFF2-40B4-BE49-F238E27FC236}">
              <a16:creationId xmlns:a16="http://schemas.microsoft.com/office/drawing/2014/main" id="{392AB7BA-66B2-93C7-2D45-A41A1257087E}"/>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24134" name="직선 화살표 연결선 24133">
          <a:extLst>
            <a:ext uri="{FF2B5EF4-FFF2-40B4-BE49-F238E27FC236}">
              <a16:creationId xmlns:a16="http://schemas.microsoft.com/office/drawing/2014/main" id="{4C127B57-FF14-08A1-5093-386DA71A157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24135" name="2">
          <a:extLst>
            <a:ext uri="{FF2B5EF4-FFF2-40B4-BE49-F238E27FC236}">
              <a16:creationId xmlns:a16="http://schemas.microsoft.com/office/drawing/2014/main" id="{537B82A5-E304-8ED8-50CE-2F8C84652120}"/>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24136" name="직선 화살표 연결선 24135">
          <a:extLst>
            <a:ext uri="{FF2B5EF4-FFF2-40B4-BE49-F238E27FC236}">
              <a16:creationId xmlns:a16="http://schemas.microsoft.com/office/drawing/2014/main" id="{F554DA73-7F82-7B3E-0343-74C53C666EC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24137" name="1">
          <a:extLst>
            <a:ext uri="{FF2B5EF4-FFF2-40B4-BE49-F238E27FC236}">
              <a16:creationId xmlns:a16="http://schemas.microsoft.com/office/drawing/2014/main" id="{704364BD-D2D7-3212-9B13-E41FC1238BBA}"/>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24138" name="직선 화살표 연결선 24137">
          <a:extLst>
            <a:ext uri="{FF2B5EF4-FFF2-40B4-BE49-F238E27FC236}">
              <a16:creationId xmlns:a16="http://schemas.microsoft.com/office/drawing/2014/main" id="{DBC84DB6-A636-F351-EB6A-E6FFA83AF34F}"/>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4550" name="44">
          <a:extLst>
            <a:ext uri="{FF2B5EF4-FFF2-40B4-BE49-F238E27FC236}">
              <a16:creationId xmlns:a16="http://schemas.microsoft.com/office/drawing/2014/main" id="{20333FBB-DFA1-84B9-8818-537C96B8717A}"/>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4551" name="직선 화살표 연결선 24550">
          <a:extLst>
            <a:ext uri="{FF2B5EF4-FFF2-40B4-BE49-F238E27FC236}">
              <a16:creationId xmlns:a16="http://schemas.microsoft.com/office/drawing/2014/main" id="{CFE5D0D6-7C4E-3C32-9CE1-6CF94BC8D3B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4552" name="43">
          <a:extLst>
            <a:ext uri="{FF2B5EF4-FFF2-40B4-BE49-F238E27FC236}">
              <a16:creationId xmlns:a16="http://schemas.microsoft.com/office/drawing/2014/main" id="{67386560-9EF1-0E39-4535-0C1DB29C9CA2}"/>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4553" name="직선 화살표 연결선 24552">
          <a:extLst>
            <a:ext uri="{FF2B5EF4-FFF2-40B4-BE49-F238E27FC236}">
              <a16:creationId xmlns:a16="http://schemas.microsoft.com/office/drawing/2014/main" id="{87F2EA2C-C3BB-2428-B8E4-BE247E417F73}"/>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4554" name="42">
          <a:extLst>
            <a:ext uri="{FF2B5EF4-FFF2-40B4-BE49-F238E27FC236}">
              <a16:creationId xmlns:a16="http://schemas.microsoft.com/office/drawing/2014/main" id="{B6F5FB39-2009-434C-EB01-37B953C9057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4555" name="직선 화살표 연결선 24554">
          <a:extLst>
            <a:ext uri="{FF2B5EF4-FFF2-40B4-BE49-F238E27FC236}">
              <a16:creationId xmlns:a16="http://schemas.microsoft.com/office/drawing/2014/main" id="{0E3D6E5F-2BFD-AABE-82C9-D3FD19ECA987}"/>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4556" name="41">
          <a:extLst>
            <a:ext uri="{FF2B5EF4-FFF2-40B4-BE49-F238E27FC236}">
              <a16:creationId xmlns:a16="http://schemas.microsoft.com/office/drawing/2014/main" id="{B19A52E5-1445-8FF9-4F6A-068706506F15}"/>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4557" name="직선 화살표 연결선 24556">
          <a:extLst>
            <a:ext uri="{FF2B5EF4-FFF2-40B4-BE49-F238E27FC236}">
              <a16:creationId xmlns:a16="http://schemas.microsoft.com/office/drawing/2014/main" id="{9AD36715-E64D-16D7-D9DB-6EE33437E0CB}"/>
            </a:ext>
          </a:extLst>
        </xdr:cNvPr>
        <xdr:cNvCxnSpPr/>
      </xdr:nvCxnSpPr>
      <xdr:spPr>
        <a:xfrm>
          <a:off x="12944475" y="6991350"/>
          <a:ext cx="4571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1401" name="10">
          <a:extLst>
            <a:ext uri="{FF2B5EF4-FFF2-40B4-BE49-F238E27FC236}">
              <a16:creationId xmlns:a16="http://schemas.microsoft.com/office/drawing/2014/main" id="{7777CB18-2D2F-67C1-CB5C-268639AC84EE}"/>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1402" name="직선 화살표 연결선 31401">
          <a:extLst>
            <a:ext uri="{FF2B5EF4-FFF2-40B4-BE49-F238E27FC236}">
              <a16:creationId xmlns:a16="http://schemas.microsoft.com/office/drawing/2014/main" id="{BEC83A7F-55C6-FF1E-E22B-827AC3825A74}"/>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1403" name="9">
          <a:extLst>
            <a:ext uri="{FF2B5EF4-FFF2-40B4-BE49-F238E27FC236}">
              <a16:creationId xmlns:a16="http://schemas.microsoft.com/office/drawing/2014/main" id="{492FA352-5DA1-AE28-9DF6-3EF4D3A874FE}"/>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1404" name="직선 화살표 연결선 31403">
          <a:extLst>
            <a:ext uri="{FF2B5EF4-FFF2-40B4-BE49-F238E27FC236}">
              <a16:creationId xmlns:a16="http://schemas.microsoft.com/office/drawing/2014/main" id="{BF1D55C2-7C9F-E0C0-9CB8-F04B53EABD82}"/>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1405" name="8">
          <a:extLst>
            <a:ext uri="{FF2B5EF4-FFF2-40B4-BE49-F238E27FC236}">
              <a16:creationId xmlns:a16="http://schemas.microsoft.com/office/drawing/2014/main" id="{EB9CD861-4DAD-7A27-BC74-1B83233CDCD8}"/>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1406" name="직선 화살표 연결선 31405">
          <a:extLst>
            <a:ext uri="{FF2B5EF4-FFF2-40B4-BE49-F238E27FC236}">
              <a16:creationId xmlns:a16="http://schemas.microsoft.com/office/drawing/2014/main" id="{0314D615-A336-9E07-3D97-EC42B6C7ED90}"/>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1415" name="7">
          <a:extLst>
            <a:ext uri="{FF2B5EF4-FFF2-40B4-BE49-F238E27FC236}">
              <a16:creationId xmlns:a16="http://schemas.microsoft.com/office/drawing/2014/main" id="{415B3E9E-EE38-F746-FA38-8A9E539F7157}"/>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1416" name="6">
          <a:extLst>
            <a:ext uri="{FF2B5EF4-FFF2-40B4-BE49-F238E27FC236}">
              <a16:creationId xmlns:a16="http://schemas.microsoft.com/office/drawing/2014/main" id="{4F7E5CB0-6621-F7EF-BB38-A56DC21FAEC8}"/>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1417" name="직선 화살표 연결선 31416">
          <a:extLst>
            <a:ext uri="{FF2B5EF4-FFF2-40B4-BE49-F238E27FC236}">
              <a16:creationId xmlns:a16="http://schemas.microsoft.com/office/drawing/2014/main" id="{C193381D-FEAE-EDE0-A9B7-F18BF123E2AD}"/>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1418" name="5">
          <a:extLst>
            <a:ext uri="{FF2B5EF4-FFF2-40B4-BE49-F238E27FC236}">
              <a16:creationId xmlns:a16="http://schemas.microsoft.com/office/drawing/2014/main" id="{657B68BD-4B1E-8ED8-3EAB-2ADFEB031E13}"/>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1419" name="직선 화살표 연결선 31418">
          <a:extLst>
            <a:ext uri="{FF2B5EF4-FFF2-40B4-BE49-F238E27FC236}">
              <a16:creationId xmlns:a16="http://schemas.microsoft.com/office/drawing/2014/main" id="{E60FABB4-E3C8-2FEB-5189-B6D15617F106}"/>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1420" name="4">
          <a:extLst>
            <a:ext uri="{FF2B5EF4-FFF2-40B4-BE49-F238E27FC236}">
              <a16:creationId xmlns:a16="http://schemas.microsoft.com/office/drawing/2014/main" id="{84E23253-55DC-8B78-D81D-609F8ABC305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1421" name="직선 화살표 연결선 31420">
          <a:extLst>
            <a:ext uri="{FF2B5EF4-FFF2-40B4-BE49-F238E27FC236}">
              <a16:creationId xmlns:a16="http://schemas.microsoft.com/office/drawing/2014/main" id="{41C731DC-6A05-1FF8-8414-E5DC5990042A}"/>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1422" name="3">
          <a:extLst>
            <a:ext uri="{FF2B5EF4-FFF2-40B4-BE49-F238E27FC236}">
              <a16:creationId xmlns:a16="http://schemas.microsoft.com/office/drawing/2014/main" id="{5C2F775C-540D-47DD-D464-78F9C6E39AEA}"/>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1423" name="직선 화살표 연결선 31422">
          <a:extLst>
            <a:ext uri="{FF2B5EF4-FFF2-40B4-BE49-F238E27FC236}">
              <a16:creationId xmlns:a16="http://schemas.microsoft.com/office/drawing/2014/main" id="{E643AA1C-BD57-5806-3C3E-08C07C48D58C}"/>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24576" name="2">
          <a:extLst>
            <a:ext uri="{FF2B5EF4-FFF2-40B4-BE49-F238E27FC236}">
              <a16:creationId xmlns:a16="http://schemas.microsoft.com/office/drawing/2014/main" id="{0A3F6113-94B3-C331-487A-239437D416F1}"/>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24577" name="직선 화살표 연결선 24576">
          <a:extLst>
            <a:ext uri="{FF2B5EF4-FFF2-40B4-BE49-F238E27FC236}">
              <a16:creationId xmlns:a16="http://schemas.microsoft.com/office/drawing/2014/main" id="{DAFA2DE4-80F2-7603-4EA7-10EA92C67DC9}"/>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24578" name="1">
          <a:extLst>
            <a:ext uri="{FF2B5EF4-FFF2-40B4-BE49-F238E27FC236}">
              <a16:creationId xmlns:a16="http://schemas.microsoft.com/office/drawing/2014/main" id="{AFFA171D-1E5A-B77B-AD82-ED559DB22747}"/>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24579" name="직선 화살표 연결선 24578">
          <a:extLst>
            <a:ext uri="{FF2B5EF4-FFF2-40B4-BE49-F238E27FC236}">
              <a16:creationId xmlns:a16="http://schemas.microsoft.com/office/drawing/2014/main" id="{9D78C996-C48F-C83A-276F-63A1520BBB9B}"/>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4972" name="44">
          <a:extLst>
            <a:ext uri="{FF2B5EF4-FFF2-40B4-BE49-F238E27FC236}">
              <a16:creationId xmlns:a16="http://schemas.microsoft.com/office/drawing/2014/main" id="{575A834A-D055-65EF-BB08-D858850ECA35}"/>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4973" name="직선 화살표 연결선 24972">
          <a:extLst>
            <a:ext uri="{FF2B5EF4-FFF2-40B4-BE49-F238E27FC236}">
              <a16:creationId xmlns:a16="http://schemas.microsoft.com/office/drawing/2014/main" id="{B43214EB-6191-D1C6-6A1C-9F780C8853D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4974" name="43">
          <a:extLst>
            <a:ext uri="{FF2B5EF4-FFF2-40B4-BE49-F238E27FC236}">
              <a16:creationId xmlns:a16="http://schemas.microsoft.com/office/drawing/2014/main" id="{4266D18A-8214-AA4C-FF75-4B8204FC13C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4975" name="직선 화살표 연결선 24974">
          <a:extLst>
            <a:ext uri="{FF2B5EF4-FFF2-40B4-BE49-F238E27FC236}">
              <a16:creationId xmlns:a16="http://schemas.microsoft.com/office/drawing/2014/main" id="{1A7DD35F-2EBF-608E-0980-FDC9101A2311}"/>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4976" name="42">
          <a:extLst>
            <a:ext uri="{FF2B5EF4-FFF2-40B4-BE49-F238E27FC236}">
              <a16:creationId xmlns:a16="http://schemas.microsoft.com/office/drawing/2014/main" id="{CBCCCAC8-57C2-482F-E167-5DAC7BB31720}"/>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4977" name="직선 화살표 연결선 24976">
          <a:extLst>
            <a:ext uri="{FF2B5EF4-FFF2-40B4-BE49-F238E27FC236}">
              <a16:creationId xmlns:a16="http://schemas.microsoft.com/office/drawing/2014/main" id="{A12101E5-1498-FF30-5B3A-90021B769C51}"/>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4978" name="41">
          <a:extLst>
            <a:ext uri="{FF2B5EF4-FFF2-40B4-BE49-F238E27FC236}">
              <a16:creationId xmlns:a16="http://schemas.microsoft.com/office/drawing/2014/main" id="{FB4C1D8A-0491-A476-6424-6351F6CF32E4}"/>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4979" name="직선 화살표 연결선 24978">
          <a:extLst>
            <a:ext uri="{FF2B5EF4-FFF2-40B4-BE49-F238E27FC236}">
              <a16:creationId xmlns:a16="http://schemas.microsoft.com/office/drawing/2014/main" id="{7EBD33C8-F639-91E0-75B1-E0DCE856F0A3}"/>
            </a:ext>
          </a:extLst>
        </xdr:cNvPr>
        <xdr:cNvCxnSpPr/>
      </xdr:nvCxnSpPr>
      <xdr:spPr>
        <a:xfrm>
          <a:off x="12944475" y="6991350"/>
          <a:ext cx="4584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1919" name="10">
          <a:extLst>
            <a:ext uri="{FF2B5EF4-FFF2-40B4-BE49-F238E27FC236}">
              <a16:creationId xmlns:a16="http://schemas.microsoft.com/office/drawing/2014/main" id="{40C44C78-4154-2224-9FCB-3F82D71C039E}"/>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1920" name="직선 화살표 연결선 31919">
          <a:extLst>
            <a:ext uri="{FF2B5EF4-FFF2-40B4-BE49-F238E27FC236}">
              <a16:creationId xmlns:a16="http://schemas.microsoft.com/office/drawing/2014/main" id="{34532C76-D59D-FEEB-54AB-C4CB80FD351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1921" name="9">
          <a:extLst>
            <a:ext uri="{FF2B5EF4-FFF2-40B4-BE49-F238E27FC236}">
              <a16:creationId xmlns:a16="http://schemas.microsoft.com/office/drawing/2014/main" id="{A497511F-5F77-4B4D-FC8B-567554C2CB99}"/>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1922" name="직선 화살표 연결선 31921">
          <a:extLst>
            <a:ext uri="{FF2B5EF4-FFF2-40B4-BE49-F238E27FC236}">
              <a16:creationId xmlns:a16="http://schemas.microsoft.com/office/drawing/2014/main" id="{342DD263-8A59-A617-388E-8FE5B7563F27}"/>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1923" name="8">
          <a:extLst>
            <a:ext uri="{FF2B5EF4-FFF2-40B4-BE49-F238E27FC236}">
              <a16:creationId xmlns:a16="http://schemas.microsoft.com/office/drawing/2014/main" id="{D6960DD1-D32A-2C48-33FD-860EB733225C}"/>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1924" name="직선 화살표 연결선 31923">
          <a:extLst>
            <a:ext uri="{FF2B5EF4-FFF2-40B4-BE49-F238E27FC236}">
              <a16:creationId xmlns:a16="http://schemas.microsoft.com/office/drawing/2014/main" id="{7ADD40F3-B609-1977-6F08-56A8D9B73F64}"/>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1925" name="7">
          <a:extLst>
            <a:ext uri="{FF2B5EF4-FFF2-40B4-BE49-F238E27FC236}">
              <a16:creationId xmlns:a16="http://schemas.microsoft.com/office/drawing/2014/main" id="{CC6FF28A-28F1-2B23-0F01-97C6C8A46F1B}"/>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1926" name="6">
          <a:extLst>
            <a:ext uri="{FF2B5EF4-FFF2-40B4-BE49-F238E27FC236}">
              <a16:creationId xmlns:a16="http://schemas.microsoft.com/office/drawing/2014/main" id="{FC429900-8072-3128-1E12-8198CD1A0CBC}"/>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1927" name="직선 화살표 연결선 31926">
          <a:extLst>
            <a:ext uri="{FF2B5EF4-FFF2-40B4-BE49-F238E27FC236}">
              <a16:creationId xmlns:a16="http://schemas.microsoft.com/office/drawing/2014/main" id="{58CEC51C-88D5-F967-7015-D5048D48E5C9}"/>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1928" name="5">
          <a:extLst>
            <a:ext uri="{FF2B5EF4-FFF2-40B4-BE49-F238E27FC236}">
              <a16:creationId xmlns:a16="http://schemas.microsoft.com/office/drawing/2014/main" id="{9EBAC8E8-73BD-68FC-EA5F-DC4F81D2277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1929" name="직선 화살표 연결선 31928">
          <a:extLst>
            <a:ext uri="{FF2B5EF4-FFF2-40B4-BE49-F238E27FC236}">
              <a16:creationId xmlns:a16="http://schemas.microsoft.com/office/drawing/2014/main" id="{F0C6025C-C0F1-5727-529A-3AE8C2089FF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1930" name="4">
          <a:extLst>
            <a:ext uri="{FF2B5EF4-FFF2-40B4-BE49-F238E27FC236}">
              <a16:creationId xmlns:a16="http://schemas.microsoft.com/office/drawing/2014/main" id="{1B893BE4-EA4F-BF28-2CCE-912381FFED2C}"/>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1931" name="직선 화살표 연결선 31930">
          <a:extLst>
            <a:ext uri="{FF2B5EF4-FFF2-40B4-BE49-F238E27FC236}">
              <a16:creationId xmlns:a16="http://schemas.microsoft.com/office/drawing/2014/main" id="{3D6F9BD4-88E9-9E3D-3D42-F4A520C85214}"/>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1932" name="3">
          <a:extLst>
            <a:ext uri="{FF2B5EF4-FFF2-40B4-BE49-F238E27FC236}">
              <a16:creationId xmlns:a16="http://schemas.microsoft.com/office/drawing/2014/main" id="{34D2508D-D7BD-C651-7CFD-36F5B34226E8}"/>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1933" name="직선 화살표 연결선 31932">
          <a:extLst>
            <a:ext uri="{FF2B5EF4-FFF2-40B4-BE49-F238E27FC236}">
              <a16:creationId xmlns:a16="http://schemas.microsoft.com/office/drawing/2014/main" id="{051ECCDE-E1A2-C322-C021-F8C8477AF071}"/>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1934" name="2">
          <a:extLst>
            <a:ext uri="{FF2B5EF4-FFF2-40B4-BE49-F238E27FC236}">
              <a16:creationId xmlns:a16="http://schemas.microsoft.com/office/drawing/2014/main" id="{A27F3103-8099-E6FF-A533-0E66CE1BA126}"/>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1935" name="직선 화살표 연결선 31934">
          <a:extLst>
            <a:ext uri="{FF2B5EF4-FFF2-40B4-BE49-F238E27FC236}">
              <a16:creationId xmlns:a16="http://schemas.microsoft.com/office/drawing/2014/main" id="{995E3926-76EB-3C08-ED41-551F21E78CC6}"/>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25030" name="1">
          <a:extLst>
            <a:ext uri="{FF2B5EF4-FFF2-40B4-BE49-F238E27FC236}">
              <a16:creationId xmlns:a16="http://schemas.microsoft.com/office/drawing/2014/main" id="{0B24B7BB-6524-AF43-2F86-489E03D7E10F}"/>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25031" name="직선 화살표 연결선 25030">
          <a:extLst>
            <a:ext uri="{FF2B5EF4-FFF2-40B4-BE49-F238E27FC236}">
              <a16:creationId xmlns:a16="http://schemas.microsoft.com/office/drawing/2014/main" id="{C6DFFE0C-E820-868D-1574-1137D89B3A6F}"/>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27224" name="44">
          <a:extLst>
            <a:ext uri="{FF2B5EF4-FFF2-40B4-BE49-F238E27FC236}">
              <a16:creationId xmlns:a16="http://schemas.microsoft.com/office/drawing/2014/main" id="{731C9355-CB96-8459-7BDC-895D8DC0BAC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27225" name="직선 화살표 연결선 27224">
          <a:extLst>
            <a:ext uri="{FF2B5EF4-FFF2-40B4-BE49-F238E27FC236}">
              <a16:creationId xmlns:a16="http://schemas.microsoft.com/office/drawing/2014/main" id="{7F2A2F15-A458-62C7-2097-AC9F783D77D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27226" name="43">
          <a:extLst>
            <a:ext uri="{FF2B5EF4-FFF2-40B4-BE49-F238E27FC236}">
              <a16:creationId xmlns:a16="http://schemas.microsoft.com/office/drawing/2014/main" id="{C4B5CC2F-97DC-68F9-7B47-7EB55B080D33}"/>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27227" name="직선 화살표 연결선 27226">
          <a:extLst>
            <a:ext uri="{FF2B5EF4-FFF2-40B4-BE49-F238E27FC236}">
              <a16:creationId xmlns:a16="http://schemas.microsoft.com/office/drawing/2014/main" id="{73EFA3BA-A53D-C3B8-9467-A7D0405E56D1}"/>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27228" name="42">
          <a:extLst>
            <a:ext uri="{FF2B5EF4-FFF2-40B4-BE49-F238E27FC236}">
              <a16:creationId xmlns:a16="http://schemas.microsoft.com/office/drawing/2014/main" id="{EDCAC395-2F14-718E-0486-2C94CCF1DBD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27229" name="직선 화살표 연결선 27228">
          <a:extLst>
            <a:ext uri="{FF2B5EF4-FFF2-40B4-BE49-F238E27FC236}">
              <a16:creationId xmlns:a16="http://schemas.microsoft.com/office/drawing/2014/main" id="{3C58EFA4-5B05-7AA7-0523-EE2DEABE9DDC}"/>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27230" name="41">
          <a:extLst>
            <a:ext uri="{FF2B5EF4-FFF2-40B4-BE49-F238E27FC236}">
              <a16:creationId xmlns:a16="http://schemas.microsoft.com/office/drawing/2014/main" id="{7D92340E-455D-3AA2-46B6-E71D72B6E86D}"/>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27231" name="직선 화살표 연결선 27230">
          <a:extLst>
            <a:ext uri="{FF2B5EF4-FFF2-40B4-BE49-F238E27FC236}">
              <a16:creationId xmlns:a16="http://schemas.microsoft.com/office/drawing/2014/main" id="{31082F09-14BE-ED64-CEAD-11566D1A72E2}"/>
            </a:ext>
          </a:extLst>
        </xdr:cNvPr>
        <xdr:cNvCxnSpPr/>
      </xdr:nvCxnSpPr>
      <xdr:spPr>
        <a:xfrm>
          <a:off x="12944475" y="6991350"/>
          <a:ext cx="4584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6379" name="10">
          <a:extLst>
            <a:ext uri="{FF2B5EF4-FFF2-40B4-BE49-F238E27FC236}">
              <a16:creationId xmlns:a16="http://schemas.microsoft.com/office/drawing/2014/main" id="{BC81105D-8B05-B3BD-8499-744D630370B9}"/>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6380" name="직선 화살표 연결선 36379">
          <a:extLst>
            <a:ext uri="{FF2B5EF4-FFF2-40B4-BE49-F238E27FC236}">
              <a16:creationId xmlns:a16="http://schemas.microsoft.com/office/drawing/2014/main" id="{CFCD9AD6-A8E4-A683-7224-30C4D6886464}"/>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6381" name="9">
          <a:extLst>
            <a:ext uri="{FF2B5EF4-FFF2-40B4-BE49-F238E27FC236}">
              <a16:creationId xmlns:a16="http://schemas.microsoft.com/office/drawing/2014/main" id="{8BEE367C-CBE7-6587-F899-9E1A94A9167C}"/>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6382" name="직선 화살표 연결선 36381">
          <a:extLst>
            <a:ext uri="{FF2B5EF4-FFF2-40B4-BE49-F238E27FC236}">
              <a16:creationId xmlns:a16="http://schemas.microsoft.com/office/drawing/2014/main" id="{E0951136-21D9-49AC-AE81-190253D0A034}"/>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6383" name="8">
          <a:extLst>
            <a:ext uri="{FF2B5EF4-FFF2-40B4-BE49-F238E27FC236}">
              <a16:creationId xmlns:a16="http://schemas.microsoft.com/office/drawing/2014/main" id="{E2D4E346-E9D7-2BD1-92E6-EF87BA1291A9}"/>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6384" name="직선 화살표 연결선 36383">
          <a:extLst>
            <a:ext uri="{FF2B5EF4-FFF2-40B4-BE49-F238E27FC236}">
              <a16:creationId xmlns:a16="http://schemas.microsoft.com/office/drawing/2014/main" id="{9485E463-AFD6-290E-7067-87B70F6348BA}"/>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6385" name="7">
          <a:extLst>
            <a:ext uri="{FF2B5EF4-FFF2-40B4-BE49-F238E27FC236}">
              <a16:creationId xmlns:a16="http://schemas.microsoft.com/office/drawing/2014/main" id="{CB3B0D15-4CAB-123D-F602-5F6AB4D32355}"/>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6386" name="6">
          <a:extLst>
            <a:ext uri="{FF2B5EF4-FFF2-40B4-BE49-F238E27FC236}">
              <a16:creationId xmlns:a16="http://schemas.microsoft.com/office/drawing/2014/main" id="{AD694F8A-9F30-266F-FE22-C16508D6057B}"/>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6387" name="직선 화살표 연결선 36386">
          <a:extLst>
            <a:ext uri="{FF2B5EF4-FFF2-40B4-BE49-F238E27FC236}">
              <a16:creationId xmlns:a16="http://schemas.microsoft.com/office/drawing/2014/main" id="{0AD34659-8A1C-0910-FA2B-2AD91C82AC8D}"/>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6388" name="5">
          <a:extLst>
            <a:ext uri="{FF2B5EF4-FFF2-40B4-BE49-F238E27FC236}">
              <a16:creationId xmlns:a16="http://schemas.microsoft.com/office/drawing/2014/main" id="{9E7FA7A6-C311-E492-78A7-54C9E53AF2C6}"/>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6389" name="직선 화살표 연결선 36388">
          <a:extLst>
            <a:ext uri="{FF2B5EF4-FFF2-40B4-BE49-F238E27FC236}">
              <a16:creationId xmlns:a16="http://schemas.microsoft.com/office/drawing/2014/main" id="{33487D54-47C5-A587-F8E5-222CE0B78D94}"/>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6390" name="4">
          <a:extLst>
            <a:ext uri="{FF2B5EF4-FFF2-40B4-BE49-F238E27FC236}">
              <a16:creationId xmlns:a16="http://schemas.microsoft.com/office/drawing/2014/main" id="{9DAE3947-2264-9627-2D6B-4A8125390113}"/>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6391" name="직선 화살표 연결선 36390">
          <a:extLst>
            <a:ext uri="{FF2B5EF4-FFF2-40B4-BE49-F238E27FC236}">
              <a16:creationId xmlns:a16="http://schemas.microsoft.com/office/drawing/2014/main" id="{9EB4F53A-31BE-5D6A-2955-B10D1E758CE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6392" name="3">
          <a:extLst>
            <a:ext uri="{FF2B5EF4-FFF2-40B4-BE49-F238E27FC236}">
              <a16:creationId xmlns:a16="http://schemas.microsoft.com/office/drawing/2014/main" id="{4DD01D6E-2C2A-6FAF-DB8A-B668C80D25D0}"/>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6393" name="직선 화살표 연결선 36392">
          <a:extLst>
            <a:ext uri="{FF2B5EF4-FFF2-40B4-BE49-F238E27FC236}">
              <a16:creationId xmlns:a16="http://schemas.microsoft.com/office/drawing/2014/main" id="{81E3B79E-5BEB-D61D-E66F-BE78DCE9433E}"/>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6394" name="2">
          <a:extLst>
            <a:ext uri="{FF2B5EF4-FFF2-40B4-BE49-F238E27FC236}">
              <a16:creationId xmlns:a16="http://schemas.microsoft.com/office/drawing/2014/main" id="{45CFE120-B89D-8169-0DB5-983D7C8B337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6395" name="직선 화살표 연결선 36394">
          <a:extLst>
            <a:ext uri="{FF2B5EF4-FFF2-40B4-BE49-F238E27FC236}">
              <a16:creationId xmlns:a16="http://schemas.microsoft.com/office/drawing/2014/main" id="{CAED26E6-DB95-3376-960A-87E0B06251C1}"/>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6396" name="1">
          <a:extLst>
            <a:ext uri="{FF2B5EF4-FFF2-40B4-BE49-F238E27FC236}">
              <a16:creationId xmlns:a16="http://schemas.microsoft.com/office/drawing/2014/main" id="{7E6D0491-A84E-ECFD-2AD8-402D680EA0D8}"/>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6397" name="직선 화살표 연결선 36396">
          <a:extLst>
            <a:ext uri="{FF2B5EF4-FFF2-40B4-BE49-F238E27FC236}">
              <a16:creationId xmlns:a16="http://schemas.microsoft.com/office/drawing/2014/main" id="{E68B9386-08CF-E6EC-D577-65699FA2FF48}"/>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6765" name="44">
          <a:extLst>
            <a:ext uri="{FF2B5EF4-FFF2-40B4-BE49-F238E27FC236}">
              <a16:creationId xmlns:a16="http://schemas.microsoft.com/office/drawing/2014/main" id="{98C82BF1-F3CB-42C6-FD3C-CA27A66D5647}"/>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6766" name="직선 화살표 연결선 36765">
          <a:extLst>
            <a:ext uri="{FF2B5EF4-FFF2-40B4-BE49-F238E27FC236}">
              <a16:creationId xmlns:a16="http://schemas.microsoft.com/office/drawing/2014/main" id="{C171E4E9-78B2-F8C3-B5A9-6463D2DFD630}"/>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6767" name="43">
          <a:extLst>
            <a:ext uri="{FF2B5EF4-FFF2-40B4-BE49-F238E27FC236}">
              <a16:creationId xmlns:a16="http://schemas.microsoft.com/office/drawing/2014/main" id="{FC38F66B-6950-AB93-994B-7175DCFCFB85}"/>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6768" name="직선 화살표 연결선 36767">
          <a:extLst>
            <a:ext uri="{FF2B5EF4-FFF2-40B4-BE49-F238E27FC236}">
              <a16:creationId xmlns:a16="http://schemas.microsoft.com/office/drawing/2014/main" id="{B2151767-7CA0-D37E-3890-445CE2038925}"/>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6769" name="42">
          <a:extLst>
            <a:ext uri="{FF2B5EF4-FFF2-40B4-BE49-F238E27FC236}">
              <a16:creationId xmlns:a16="http://schemas.microsoft.com/office/drawing/2014/main" id="{4BEB8C77-3331-3949-45D0-FE8780BA0C93}"/>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6770" name="직선 화살표 연결선 36769">
          <a:extLst>
            <a:ext uri="{FF2B5EF4-FFF2-40B4-BE49-F238E27FC236}">
              <a16:creationId xmlns:a16="http://schemas.microsoft.com/office/drawing/2014/main" id="{9A15CF4A-AB0F-9E53-C1A8-CFFF98E603F2}"/>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6771" name="41">
          <a:extLst>
            <a:ext uri="{FF2B5EF4-FFF2-40B4-BE49-F238E27FC236}">
              <a16:creationId xmlns:a16="http://schemas.microsoft.com/office/drawing/2014/main" id="{8A43446F-9139-BE1E-834F-DC270CA8B780}"/>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6772" name="직선 화살표 연결선 36771">
          <a:extLst>
            <a:ext uri="{FF2B5EF4-FFF2-40B4-BE49-F238E27FC236}">
              <a16:creationId xmlns:a16="http://schemas.microsoft.com/office/drawing/2014/main" id="{E28A3AD9-E142-C869-52F1-705A62731A6B}"/>
            </a:ext>
          </a:extLst>
        </xdr:cNvPr>
        <xdr:cNvCxnSpPr/>
      </xdr:nvCxnSpPr>
      <xdr:spPr>
        <a:xfrm>
          <a:off x="12944475" y="6991350"/>
          <a:ext cx="4586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6832" name="10">
          <a:extLst>
            <a:ext uri="{FF2B5EF4-FFF2-40B4-BE49-F238E27FC236}">
              <a16:creationId xmlns:a16="http://schemas.microsoft.com/office/drawing/2014/main" id="{861FF6DD-5A6B-5881-2D8C-7CE646DE70AB}"/>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6833" name="직선 화살표 연결선 36832">
          <a:extLst>
            <a:ext uri="{FF2B5EF4-FFF2-40B4-BE49-F238E27FC236}">
              <a16:creationId xmlns:a16="http://schemas.microsoft.com/office/drawing/2014/main" id="{D0B833F2-C8C7-0D12-F8E5-B41932C71C39}"/>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6834" name="9">
          <a:extLst>
            <a:ext uri="{FF2B5EF4-FFF2-40B4-BE49-F238E27FC236}">
              <a16:creationId xmlns:a16="http://schemas.microsoft.com/office/drawing/2014/main" id="{3AC79E6A-8405-A0F7-FDBD-0E3C83156216}"/>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6835" name="직선 화살표 연결선 36834">
          <a:extLst>
            <a:ext uri="{FF2B5EF4-FFF2-40B4-BE49-F238E27FC236}">
              <a16:creationId xmlns:a16="http://schemas.microsoft.com/office/drawing/2014/main" id="{F3871BF6-49C2-2A92-7A37-CA030071E0AB}"/>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6836" name="8">
          <a:extLst>
            <a:ext uri="{FF2B5EF4-FFF2-40B4-BE49-F238E27FC236}">
              <a16:creationId xmlns:a16="http://schemas.microsoft.com/office/drawing/2014/main" id="{8D434303-9223-97DD-4DA5-CA1D62CEF63F}"/>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6837" name="직선 화살표 연결선 36836">
          <a:extLst>
            <a:ext uri="{FF2B5EF4-FFF2-40B4-BE49-F238E27FC236}">
              <a16:creationId xmlns:a16="http://schemas.microsoft.com/office/drawing/2014/main" id="{5D716D14-745B-7E6E-5E6A-C708B50A9EE6}"/>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6838" name="7">
          <a:extLst>
            <a:ext uri="{FF2B5EF4-FFF2-40B4-BE49-F238E27FC236}">
              <a16:creationId xmlns:a16="http://schemas.microsoft.com/office/drawing/2014/main" id="{4948C18B-D97E-AC6D-DF93-127C17A68F2F}"/>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6839" name="6">
          <a:extLst>
            <a:ext uri="{FF2B5EF4-FFF2-40B4-BE49-F238E27FC236}">
              <a16:creationId xmlns:a16="http://schemas.microsoft.com/office/drawing/2014/main" id="{9398C1E6-FFA6-318A-E562-395DE48EF5FA}"/>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6840" name="직선 화살표 연결선 36839">
          <a:extLst>
            <a:ext uri="{FF2B5EF4-FFF2-40B4-BE49-F238E27FC236}">
              <a16:creationId xmlns:a16="http://schemas.microsoft.com/office/drawing/2014/main" id="{C67423CF-8E43-35D1-5021-B216DFE87E85}"/>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6841" name="5">
          <a:extLst>
            <a:ext uri="{FF2B5EF4-FFF2-40B4-BE49-F238E27FC236}">
              <a16:creationId xmlns:a16="http://schemas.microsoft.com/office/drawing/2014/main" id="{BF0751D3-1056-6C61-8962-800B64789DB3}"/>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6842" name="직선 화살표 연결선 36841">
          <a:extLst>
            <a:ext uri="{FF2B5EF4-FFF2-40B4-BE49-F238E27FC236}">
              <a16:creationId xmlns:a16="http://schemas.microsoft.com/office/drawing/2014/main" id="{AB5F1F1D-7B07-5CA9-3385-86DA8881D1E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6843" name="4">
          <a:extLst>
            <a:ext uri="{FF2B5EF4-FFF2-40B4-BE49-F238E27FC236}">
              <a16:creationId xmlns:a16="http://schemas.microsoft.com/office/drawing/2014/main" id="{E3131C32-392C-2C5D-FDE4-3D401CB1A58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6844" name="직선 화살표 연결선 36843">
          <a:extLst>
            <a:ext uri="{FF2B5EF4-FFF2-40B4-BE49-F238E27FC236}">
              <a16:creationId xmlns:a16="http://schemas.microsoft.com/office/drawing/2014/main" id="{E97F85A0-0B17-7DBD-9EEB-0A44A1EBEA1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6845" name="3">
          <a:extLst>
            <a:ext uri="{FF2B5EF4-FFF2-40B4-BE49-F238E27FC236}">
              <a16:creationId xmlns:a16="http://schemas.microsoft.com/office/drawing/2014/main" id="{2DE906D7-AAA9-3820-A1A0-F006DAEDCFAB}"/>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6846" name="직선 화살표 연결선 36845">
          <a:extLst>
            <a:ext uri="{FF2B5EF4-FFF2-40B4-BE49-F238E27FC236}">
              <a16:creationId xmlns:a16="http://schemas.microsoft.com/office/drawing/2014/main" id="{9ECA7FFD-D90E-C485-1A42-CB76A20B7221}"/>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6847" name="2">
          <a:extLst>
            <a:ext uri="{FF2B5EF4-FFF2-40B4-BE49-F238E27FC236}">
              <a16:creationId xmlns:a16="http://schemas.microsoft.com/office/drawing/2014/main" id="{D2F775A2-E660-74B2-561F-284976D197D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6848" name="직선 화살표 연결선 36847">
          <a:extLst>
            <a:ext uri="{FF2B5EF4-FFF2-40B4-BE49-F238E27FC236}">
              <a16:creationId xmlns:a16="http://schemas.microsoft.com/office/drawing/2014/main" id="{8FE2D254-5624-A98C-D82B-3C60581651F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6849" name="1">
          <a:extLst>
            <a:ext uri="{FF2B5EF4-FFF2-40B4-BE49-F238E27FC236}">
              <a16:creationId xmlns:a16="http://schemas.microsoft.com/office/drawing/2014/main" id="{8407103C-4338-D9C2-CEFB-F4F87AF9A134}"/>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6850" name="직선 화살표 연결선 36849">
          <a:extLst>
            <a:ext uri="{FF2B5EF4-FFF2-40B4-BE49-F238E27FC236}">
              <a16:creationId xmlns:a16="http://schemas.microsoft.com/office/drawing/2014/main" id="{2A9FB95C-BC1B-27E5-24CC-2022DA8DA1DA}"/>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7218" name="44">
          <a:extLst>
            <a:ext uri="{FF2B5EF4-FFF2-40B4-BE49-F238E27FC236}">
              <a16:creationId xmlns:a16="http://schemas.microsoft.com/office/drawing/2014/main" id="{E382B4C7-BCE5-2DB0-9C3F-3E82BB82300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7219" name="직선 화살표 연결선 37218">
          <a:extLst>
            <a:ext uri="{FF2B5EF4-FFF2-40B4-BE49-F238E27FC236}">
              <a16:creationId xmlns:a16="http://schemas.microsoft.com/office/drawing/2014/main" id="{31EEDF31-C6CC-AED2-9705-933C846B23F7}"/>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7220" name="43">
          <a:extLst>
            <a:ext uri="{FF2B5EF4-FFF2-40B4-BE49-F238E27FC236}">
              <a16:creationId xmlns:a16="http://schemas.microsoft.com/office/drawing/2014/main" id="{74ABD001-2E10-2A5F-1F7C-7CD638ED8094}"/>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7221" name="직선 화살표 연결선 37220">
          <a:extLst>
            <a:ext uri="{FF2B5EF4-FFF2-40B4-BE49-F238E27FC236}">
              <a16:creationId xmlns:a16="http://schemas.microsoft.com/office/drawing/2014/main" id="{A926F6A4-FBC5-16FE-ACAD-77D8D2E8917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7222" name="42">
          <a:extLst>
            <a:ext uri="{FF2B5EF4-FFF2-40B4-BE49-F238E27FC236}">
              <a16:creationId xmlns:a16="http://schemas.microsoft.com/office/drawing/2014/main" id="{1EC57D5B-315F-EDC7-835C-D36F51F1071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7223" name="직선 화살표 연결선 37222">
          <a:extLst>
            <a:ext uri="{FF2B5EF4-FFF2-40B4-BE49-F238E27FC236}">
              <a16:creationId xmlns:a16="http://schemas.microsoft.com/office/drawing/2014/main" id="{CBD79D28-4D1A-6DE0-3C82-E986CD296456}"/>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7224" name="41">
          <a:extLst>
            <a:ext uri="{FF2B5EF4-FFF2-40B4-BE49-F238E27FC236}">
              <a16:creationId xmlns:a16="http://schemas.microsoft.com/office/drawing/2014/main" id="{20DE49E9-92A6-DAEC-846E-53D725B6CA5D}"/>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7225" name="직선 화살표 연결선 37224">
          <a:extLst>
            <a:ext uri="{FF2B5EF4-FFF2-40B4-BE49-F238E27FC236}">
              <a16:creationId xmlns:a16="http://schemas.microsoft.com/office/drawing/2014/main" id="{6E9B6E8E-8FDE-D6F4-DEAD-41E61C356B61}"/>
            </a:ext>
          </a:extLst>
        </xdr:cNvPr>
        <xdr:cNvCxnSpPr/>
      </xdr:nvCxnSpPr>
      <xdr:spPr>
        <a:xfrm>
          <a:off x="12944475" y="6991350"/>
          <a:ext cx="4586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7285" name="10">
          <a:extLst>
            <a:ext uri="{FF2B5EF4-FFF2-40B4-BE49-F238E27FC236}">
              <a16:creationId xmlns:a16="http://schemas.microsoft.com/office/drawing/2014/main" id="{2D1DE102-2B06-E086-06BF-A2629696DA6A}"/>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7286" name="직선 화살표 연결선 37285">
          <a:extLst>
            <a:ext uri="{FF2B5EF4-FFF2-40B4-BE49-F238E27FC236}">
              <a16:creationId xmlns:a16="http://schemas.microsoft.com/office/drawing/2014/main" id="{51FF7197-75F1-0AF9-9072-54AA6B55C08F}"/>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7287" name="9">
          <a:extLst>
            <a:ext uri="{FF2B5EF4-FFF2-40B4-BE49-F238E27FC236}">
              <a16:creationId xmlns:a16="http://schemas.microsoft.com/office/drawing/2014/main" id="{8A55EEC9-1A7F-0F1E-967D-7C154540D6DA}"/>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7288" name="직선 화살표 연결선 37287">
          <a:extLst>
            <a:ext uri="{FF2B5EF4-FFF2-40B4-BE49-F238E27FC236}">
              <a16:creationId xmlns:a16="http://schemas.microsoft.com/office/drawing/2014/main" id="{81F1CEA8-625C-1497-DEC1-6DD5B3ED5473}"/>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7289" name="8">
          <a:extLst>
            <a:ext uri="{FF2B5EF4-FFF2-40B4-BE49-F238E27FC236}">
              <a16:creationId xmlns:a16="http://schemas.microsoft.com/office/drawing/2014/main" id="{428E1DF5-8B45-2D41-756F-5067375E08F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7290" name="직선 화살표 연결선 37289">
          <a:extLst>
            <a:ext uri="{FF2B5EF4-FFF2-40B4-BE49-F238E27FC236}">
              <a16:creationId xmlns:a16="http://schemas.microsoft.com/office/drawing/2014/main" id="{C899D0BD-A5A4-721C-EE35-74606D2295C9}"/>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7291" name="7">
          <a:extLst>
            <a:ext uri="{FF2B5EF4-FFF2-40B4-BE49-F238E27FC236}">
              <a16:creationId xmlns:a16="http://schemas.microsoft.com/office/drawing/2014/main" id="{7624895F-6920-68F5-CBE8-D1F5DBD96DF9}"/>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7292" name="6">
          <a:extLst>
            <a:ext uri="{FF2B5EF4-FFF2-40B4-BE49-F238E27FC236}">
              <a16:creationId xmlns:a16="http://schemas.microsoft.com/office/drawing/2014/main" id="{FB4B3E04-B1CA-5B43-A534-41895D869B7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7293" name="직선 화살표 연결선 37292">
          <a:extLst>
            <a:ext uri="{FF2B5EF4-FFF2-40B4-BE49-F238E27FC236}">
              <a16:creationId xmlns:a16="http://schemas.microsoft.com/office/drawing/2014/main" id="{8A5A0210-5792-92F9-D334-31313FE739EE}"/>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7294" name="5">
          <a:extLst>
            <a:ext uri="{FF2B5EF4-FFF2-40B4-BE49-F238E27FC236}">
              <a16:creationId xmlns:a16="http://schemas.microsoft.com/office/drawing/2014/main" id="{86C63C2D-A195-10F1-7E56-24410AA0A45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7295" name="직선 화살표 연결선 37294">
          <a:extLst>
            <a:ext uri="{FF2B5EF4-FFF2-40B4-BE49-F238E27FC236}">
              <a16:creationId xmlns:a16="http://schemas.microsoft.com/office/drawing/2014/main" id="{5674620F-EE79-A069-B4CD-3356FE5992D0}"/>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7296" name="4">
          <a:extLst>
            <a:ext uri="{FF2B5EF4-FFF2-40B4-BE49-F238E27FC236}">
              <a16:creationId xmlns:a16="http://schemas.microsoft.com/office/drawing/2014/main" id="{208C710C-9345-C9F8-69CF-0504167C6EC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7297" name="직선 화살표 연결선 37296">
          <a:extLst>
            <a:ext uri="{FF2B5EF4-FFF2-40B4-BE49-F238E27FC236}">
              <a16:creationId xmlns:a16="http://schemas.microsoft.com/office/drawing/2014/main" id="{E27C2DA2-5FC8-0B44-5FA5-A054C3E91DE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7298" name="3">
          <a:extLst>
            <a:ext uri="{FF2B5EF4-FFF2-40B4-BE49-F238E27FC236}">
              <a16:creationId xmlns:a16="http://schemas.microsoft.com/office/drawing/2014/main" id="{DE5E405B-AADF-D753-BF7C-371EC6A7CDED}"/>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7299" name="직선 화살표 연결선 37298">
          <a:extLst>
            <a:ext uri="{FF2B5EF4-FFF2-40B4-BE49-F238E27FC236}">
              <a16:creationId xmlns:a16="http://schemas.microsoft.com/office/drawing/2014/main" id="{F0BB1FBD-769C-C6A6-628B-3AD2C1687CCC}"/>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7300" name="2">
          <a:extLst>
            <a:ext uri="{FF2B5EF4-FFF2-40B4-BE49-F238E27FC236}">
              <a16:creationId xmlns:a16="http://schemas.microsoft.com/office/drawing/2014/main" id="{F6C0A273-FD3F-F3F5-827B-430966C496AF}"/>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7301" name="직선 화살표 연결선 37300">
          <a:extLst>
            <a:ext uri="{FF2B5EF4-FFF2-40B4-BE49-F238E27FC236}">
              <a16:creationId xmlns:a16="http://schemas.microsoft.com/office/drawing/2014/main" id="{AE253675-A9E2-1795-6B7B-3C0237D3E9A8}"/>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7302" name="1">
          <a:extLst>
            <a:ext uri="{FF2B5EF4-FFF2-40B4-BE49-F238E27FC236}">
              <a16:creationId xmlns:a16="http://schemas.microsoft.com/office/drawing/2014/main" id="{E2B343AB-79C0-2C4C-D7F7-C7D56ED45D80}"/>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7303" name="직선 화살표 연결선 37302">
          <a:extLst>
            <a:ext uri="{FF2B5EF4-FFF2-40B4-BE49-F238E27FC236}">
              <a16:creationId xmlns:a16="http://schemas.microsoft.com/office/drawing/2014/main" id="{432FFA0B-D257-7FAA-0E64-D10EA95F6090}"/>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7671" name="44">
          <a:extLst>
            <a:ext uri="{FF2B5EF4-FFF2-40B4-BE49-F238E27FC236}">
              <a16:creationId xmlns:a16="http://schemas.microsoft.com/office/drawing/2014/main" id="{935EA538-8DBA-389D-BD53-C0EB055E9EB2}"/>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7672" name="직선 화살표 연결선 37671">
          <a:extLst>
            <a:ext uri="{FF2B5EF4-FFF2-40B4-BE49-F238E27FC236}">
              <a16:creationId xmlns:a16="http://schemas.microsoft.com/office/drawing/2014/main" id="{4EE0B19E-8E82-3FAA-51D5-F53122ECAA1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7673" name="43">
          <a:extLst>
            <a:ext uri="{FF2B5EF4-FFF2-40B4-BE49-F238E27FC236}">
              <a16:creationId xmlns:a16="http://schemas.microsoft.com/office/drawing/2014/main" id="{43017FF3-B710-E8FC-E495-5AE34B2FA445}"/>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7674" name="직선 화살표 연결선 37673">
          <a:extLst>
            <a:ext uri="{FF2B5EF4-FFF2-40B4-BE49-F238E27FC236}">
              <a16:creationId xmlns:a16="http://schemas.microsoft.com/office/drawing/2014/main" id="{06947246-22AA-E31E-46D5-456C99688E20}"/>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7675" name="42">
          <a:extLst>
            <a:ext uri="{FF2B5EF4-FFF2-40B4-BE49-F238E27FC236}">
              <a16:creationId xmlns:a16="http://schemas.microsoft.com/office/drawing/2014/main" id="{75E4AB49-6311-43DB-984E-35DD2010BE4C}"/>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7676" name="직선 화살표 연결선 37675">
          <a:extLst>
            <a:ext uri="{FF2B5EF4-FFF2-40B4-BE49-F238E27FC236}">
              <a16:creationId xmlns:a16="http://schemas.microsoft.com/office/drawing/2014/main" id="{2CC6D295-24F9-52D9-AC52-74639ADD1DF3}"/>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7677" name="41">
          <a:extLst>
            <a:ext uri="{FF2B5EF4-FFF2-40B4-BE49-F238E27FC236}">
              <a16:creationId xmlns:a16="http://schemas.microsoft.com/office/drawing/2014/main" id="{175CD744-E34C-2DA5-177D-79D307A468AD}"/>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7678" name="직선 화살표 연결선 37677">
          <a:extLst>
            <a:ext uri="{FF2B5EF4-FFF2-40B4-BE49-F238E27FC236}">
              <a16:creationId xmlns:a16="http://schemas.microsoft.com/office/drawing/2014/main" id="{4B2D31F6-9AAC-10E7-E1E2-1F5394551B2B}"/>
            </a:ext>
          </a:extLst>
        </xdr:cNvPr>
        <xdr:cNvCxnSpPr/>
      </xdr:nvCxnSpPr>
      <xdr:spPr>
        <a:xfrm>
          <a:off x="12944475" y="6991350"/>
          <a:ext cx="4586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7738" name="10">
          <a:extLst>
            <a:ext uri="{FF2B5EF4-FFF2-40B4-BE49-F238E27FC236}">
              <a16:creationId xmlns:a16="http://schemas.microsoft.com/office/drawing/2014/main" id="{13C7B4FC-A9E4-6EB1-D5AB-59827AEEA8B4}"/>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7739" name="직선 화살표 연결선 37738">
          <a:extLst>
            <a:ext uri="{FF2B5EF4-FFF2-40B4-BE49-F238E27FC236}">
              <a16:creationId xmlns:a16="http://schemas.microsoft.com/office/drawing/2014/main" id="{82F99D8D-50D2-6017-BF40-C057B46022F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7740" name="9">
          <a:extLst>
            <a:ext uri="{FF2B5EF4-FFF2-40B4-BE49-F238E27FC236}">
              <a16:creationId xmlns:a16="http://schemas.microsoft.com/office/drawing/2014/main" id="{A0615A81-E0A2-6872-9F87-819C65DC4EB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7741" name="직선 화살표 연결선 37740">
          <a:extLst>
            <a:ext uri="{FF2B5EF4-FFF2-40B4-BE49-F238E27FC236}">
              <a16:creationId xmlns:a16="http://schemas.microsoft.com/office/drawing/2014/main" id="{9832092B-CA4C-8ACC-6B46-67D35B8CC2FA}"/>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7742" name="8">
          <a:extLst>
            <a:ext uri="{FF2B5EF4-FFF2-40B4-BE49-F238E27FC236}">
              <a16:creationId xmlns:a16="http://schemas.microsoft.com/office/drawing/2014/main" id="{122FE9BD-95D9-F3E2-ACB0-01CAD2A5CEE0}"/>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7743" name="직선 화살표 연결선 37742">
          <a:extLst>
            <a:ext uri="{FF2B5EF4-FFF2-40B4-BE49-F238E27FC236}">
              <a16:creationId xmlns:a16="http://schemas.microsoft.com/office/drawing/2014/main" id="{BBF00DD9-513E-7F7A-FA8A-C6E6409E8A0F}"/>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7744" name="7">
          <a:extLst>
            <a:ext uri="{FF2B5EF4-FFF2-40B4-BE49-F238E27FC236}">
              <a16:creationId xmlns:a16="http://schemas.microsoft.com/office/drawing/2014/main" id="{2D9089D9-1326-5514-3143-BAB409240D82}"/>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7745" name="6">
          <a:extLst>
            <a:ext uri="{FF2B5EF4-FFF2-40B4-BE49-F238E27FC236}">
              <a16:creationId xmlns:a16="http://schemas.microsoft.com/office/drawing/2014/main" id="{283F7AC9-D945-9516-466B-7176E16B3D2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7746" name="직선 화살표 연결선 37745">
          <a:extLst>
            <a:ext uri="{FF2B5EF4-FFF2-40B4-BE49-F238E27FC236}">
              <a16:creationId xmlns:a16="http://schemas.microsoft.com/office/drawing/2014/main" id="{FF62078F-1D90-B1AC-CF16-952E1B80BF47}"/>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7747" name="5">
          <a:extLst>
            <a:ext uri="{FF2B5EF4-FFF2-40B4-BE49-F238E27FC236}">
              <a16:creationId xmlns:a16="http://schemas.microsoft.com/office/drawing/2014/main" id="{AECB65C7-5CC2-770A-F703-82B2A3A11FF9}"/>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7748" name="직선 화살표 연결선 37747">
          <a:extLst>
            <a:ext uri="{FF2B5EF4-FFF2-40B4-BE49-F238E27FC236}">
              <a16:creationId xmlns:a16="http://schemas.microsoft.com/office/drawing/2014/main" id="{1CFC341E-F944-D6B9-A281-0FE3070EAC0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7749" name="4">
          <a:extLst>
            <a:ext uri="{FF2B5EF4-FFF2-40B4-BE49-F238E27FC236}">
              <a16:creationId xmlns:a16="http://schemas.microsoft.com/office/drawing/2014/main" id="{22BE2650-B553-9AE6-0C90-E94DDDA1AB97}"/>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7750" name="직선 화살표 연결선 37749">
          <a:extLst>
            <a:ext uri="{FF2B5EF4-FFF2-40B4-BE49-F238E27FC236}">
              <a16:creationId xmlns:a16="http://schemas.microsoft.com/office/drawing/2014/main" id="{5BD12F26-7ABB-4698-1B30-F55867A2C9FD}"/>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7751" name="3">
          <a:extLst>
            <a:ext uri="{FF2B5EF4-FFF2-40B4-BE49-F238E27FC236}">
              <a16:creationId xmlns:a16="http://schemas.microsoft.com/office/drawing/2014/main" id="{0316418E-3F35-009F-A778-427F469A1AE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7752" name="직선 화살표 연결선 37751">
          <a:extLst>
            <a:ext uri="{FF2B5EF4-FFF2-40B4-BE49-F238E27FC236}">
              <a16:creationId xmlns:a16="http://schemas.microsoft.com/office/drawing/2014/main" id="{08674B71-59E3-575E-8DFD-35040BAFEF3D}"/>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7753" name="2">
          <a:extLst>
            <a:ext uri="{FF2B5EF4-FFF2-40B4-BE49-F238E27FC236}">
              <a16:creationId xmlns:a16="http://schemas.microsoft.com/office/drawing/2014/main" id="{AF7F6CE0-D35B-8D7E-DAE8-67D9DE3B7AF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7754" name="직선 화살표 연결선 37753">
          <a:extLst>
            <a:ext uri="{FF2B5EF4-FFF2-40B4-BE49-F238E27FC236}">
              <a16:creationId xmlns:a16="http://schemas.microsoft.com/office/drawing/2014/main" id="{801EB4AD-67C0-9FAB-B82F-6C8E1F64FC23}"/>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7755" name="1">
          <a:extLst>
            <a:ext uri="{FF2B5EF4-FFF2-40B4-BE49-F238E27FC236}">
              <a16:creationId xmlns:a16="http://schemas.microsoft.com/office/drawing/2014/main" id="{DFEC3045-5A51-0A67-EB6B-EE958B47303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7756" name="직선 화살표 연결선 37755">
          <a:extLst>
            <a:ext uri="{FF2B5EF4-FFF2-40B4-BE49-F238E27FC236}">
              <a16:creationId xmlns:a16="http://schemas.microsoft.com/office/drawing/2014/main" id="{06D0B4F2-8A3F-2884-360E-5698E56F6AF9}"/>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8124" name="44">
          <a:extLst>
            <a:ext uri="{FF2B5EF4-FFF2-40B4-BE49-F238E27FC236}">
              <a16:creationId xmlns:a16="http://schemas.microsoft.com/office/drawing/2014/main" id="{F1B444DE-8479-CDE4-F7DC-E9B3B88925B5}"/>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8125" name="직선 화살표 연결선 38124">
          <a:extLst>
            <a:ext uri="{FF2B5EF4-FFF2-40B4-BE49-F238E27FC236}">
              <a16:creationId xmlns:a16="http://schemas.microsoft.com/office/drawing/2014/main" id="{5D6AF7AF-44FB-1268-F00C-87EE4A7C2B77}"/>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8126" name="43">
          <a:extLst>
            <a:ext uri="{FF2B5EF4-FFF2-40B4-BE49-F238E27FC236}">
              <a16:creationId xmlns:a16="http://schemas.microsoft.com/office/drawing/2014/main" id="{5CD53792-9F7D-0927-3B2A-6F9FAADE3269}"/>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8127" name="직선 화살표 연결선 38126">
          <a:extLst>
            <a:ext uri="{FF2B5EF4-FFF2-40B4-BE49-F238E27FC236}">
              <a16:creationId xmlns:a16="http://schemas.microsoft.com/office/drawing/2014/main" id="{3196F249-DC15-5020-C8CE-72D7B22F6D5E}"/>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8128" name="42">
          <a:extLst>
            <a:ext uri="{FF2B5EF4-FFF2-40B4-BE49-F238E27FC236}">
              <a16:creationId xmlns:a16="http://schemas.microsoft.com/office/drawing/2014/main" id="{DC969621-F36C-295C-0817-12155D206A18}"/>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8129" name="직선 화살표 연결선 38128">
          <a:extLst>
            <a:ext uri="{FF2B5EF4-FFF2-40B4-BE49-F238E27FC236}">
              <a16:creationId xmlns:a16="http://schemas.microsoft.com/office/drawing/2014/main" id="{CFBA5E00-CB79-667D-465A-C2C891944AF0}"/>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8130" name="41">
          <a:extLst>
            <a:ext uri="{FF2B5EF4-FFF2-40B4-BE49-F238E27FC236}">
              <a16:creationId xmlns:a16="http://schemas.microsoft.com/office/drawing/2014/main" id="{EEB58E17-C387-8872-372C-3B16275E9922}"/>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8131" name="직선 화살표 연결선 38130">
          <a:extLst>
            <a:ext uri="{FF2B5EF4-FFF2-40B4-BE49-F238E27FC236}">
              <a16:creationId xmlns:a16="http://schemas.microsoft.com/office/drawing/2014/main" id="{FD97D8CF-49B3-F868-65E1-8A3A47D40466}"/>
            </a:ext>
          </a:extLst>
        </xdr:cNvPr>
        <xdr:cNvCxnSpPr/>
      </xdr:nvCxnSpPr>
      <xdr:spPr>
        <a:xfrm>
          <a:off x="12944475" y="6991350"/>
          <a:ext cx="4586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8191" name="10">
          <a:extLst>
            <a:ext uri="{FF2B5EF4-FFF2-40B4-BE49-F238E27FC236}">
              <a16:creationId xmlns:a16="http://schemas.microsoft.com/office/drawing/2014/main" id="{7F965C57-AD14-56D1-58ED-E71D2E75827D}"/>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8192" name="직선 화살표 연결선 38191">
          <a:extLst>
            <a:ext uri="{FF2B5EF4-FFF2-40B4-BE49-F238E27FC236}">
              <a16:creationId xmlns:a16="http://schemas.microsoft.com/office/drawing/2014/main" id="{23D3A75B-2C06-1DEB-0FCD-0C0DC2F6D6B7}"/>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8193" name="9">
          <a:extLst>
            <a:ext uri="{FF2B5EF4-FFF2-40B4-BE49-F238E27FC236}">
              <a16:creationId xmlns:a16="http://schemas.microsoft.com/office/drawing/2014/main" id="{8C99F649-9A44-6A14-9C0B-0835FEEE3D0C}"/>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8194" name="직선 화살표 연결선 38193">
          <a:extLst>
            <a:ext uri="{FF2B5EF4-FFF2-40B4-BE49-F238E27FC236}">
              <a16:creationId xmlns:a16="http://schemas.microsoft.com/office/drawing/2014/main" id="{53488883-A200-AACB-5B36-B3B99E36E1B6}"/>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8195" name="8">
          <a:extLst>
            <a:ext uri="{FF2B5EF4-FFF2-40B4-BE49-F238E27FC236}">
              <a16:creationId xmlns:a16="http://schemas.microsoft.com/office/drawing/2014/main" id="{5F841C8C-2C61-32FD-0B9D-EF5669FF130F}"/>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8196" name="직선 화살표 연결선 38195">
          <a:extLst>
            <a:ext uri="{FF2B5EF4-FFF2-40B4-BE49-F238E27FC236}">
              <a16:creationId xmlns:a16="http://schemas.microsoft.com/office/drawing/2014/main" id="{50F943F4-4C90-C382-D165-6363ED12C1E7}"/>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8197" name="7">
          <a:extLst>
            <a:ext uri="{FF2B5EF4-FFF2-40B4-BE49-F238E27FC236}">
              <a16:creationId xmlns:a16="http://schemas.microsoft.com/office/drawing/2014/main" id="{DFE2DB3F-3287-2264-8A5C-AB933194565C}"/>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8198" name="6">
          <a:extLst>
            <a:ext uri="{FF2B5EF4-FFF2-40B4-BE49-F238E27FC236}">
              <a16:creationId xmlns:a16="http://schemas.microsoft.com/office/drawing/2014/main" id="{D5DDF694-90E4-272B-02EA-C5D3FEB9BC81}"/>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8199" name="직선 화살표 연결선 38198">
          <a:extLst>
            <a:ext uri="{FF2B5EF4-FFF2-40B4-BE49-F238E27FC236}">
              <a16:creationId xmlns:a16="http://schemas.microsoft.com/office/drawing/2014/main" id="{C50F0919-33B8-F6A9-ED84-D8B516CE7556}"/>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8200" name="5">
          <a:extLst>
            <a:ext uri="{FF2B5EF4-FFF2-40B4-BE49-F238E27FC236}">
              <a16:creationId xmlns:a16="http://schemas.microsoft.com/office/drawing/2014/main" id="{F1E39837-FE53-B7BB-795C-E9D869A05828}"/>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8201" name="직선 화살표 연결선 38200">
          <a:extLst>
            <a:ext uri="{FF2B5EF4-FFF2-40B4-BE49-F238E27FC236}">
              <a16:creationId xmlns:a16="http://schemas.microsoft.com/office/drawing/2014/main" id="{39BFC332-7722-BBE2-1507-6C5910EDFDB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8202" name="4">
          <a:extLst>
            <a:ext uri="{FF2B5EF4-FFF2-40B4-BE49-F238E27FC236}">
              <a16:creationId xmlns:a16="http://schemas.microsoft.com/office/drawing/2014/main" id="{6FF4BBD6-C742-4FEF-54EC-3A75369E2C10}"/>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8203" name="직선 화살표 연결선 38202">
          <a:extLst>
            <a:ext uri="{FF2B5EF4-FFF2-40B4-BE49-F238E27FC236}">
              <a16:creationId xmlns:a16="http://schemas.microsoft.com/office/drawing/2014/main" id="{28F07135-C28F-5E4D-FC82-74D957C118D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8204" name="3">
          <a:extLst>
            <a:ext uri="{FF2B5EF4-FFF2-40B4-BE49-F238E27FC236}">
              <a16:creationId xmlns:a16="http://schemas.microsoft.com/office/drawing/2014/main" id="{C2747D13-7BBB-74BB-EF8A-3F85B78759D7}"/>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8205" name="직선 화살표 연결선 38204">
          <a:extLst>
            <a:ext uri="{FF2B5EF4-FFF2-40B4-BE49-F238E27FC236}">
              <a16:creationId xmlns:a16="http://schemas.microsoft.com/office/drawing/2014/main" id="{59798E20-F81C-9D7E-6DF8-16249B0FB502}"/>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8206" name="2">
          <a:extLst>
            <a:ext uri="{FF2B5EF4-FFF2-40B4-BE49-F238E27FC236}">
              <a16:creationId xmlns:a16="http://schemas.microsoft.com/office/drawing/2014/main" id="{FD5870E4-FCE2-721E-56A4-2DB55005FFB1}"/>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8207" name="직선 화살표 연결선 38206">
          <a:extLst>
            <a:ext uri="{FF2B5EF4-FFF2-40B4-BE49-F238E27FC236}">
              <a16:creationId xmlns:a16="http://schemas.microsoft.com/office/drawing/2014/main" id="{6847E800-5A4D-4D1E-ED77-4AB63D1EFFE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8208" name="1">
          <a:extLst>
            <a:ext uri="{FF2B5EF4-FFF2-40B4-BE49-F238E27FC236}">
              <a16:creationId xmlns:a16="http://schemas.microsoft.com/office/drawing/2014/main" id="{91F421C8-8E62-D8D5-21C7-B1D14124551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8209" name="직선 화살표 연결선 38208">
          <a:extLst>
            <a:ext uri="{FF2B5EF4-FFF2-40B4-BE49-F238E27FC236}">
              <a16:creationId xmlns:a16="http://schemas.microsoft.com/office/drawing/2014/main" id="{885DD612-318C-0B01-D86D-1E55B9857313}"/>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8575" name="44">
          <a:extLst>
            <a:ext uri="{FF2B5EF4-FFF2-40B4-BE49-F238E27FC236}">
              <a16:creationId xmlns:a16="http://schemas.microsoft.com/office/drawing/2014/main" id="{001FF9A0-A726-E48F-47D1-6B7F6A0115B5}"/>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8576" name="직선 화살표 연결선 38575">
          <a:extLst>
            <a:ext uri="{FF2B5EF4-FFF2-40B4-BE49-F238E27FC236}">
              <a16:creationId xmlns:a16="http://schemas.microsoft.com/office/drawing/2014/main" id="{B606A710-E876-C4E5-F1FF-86933B174BE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8577" name="43">
          <a:extLst>
            <a:ext uri="{FF2B5EF4-FFF2-40B4-BE49-F238E27FC236}">
              <a16:creationId xmlns:a16="http://schemas.microsoft.com/office/drawing/2014/main" id="{0EA5762C-45B4-DE14-E950-8BC22C2CA62A}"/>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8578" name="직선 화살표 연결선 38577">
          <a:extLst>
            <a:ext uri="{FF2B5EF4-FFF2-40B4-BE49-F238E27FC236}">
              <a16:creationId xmlns:a16="http://schemas.microsoft.com/office/drawing/2014/main" id="{153CF8CA-06E9-D65E-BE91-2201578E48C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8579" name="42">
          <a:extLst>
            <a:ext uri="{FF2B5EF4-FFF2-40B4-BE49-F238E27FC236}">
              <a16:creationId xmlns:a16="http://schemas.microsoft.com/office/drawing/2014/main" id="{A7078531-B784-9E88-7A63-6F45678A501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8580" name="직선 화살표 연결선 38579">
          <a:extLst>
            <a:ext uri="{FF2B5EF4-FFF2-40B4-BE49-F238E27FC236}">
              <a16:creationId xmlns:a16="http://schemas.microsoft.com/office/drawing/2014/main" id="{8B1754CE-28C4-5A1D-7E96-4B463C34C4EE}"/>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8581" name="41">
          <a:extLst>
            <a:ext uri="{FF2B5EF4-FFF2-40B4-BE49-F238E27FC236}">
              <a16:creationId xmlns:a16="http://schemas.microsoft.com/office/drawing/2014/main" id="{6EA1AA5B-FDA3-EA62-47E3-E8F9AE832B18}"/>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8582" name="직선 화살표 연결선 38581">
          <a:extLst>
            <a:ext uri="{FF2B5EF4-FFF2-40B4-BE49-F238E27FC236}">
              <a16:creationId xmlns:a16="http://schemas.microsoft.com/office/drawing/2014/main" id="{D8CD6B4E-3969-ECDE-9059-8E511A749070}"/>
            </a:ext>
          </a:extLst>
        </xdr:cNvPr>
        <xdr:cNvCxnSpPr/>
      </xdr:nvCxnSpPr>
      <xdr:spPr>
        <a:xfrm>
          <a:off x="12944475" y="6991350"/>
          <a:ext cx="4609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8642" name="10">
          <a:extLst>
            <a:ext uri="{FF2B5EF4-FFF2-40B4-BE49-F238E27FC236}">
              <a16:creationId xmlns:a16="http://schemas.microsoft.com/office/drawing/2014/main" id="{C7FF608F-87F5-41E8-EC19-D870A6C4514C}"/>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8643" name="직선 화살표 연결선 38642">
          <a:extLst>
            <a:ext uri="{FF2B5EF4-FFF2-40B4-BE49-F238E27FC236}">
              <a16:creationId xmlns:a16="http://schemas.microsoft.com/office/drawing/2014/main" id="{153727CE-B780-EB80-18A7-6895F1911741}"/>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8644" name="9">
          <a:extLst>
            <a:ext uri="{FF2B5EF4-FFF2-40B4-BE49-F238E27FC236}">
              <a16:creationId xmlns:a16="http://schemas.microsoft.com/office/drawing/2014/main" id="{01E647DE-EF25-73F7-2649-08FE2A6E96C5}"/>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8645" name="직선 화살표 연결선 38644">
          <a:extLst>
            <a:ext uri="{FF2B5EF4-FFF2-40B4-BE49-F238E27FC236}">
              <a16:creationId xmlns:a16="http://schemas.microsoft.com/office/drawing/2014/main" id="{D96D0121-69D3-F507-AA90-C16BCB94425E}"/>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8646" name="8">
          <a:extLst>
            <a:ext uri="{FF2B5EF4-FFF2-40B4-BE49-F238E27FC236}">
              <a16:creationId xmlns:a16="http://schemas.microsoft.com/office/drawing/2014/main" id="{8B2F0777-9027-16A2-3146-2D0F734AE0A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8647" name="직선 화살표 연결선 38646">
          <a:extLst>
            <a:ext uri="{FF2B5EF4-FFF2-40B4-BE49-F238E27FC236}">
              <a16:creationId xmlns:a16="http://schemas.microsoft.com/office/drawing/2014/main" id="{D7FC38CD-EF93-6811-9719-F6CFE5B17DF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8648" name="7">
          <a:extLst>
            <a:ext uri="{FF2B5EF4-FFF2-40B4-BE49-F238E27FC236}">
              <a16:creationId xmlns:a16="http://schemas.microsoft.com/office/drawing/2014/main" id="{55902BED-5933-41A9-7A6C-A0A679D97CBE}"/>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8649" name="6">
          <a:extLst>
            <a:ext uri="{FF2B5EF4-FFF2-40B4-BE49-F238E27FC236}">
              <a16:creationId xmlns:a16="http://schemas.microsoft.com/office/drawing/2014/main" id="{EA966332-4CFB-9E6D-A202-FF7CF3F6857A}"/>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8650" name="직선 화살표 연결선 38649">
          <a:extLst>
            <a:ext uri="{FF2B5EF4-FFF2-40B4-BE49-F238E27FC236}">
              <a16:creationId xmlns:a16="http://schemas.microsoft.com/office/drawing/2014/main" id="{879F5358-8933-C0A0-97FC-F303A40FCC9D}"/>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8651" name="5">
          <a:extLst>
            <a:ext uri="{FF2B5EF4-FFF2-40B4-BE49-F238E27FC236}">
              <a16:creationId xmlns:a16="http://schemas.microsoft.com/office/drawing/2014/main" id="{53EF51F4-68B1-4E72-5E39-38DFD0540AC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8652" name="직선 화살표 연결선 38651">
          <a:extLst>
            <a:ext uri="{FF2B5EF4-FFF2-40B4-BE49-F238E27FC236}">
              <a16:creationId xmlns:a16="http://schemas.microsoft.com/office/drawing/2014/main" id="{3E7D7A0A-C351-1011-C86D-0205C07FCC51}"/>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8653" name="4">
          <a:extLst>
            <a:ext uri="{FF2B5EF4-FFF2-40B4-BE49-F238E27FC236}">
              <a16:creationId xmlns:a16="http://schemas.microsoft.com/office/drawing/2014/main" id="{2AED7D01-9D45-CB26-9F0A-0D9D3E732F9C}"/>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8654" name="직선 화살표 연결선 38653">
          <a:extLst>
            <a:ext uri="{FF2B5EF4-FFF2-40B4-BE49-F238E27FC236}">
              <a16:creationId xmlns:a16="http://schemas.microsoft.com/office/drawing/2014/main" id="{A1EB695B-4E8C-05F9-2B18-B865E8224D8C}"/>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8655" name="3">
          <a:extLst>
            <a:ext uri="{FF2B5EF4-FFF2-40B4-BE49-F238E27FC236}">
              <a16:creationId xmlns:a16="http://schemas.microsoft.com/office/drawing/2014/main" id="{C21545F7-5979-8688-B548-1FA3679ED921}"/>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8656" name="직선 화살표 연결선 38655">
          <a:extLst>
            <a:ext uri="{FF2B5EF4-FFF2-40B4-BE49-F238E27FC236}">
              <a16:creationId xmlns:a16="http://schemas.microsoft.com/office/drawing/2014/main" id="{7F162B80-C72B-51C2-34F4-CE75F1C0F8E3}"/>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8657" name="2">
          <a:extLst>
            <a:ext uri="{FF2B5EF4-FFF2-40B4-BE49-F238E27FC236}">
              <a16:creationId xmlns:a16="http://schemas.microsoft.com/office/drawing/2014/main" id="{D7CAD24F-F635-A2BD-96DA-1E8D2B284743}"/>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8658" name="직선 화살표 연결선 38657">
          <a:extLst>
            <a:ext uri="{FF2B5EF4-FFF2-40B4-BE49-F238E27FC236}">
              <a16:creationId xmlns:a16="http://schemas.microsoft.com/office/drawing/2014/main" id="{993A6B8D-2286-32CB-5E00-3C1012678D20}"/>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8659" name="1">
          <a:extLst>
            <a:ext uri="{FF2B5EF4-FFF2-40B4-BE49-F238E27FC236}">
              <a16:creationId xmlns:a16="http://schemas.microsoft.com/office/drawing/2014/main" id="{EC912DC5-3C90-F51F-B4EB-8D53649505C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8660" name="직선 화살표 연결선 38659">
          <a:extLst>
            <a:ext uri="{FF2B5EF4-FFF2-40B4-BE49-F238E27FC236}">
              <a16:creationId xmlns:a16="http://schemas.microsoft.com/office/drawing/2014/main" id="{150D3C6A-9A11-5FA7-5B36-8C3DD66CBEC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9026" name="44">
          <a:extLst>
            <a:ext uri="{FF2B5EF4-FFF2-40B4-BE49-F238E27FC236}">
              <a16:creationId xmlns:a16="http://schemas.microsoft.com/office/drawing/2014/main" id="{DA9D5C43-5E13-216A-D001-5488B7AC78B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9027" name="직선 화살표 연결선 39026">
          <a:extLst>
            <a:ext uri="{FF2B5EF4-FFF2-40B4-BE49-F238E27FC236}">
              <a16:creationId xmlns:a16="http://schemas.microsoft.com/office/drawing/2014/main" id="{4EF1967D-FB61-FA89-5C56-AA295E2E6F1E}"/>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9028" name="43">
          <a:extLst>
            <a:ext uri="{FF2B5EF4-FFF2-40B4-BE49-F238E27FC236}">
              <a16:creationId xmlns:a16="http://schemas.microsoft.com/office/drawing/2014/main" id="{FF37E465-8078-05B2-C0E5-B24D7F170ABF}"/>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9029" name="직선 화살표 연결선 39028">
          <a:extLst>
            <a:ext uri="{FF2B5EF4-FFF2-40B4-BE49-F238E27FC236}">
              <a16:creationId xmlns:a16="http://schemas.microsoft.com/office/drawing/2014/main" id="{5F4A8912-3461-9DEB-97D1-3B266DA33DE6}"/>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9030" name="42">
          <a:extLst>
            <a:ext uri="{FF2B5EF4-FFF2-40B4-BE49-F238E27FC236}">
              <a16:creationId xmlns:a16="http://schemas.microsoft.com/office/drawing/2014/main" id="{0BC202FF-CFAF-7C0C-E0D5-DE4AB5492A4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9031" name="직선 화살표 연결선 39030">
          <a:extLst>
            <a:ext uri="{FF2B5EF4-FFF2-40B4-BE49-F238E27FC236}">
              <a16:creationId xmlns:a16="http://schemas.microsoft.com/office/drawing/2014/main" id="{4A84EF23-701E-7885-D2C2-254CC22B179D}"/>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9032" name="41">
          <a:extLst>
            <a:ext uri="{FF2B5EF4-FFF2-40B4-BE49-F238E27FC236}">
              <a16:creationId xmlns:a16="http://schemas.microsoft.com/office/drawing/2014/main" id="{6166FA5E-F694-7C0B-DAC1-C9723AC7850B}"/>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9033" name="직선 화살표 연결선 39032">
          <a:extLst>
            <a:ext uri="{FF2B5EF4-FFF2-40B4-BE49-F238E27FC236}">
              <a16:creationId xmlns:a16="http://schemas.microsoft.com/office/drawing/2014/main" id="{66A7A0A8-DE90-0BB4-D20F-F0E6D1D6FD07}"/>
            </a:ext>
          </a:extLst>
        </xdr:cNvPr>
        <xdr:cNvCxnSpPr/>
      </xdr:nvCxnSpPr>
      <xdr:spPr>
        <a:xfrm>
          <a:off x="12944475" y="6991350"/>
          <a:ext cx="4609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9093" name="10">
          <a:extLst>
            <a:ext uri="{FF2B5EF4-FFF2-40B4-BE49-F238E27FC236}">
              <a16:creationId xmlns:a16="http://schemas.microsoft.com/office/drawing/2014/main" id="{4B5836EB-46F9-056D-DF15-B644F4B334BB}"/>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9094" name="직선 화살표 연결선 39093">
          <a:extLst>
            <a:ext uri="{FF2B5EF4-FFF2-40B4-BE49-F238E27FC236}">
              <a16:creationId xmlns:a16="http://schemas.microsoft.com/office/drawing/2014/main" id="{3A1C49DA-9406-C0BD-97B3-9766A9BC4530}"/>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9095" name="9">
          <a:extLst>
            <a:ext uri="{FF2B5EF4-FFF2-40B4-BE49-F238E27FC236}">
              <a16:creationId xmlns:a16="http://schemas.microsoft.com/office/drawing/2014/main" id="{52C455EB-4C8B-3D6D-FAB4-E3974735D455}"/>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9096" name="직선 화살표 연결선 39095">
          <a:extLst>
            <a:ext uri="{FF2B5EF4-FFF2-40B4-BE49-F238E27FC236}">
              <a16:creationId xmlns:a16="http://schemas.microsoft.com/office/drawing/2014/main" id="{70076D83-4E1A-A591-4322-C34DFCB9D395}"/>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9097" name="8">
          <a:extLst>
            <a:ext uri="{FF2B5EF4-FFF2-40B4-BE49-F238E27FC236}">
              <a16:creationId xmlns:a16="http://schemas.microsoft.com/office/drawing/2014/main" id="{42A8B492-7404-0B66-3454-F02F47F3B73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9098" name="직선 화살표 연결선 39097">
          <a:extLst>
            <a:ext uri="{FF2B5EF4-FFF2-40B4-BE49-F238E27FC236}">
              <a16:creationId xmlns:a16="http://schemas.microsoft.com/office/drawing/2014/main" id="{149BCB25-64F5-B876-9BB6-20401835E5E4}"/>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9099" name="7">
          <a:extLst>
            <a:ext uri="{FF2B5EF4-FFF2-40B4-BE49-F238E27FC236}">
              <a16:creationId xmlns:a16="http://schemas.microsoft.com/office/drawing/2014/main" id="{843CFC0B-56E5-EE65-3F6F-1DBE9B2A918B}"/>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9100" name="6">
          <a:extLst>
            <a:ext uri="{FF2B5EF4-FFF2-40B4-BE49-F238E27FC236}">
              <a16:creationId xmlns:a16="http://schemas.microsoft.com/office/drawing/2014/main" id="{E6BDCE86-32B6-9652-4D88-FF059F3D3FD9}"/>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9101" name="직선 화살표 연결선 39100">
          <a:extLst>
            <a:ext uri="{FF2B5EF4-FFF2-40B4-BE49-F238E27FC236}">
              <a16:creationId xmlns:a16="http://schemas.microsoft.com/office/drawing/2014/main" id="{ADE61D78-B0C0-8A64-EA09-3BCDBB0B232C}"/>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9102" name="5">
          <a:extLst>
            <a:ext uri="{FF2B5EF4-FFF2-40B4-BE49-F238E27FC236}">
              <a16:creationId xmlns:a16="http://schemas.microsoft.com/office/drawing/2014/main" id="{650D24C8-B5F5-D010-F7B3-915FF2B80ECA}"/>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9103" name="직선 화살표 연결선 39102">
          <a:extLst>
            <a:ext uri="{FF2B5EF4-FFF2-40B4-BE49-F238E27FC236}">
              <a16:creationId xmlns:a16="http://schemas.microsoft.com/office/drawing/2014/main" id="{4407B9E4-E48A-E375-A67B-B9F6FD392F8A}"/>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9104" name="4">
          <a:extLst>
            <a:ext uri="{FF2B5EF4-FFF2-40B4-BE49-F238E27FC236}">
              <a16:creationId xmlns:a16="http://schemas.microsoft.com/office/drawing/2014/main" id="{3AC39A49-3F4A-5ED1-7CB3-C67F99A063CB}"/>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9105" name="직선 화살표 연결선 39104">
          <a:extLst>
            <a:ext uri="{FF2B5EF4-FFF2-40B4-BE49-F238E27FC236}">
              <a16:creationId xmlns:a16="http://schemas.microsoft.com/office/drawing/2014/main" id="{70786055-FAEA-8E30-65D9-DF8B6F018163}"/>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9106" name="3">
          <a:extLst>
            <a:ext uri="{FF2B5EF4-FFF2-40B4-BE49-F238E27FC236}">
              <a16:creationId xmlns:a16="http://schemas.microsoft.com/office/drawing/2014/main" id="{82E3A2A6-59E0-26C0-6FB3-5604FA246446}"/>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9107" name="직선 화살표 연결선 39106">
          <a:extLst>
            <a:ext uri="{FF2B5EF4-FFF2-40B4-BE49-F238E27FC236}">
              <a16:creationId xmlns:a16="http://schemas.microsoft.com/office/drawing/2014/main" id="{8F4B07C2-897C-BEDD-4488-8A9AA90A9C10}"/>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9108" name="2">
          <a:extLst>
            <a:ext uri="{FF2B5EF4-FFF2-40B4-BE49-F238E27FC236}">
              <a16:creationId xmlns:a16="http://schemas.microsoft.com/office/drawing/2014/main" id="{ECD5AE83-0BFD-1291-0569-38FAF006EF9C}"/>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9109" name="직선 화살표 연결선 39108">
          <a:extLst>
            <a:ext uri="{FF2B5EF4-FFF2-40B4-BE49-F238E27FC236}">
              <a16:creationId xmlns:a16="http://schemas.microsoft.com/office/drawing/2014/main" id="{F85037E8-FF87-F3F0-63F9-9A6505107343}"/>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9110" name="1">
          <a:extLst>
            <a:ext uri="{FF2B5EF4-FFF2-40B4-BE49-F238E27FC236}">
              <a16:creationId xmlns:a16="http://schemas.microsoft.com/office/drawing/2014/main" id="{D283C510-8E04-FFF0-F536-D8995D4A90ED}"/>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9111" name="직선 화살표 연결선 39110">
          <a:extLst>
            <a:ext uri="{FF2B5EF4-FFF2-40B4-BE49-F238E27FC236}">
              <a16:creationId xmlns:a16="http://schemas.microsoft.com/office/drawing/2014/main" id="{D2CFA130-F8A2-93DB-77F1-4545B60B5B6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9477" name="44">
          <a:extLst>
            <a:ext uri="{FF2B5EF4-FFF2-40B4-BE49-F238E27FC236}">
              <a16:creationId xmlns:a16="http://schemas.microsoft.com/office/drawing/2014/main" id="{E37DC068-7548-286E-CFAE-737327DBCD8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9478" name="직선 화살표 연결선 39477">
          <a:extLst>
            <a:ext uri="{FF2B5EF4-FFF2-40B4-BE49-F238E27FC236}">
              <a16:creationId xmlns:a16="http://schemas.microsoft.com/office/drawing/2014/main" id="{E1B160BE-D3B2-A93D-2FC7-A156385D07D9}"/>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9479" name="43">
          <a:extLst>
            <a:ext uri="{FF2B5EF4-FFF2-40B4-BE49-F238E27FC236}">
              <a16:creationId xmlns:a16="http://schemas.microsoft.com/office/drawing/2014/main" id="{685B18E1-6B14-A55B-18F9-D9FF759376BE}"/>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9480" name="직선 화살표 연결선 39479">
          <a:extLst>
            <a:ext uri="{FF2B5EF4-FFF2-40B4-BE49-F238E27FC236}">
              <a16:creationId xmlns:a16="http://schemas.microsoft.com/office/drawing/2014/main" id="{1168C59C-EC5D-C8A1-4E48-44CCC060D1CF}"/>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9481" name="42">
          <a:extLst>
            <a:ext uri="{FF2B5EF4-FFF2-40B4-BE49-F238E27FC236}">
              <a16:creationId xmlns:a16="http://schemas.microsoft.com/office/drawing/2014/main" id="{E40B23A6-970D-4404-E146-D3FB6E6E6196}"/>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9482" name="직선 화살표 연결선 39481">
          <a:extLst>
            <a:ext uri="{FF2B5EF4-FFF2-40B4-BE49-F238E27FC236}">
              <a16:creationId xmlns:a16="http://schemas.microsoft.com/office/drawing/2014/main" id="{8C213240-8E33-4071-ECE5-40414B4B081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9483" name="41">
          <a:extLst>
            <a:ext uri="{FF2B5EF4-FFF2-40B4-BE49-F238E27FC236}">
              <a16:creationId xmlns:a16="http://schemas.microsoft.com/office/drawing/2014/main" id="{E0ECA01A-876D-45D9-D651-751F9E5A124E}"/>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9484" name="직선 화살표 연결선 39483">
          <a:extLst>
            <a:ext uri="{FF2B5EF4-FFF2-40B4-BE49-F238E27FC236}">
              <a16:creationId xmlns:a16="http://schemas.microsoft.com/office/drawing/2014/main" id="{69E79871-2818-1DFB-A3E5-39C9C9BB1179}"/>
            </a:ext>
          </a:extLst>
        </xdr:cNvPr>
        <xdr:cNvCxnSpPr/>
      </xdr:nvCxnSpPr>
      <xdr:spPr>
        <a:xfrm>
          <a:off x="12944475" y="6991350"/>
          <a:ext cx="4609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39544" name="10">
          <a:extLst>
            <a:ext uri="{FF2B5EF4-FFF2-40B4-BE49-F238E27FC236}">
              <a16:creationId xmlns:a16="http://schemas.microsoft.com/office/drawing/2014/main" id="{4E8BB44E-D5F1-8390-E0D2-EF3FB485C0EC}"/>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39545" name="직선 화살표 연결선 39544">
          <a:extLst>
            <a:ext uri="{FF2B5EF4-FFF2-40B4-BE49-F238E27FC236}">
              <a16:creationId xmlns:a16="http://schemas.microsoft.com/office/drawing/2014/main" id="{0D328510-E055-3B99-0972-146B715B79B6}"/>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39546" name="9">
          <a:extLst>
            <a:ext uri="{FF2B5EF4-FFF2-40B4-BE49-F238E27FC236}">
              <a16:creationId xmlns:a16="http://schemas.microsoft.com/office/drawing/2014/main" id="{D359C5A5-6A75-8C9C-4071-A2445A88E850}"/>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39547" name="직선 화살표 연결선 39546">
          <a:extLst>
            <a:ext uri="{FF2B5EF4-FFF2-40B4-BE49-F238E27FC236}">
              <a16:creationId xmlns:a16="http://schemas.microsoft.com/office/drawing/2014/main" id="{1072746D-74E6-F5DE-C24C-887112306836}"/>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39548" name="8">
          <a:extLst>
            <a:ext uri="{FF2B5EF4-FFF2-40B4-BE49-F238E27FC236}">
              <a16:creationId xmlns:a16="http://schemas.microsoft.com/office/drawing/2014/main" id="{F2F87C07-4C14-BD20-1E98-18F12ED4EECA}"/>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39549" name="직선 화살표 연결선 39548">
          <a:extLst>
            <a:ext uri="{FF2B5EF4-FFF2-40B4-BE49-F238E27FC236}">
              <a16:creationId xmlns:a16="http://schemas.microsoft.com/office/drawing/2014/main" id="{3BAD6B50-260E-417E-AC16-1DC9789DCA68}"/>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39550" name="7">
          <a:extLst>
            <a:ext uri="{FF2B5EF4-FFF2-40B4-BE49-F238E27FC236}">
              <a16:creationId xmlns:a16="http://schemas.microsoft.com/office/drawing/2014/main" id="{64643C8E-8130-AC07-BE40-21CF03626F4E}"/>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39551" name="6">
          <a:extLst>
            <a:ext uri="{FF2B5EF4-FFF2-40B4-BE49-F238E27FC236}">
              <a16:creationId xmlns:a16="http://schemas.microsoft.com/office/drawing/2014/main" id="{4B4CDD35-941D-700E-CB68-219C0554CF72}"/>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39552" name="직선 화살표 연결선 39551">
          <a:extLst>
            <a:ext uri="{FF2B5EF4-FFF2-40B4-BE49-F238E27FC236}">
              <a16:creationId xmlns:a16="http://schemas.microsoft.com/office/drawing/2014/main" id="{BA0DB6BE-35CA-4F01-C3BF-9C4A3D224EC1}"/>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39553" name="5">
          <a:extLst>
            <a:ext uri="{FF2B5EF4-FFF2-40B4-BE49-F238E27FC236}">
              <a16:creationId xmlns:a16="http://schemas.microsoft.com/office/drawing/2014/main" id="{81DFCEB0-2E4D-3F3C-52B6-4A448A45D97F}"/>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39554" name="직선 화살표 연결선 39553">
          <a:extLst>
            <a:ext uri="{FF2B5EF4-FFF2-40B4-BE49-F238E27FC236}">
              <a16:creationId xmlns:a16="http://schemas.microsoft.com/office/drawing/2014/main" id="{FD21DB0E-B181-36A1-6269-98FA35FA000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39555" name="4">
          <a:extLst>
            <a:ext uri="{FF2B5EF4-FFF2-40B4-BE49-F238E27FC236}">
              <a16:creationId xmlns:a16="http://schemas.microsoft.com/office/drawing/2014/main" id="{9C32986C-7C8A-F5E2-0D7C-54AE8545D093}"/>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39556" name="직선 화살표 연결선 39555">
          <a:extLst>
            <a:ext uri="{FF2B5EF4-FFF2-40B4-BE49-F238E27FC236}">
              <a16:creationId xmlns:a16="http://schemas.microsoft.com/office/drawing/2014/main" id="{BDC70483-CCC1-EFDF-7F4E-27643D74E64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39557" name="3">
          <a:extLst>
            <a:ext uri="{FF2B5EF4-FFF2-40B4-BE49-F238E27FC236}">
              <a16:creationId xmlns:a16="http://schemas.microsoft.com/office/drawing/2014/main" id="{F86772B4-5770-9BBB-54A0-A760437307AA}"/>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39558" name="직선 화살표 연결선 39557">
          <a:extLst>
            <a:ext uri="{FF2B5EF4-FFF2-40B4-BE49-F238E27FC236}">
              <a16:creationId xmlns:a16="http://schemas.microsoft.com/office/drawing/2014/main" id="{3DF0F889-6A66-5E4F-7EB0-FA44490291A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39559" name="2">
          <a:extLst>
            <a:ext uri="{FF2B5EF4-FFF2-40B4-BE49-F238E27FC236}">
              <a16:creationId xmlns:a16="http://schemas.microsoft.com/office/drawing/2014/main" id="{4C30B4A2-C2E6-067E-BDFD-B73782A2E403}"/>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39560" name="직선 화살표 연결선 39559">
          <a:extLst>
            <a:ext uri="{FF2B5EF4-FFF2-40B4-BE49-F238E27FC236}">
              <a16:creationId xmlns:a16="http://schemas.microsoft.com/office/drawing/2014/main" id="{30348550-ADB0-8D65-6F52-ACE4944F2078}"/>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39561" name="1">
          <a:extLst>
            <a:ext uri="{FF2B5EF4-FFF2-40B4-BE49-F238E27FC236}">
              <a16:creationId xmlns:a16="http://schemas.microsoft.com/office/drawing/2014/main" id="{21E3602C-2C3B-36C4-2D40-9054DDFBBADF}"/>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39562" name="직선 화살표 연결선 39561">
          <a:extLst>
            <a:ext uri="{FF2B5EF4-FFF2-40B4-BE49-F238E27FC236}">
              <a16:creationId xmlns:a16="http://schemas.microsoft.com/office/drawing/2014/main" id="{0B32E229-7BEE-BE90-101F-70FF64038928}"/>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39938" name="44">
          <a:extLst>
            <a:ext uri="{FF2B5EF4-FFF2-40B4-BE49-F238E27FC236}">
              <a16:creationId xmlns:a16="http://schemas.microsoft.com/office/drawing/2014/main" id="{D54DFCA4-C527-FD26-24DF-B8EA13CBD7F5}"/>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39939" name="직선 화살표 연결선 39938">
          <a:extLst>
            <a:ext uri="{FF2B5EF4-FFF2-40B4-BE49-F238E27FC236}">
              <a16:creationId xmlns:a16="http://schemas.microsoft.com/office/drawing/2014/main" id="{B316D2BB-4337-0F00-7390-F67CDA3CEEB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39940" name="43">
          <a:extLst>
            <a:ext uri="{FF2B5EF4-FFF2-40B4-BE49-F238E27FC236}">
              <a16:creationId xmlns:a16="http://schemas.microsoft.com/office/drawing/2014/main" id="{0A3643A6-39F5-A6D3-F361-341A0341A168}"/>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39941" name="직선 화살표 연결선 39940">
          <a:extLst>
            <a:ext uri="{FF2B5EF4-FFF2-40B4-BE49-F238E27FC236}">
              <a16:creationId xmlns:a16="http://schemas.microsoft.com/office/drawing/2014/main" id="{DE98B0CC-0703-378D-0863-6BE80C296B5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39942" name="42">
          <a:extLst>
            <a:ext uri="{FF2B5EF4-FFF2-40B4-BE49-F238E27FC236}">
              <a16:creationId xmlns:a16="http://schemas.microsoft.com/office/drawing/2014/main" id="{EDE97195-B16E-D523-1AF3-822159003649}"/>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39943" name="직선 화살표 연결선 39942">
          <a:extLst>
            <a:ext uri="{FF2B5EF4-FFF2-40B4-BE49-F238E27FC236}">
              <a16:creationId xmlns:a16="http://schemas.microsoft.com/office/drawing/2014/main" id="{E0904776-2744-EA36-2D4D-5239B412120E}"/>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39944" name="41">
          <a:extLst>
            <a:ext uri="{FF2B5EF4-FFF2-40B4-BE49-F238E27FC236}">
              <a16:creationId xmlns:a16="http://schemas.microsoft.com/office/drawing/2014/main" id="{F6F9EAC8-8375-A41A-7179-1BC04CC7916A}"/>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39945" name="직선 화살표 연결선 39944">
          <a:extLst>
            <a:ext uri="{FF2B5EF4-FFF2-40B4-BE49-F238E27FC236}">
              <a16:creationId xmlns:a16="http://schemas.microsoft.com/office/drawing/2014/main" id="{6F3646AB-C32F-2FC9-D91B-5A3B23104B83}"/>
            </a:ext>
          </a:extLst>
        </xdr:cNvPr>
        <xdr:cNvCxnSpPr/>
      </xdr:nvCxnSpPr>
      <xdr:spPr>
        <a:xfrm>
          <a:off x="12944475" y="6991350"/>
          <a:ext cx="459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0005" name="10">
          <a:extLst>
            <a:ext uri="{FF2B5EF4-FFF2-40B4-BE49-F238E27FC236}">
              <a16:creationId xmlns:a16="http://schemas.microsoft.com/office/drawing/2014/main" id="{27EA4767-1972-C0D1-01D4-6F6E0726B15F}"/>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0006" name="직선 화살표 연결선 40005">
          <a:extLst>
            <a:ext uri="{FF2B5EF4-FFF2-40B4-BE49-F238E27FC236}">
              <a16:creationId xmlns:a16="http://schemas.microsoft.com/office/drawing/2014/main" id="{6E023ABF-7BAF-C843-B1A4-CD748687E798}"/>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0007" name="9">
          <a:extLst>
            <a:ext uri="{FF2B5EF4-FFF2-40B4-BE49-F238E27FC236}">
              <a16:creationId xmlns:a16="http://schemas.microsoft.com/office/drawing/2014/main" id="{2CE113A5-023F-2DD2-1095-072DCB3712D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0008" name="직선 화살표 연결선 40007">
          <a:extLst>
            <a:ext uri="{FF2B5EF4-FFF2-40B4-BE49-F238E27FC236}">
              <a16:creationId xmlns:a16="http://schemas.microsoft.com/office/drawing/2014/main" id="{8ACFE73E-E3AF-1020-E365-8CEEBA1EA643}"/>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0009" name="8">
          <a:extLst>
            <a:ext uri="{FF2B5EF4-FFF2-40B4-BE49-F238E27FC236}">
              <a16:creationId xmlns:a16="http://schemas.microsoft.com/office/drawing/2014/main" id="{4F9D3512-5E51-F0C5-829F-125C3DC21D2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0010" name="직선 화살표 연결선 40009">
          <a:extLst>
            <a:ext uri="{FF2B5EF4-FFF2-40B4-BE49-F238E27FC236}">
              <a16:creationId xmlns:a16="http://schemas.microsoft.com/office/drawing/2014/main" id="{6F47744F-DAAB-7EB8-47AB-BB6EEFAECA5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0011" name="7">
          <a:extLst>
            <a:ext uri="{FF2B5EF4-FFF2-40B4-BE49-F238E27FC236}">
              <a16:creationId xmlns:a16="http://schemas.microsoft.com/office/drawing/2014/main" id="{73DEED8C-D9E6-4065-AED7-FE31BAECCE9F}"/>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0012" name="6">
          <a:extLst>
            <a:ext uri="{FF2B5EF4-FFF2-40B4-BE49-F238E27FC236}">
              <a16:creationId xmlns:a16="http://schemas.microsoft.com/office/drawing/2014/main" id="{56DC5638-B027-FA0E-859C-B9A1504C0540}"/>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0013" name="직선 화살표 연결선 40012">
          <a:extLst>
            <a:ext uri="{FF2B5EF4-FFF2-40B4-BE49-F238E27FC236}">
              <a16:creationId xmlns:a16="http://schemas.microsoft.com/office/drawing/2014/main" id="{F192E5FF-C27B-F611-81FF-AB9BBE6A748A}"/>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0014" name="5">
          <a:extLst>
            <a:ext uri="{FF2B5EF4-FFF2-40B4-BE49-F238E27FC236}">
              <a16:creationId xmlns:a16="http://schemas.microsoft.com/office/drawing/2014/main" id="{6FFAFC1F-EED7-E6FC-4C55-9165965B0647}"/>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0015" name="직선 화살표 연결선 40014">
          <a:extLst>
            <a:ext uri="{FF2B5EF4-FFF2-40B4-BE49-F238E27FC236}">
              <a16:creationId xmlns:a16="http://schemas.microsoft.com/office/drawing/2014/main" id="{49D7A02F-1828-7C60-D22D-0D49972B41FA}"/>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0016" name="4">
          <a:extLst>
            <a:ext uri="{FF2B5EF4-FFF2-40B4-BE49-F238E27FC236}">
              <a16:creationId xmlns:a16="http://schemas.microsoft.com/office/drawing/2014/main" id="{33ECFD1E-227C-B938-F1E9-0661BAB0CF5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0017" name="직선 화살표 연결선 40016">
          <a:extLst>
            <a:ext uri="{FF2B5EF4-FFF2-40B4-BE49-F238E27FC236}">
              <a16:creationId xmlns:a16="http://schemas.microsoft.com/office/drawing/2014/main" id="{2081869F-45AC-4F6E-49F8-16B1BCF5BA8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0018" name="3">
          <a:extLst>
            <a:ext uri="{FF2B5EF4-FFF2-40B4-BE49-F238E27FC236}">
              <a16:creationId xmlns:a16="http://schemas.microsoft.com/office/drawing/2014/main" id="{F4091A76-266B-F69E-D720-41612200E22D}"/>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0019" name="직선 화살표 연결선 40018">
          <a:extLst>
            <a:ext uri="{FF2B5EF4-FFF2-40B4-BE49-F238E27FC236}">
              <a16:creationId xmlns:a16="http://schemas.microsoft.com/office/drawing/2014/main" id="{A02DC264-BE2B-FC4B-25D7-BDE290EBE748}"/>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0020" name="2">
          <a:extLst>
            <a:ext uri="{FF2B5EF4-FFF2-40B4-BE49-F238E27FC236}">
              <a16:creationId xmlns:a16="http://schemas.microsoft.com/office/drawing/2014/main" id="{E6836FCF-9E3C-4CF7-4708-D4EF63483D54}"/>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0021" name="직선 화살표 연결선 40020">
          <a:extLst>
            <a:ext uri="{FF2B5EF4-FFF2-40B4-BE49-F238E27FC236}">
              <a16:creationId xmlns:a16="http://schemas.microsoft.com/office/drawing/2014/main" id="{59C88499-1F52-A92C-6C72-B06F0EC57C3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0022" name="1">
          <a:extLst>
            <a:ext uri="{FF2B5EF4-FFF2-40B4-BE49-F238E27FC236}">
              <a16:creationId xmlns:a16="http://schemas.microsoft.com/office/drawing/2014/main" id="{28098676-0A29-6CA7-2AB9-67E87FA26E1F}"/>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0023" name="직선 화살표 연결선 40022">
          <a:extLst>
            <a:ext uri="{FF2B5EF4-FFF2-40B4-BE49-F238E27FC236}">
              <a16:creationId xmlns:a16="http://schemas.microsoft.com/office/drawing/2014/main" id="{7061425D-E6C4-9FC5-1BA7-017B5CFBBB16}"/>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0399" name="44">
          <a:extLst>
            <a:ext uri="{FF2B5EF4-FFF2-40B4-BE49-F238E27FC236}">
              <a16:creationId xmlns:a16="http://schemas.microsoft.com/office/drawing/2014/main" id="{5F051517-6288-5A94-0B40-E3AFE5F22D8F}"/>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0400" name="직선 화살표 연결선 40399">
          <a:extLst>
            <a:ext uri="{FF2B5EF4-FFF2-40B4-BE49-F238E27FC236}">
              <a16:creationId xmlns:a16="http://schemas.microsoft.com/office/drawing/2014/main" id="{5069823A-E1D1-E893-681D-61A632505A7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0401" name="43">
          <a:extLst>
            <a:ext uri="{FF2B5EF4-FFF2-40B4-BE49-F238E27FC236}">
              <a16:creationId xmlns:a16="http://schemas.microsoft.com/office/drawing/2014/main" id="{DE0E6570-2CFA-BE2C-B99A-15B386965692}"/>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0402" name="직선 화살표 연결선 40401">
          <a:extLst>
            <a:ext uri="{FF2B5EF4-FFF2-40B4-BE49-F238E27FC236}">
              <a16:creationId xmlns:a16="http://schemas.microsoft.com/office/drawing/2014/main" id="{0A5157D0-577B-55A5-1468-AC4FF15A0B3E}"/>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0403" name="42">
          <a:extLst>
            <a:ext uri="{FF2B5EF4-FFF2-40B4-BE49-F238E27FC236}">
              <a16:creationId xmlns:a16="http://schemas.microsoft.com/office/drawing/2014/main" id="{7ABE98DA-F5BA-45A0-A1BF-76FBF2B3F427}"/>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0404" name="직선 화살표 연결선 40403">
          <a:extLst>
            <a:ext uri="{FF2B5EF4-FFF2-40B4-BE49-F238E27FC236}">
              <a16:creationId xmlns:a16="http://schemas.microsoft.com/office/drawing/2014/main" id="{0E5D8B85-018B-2315-982D-0A7B25D4651D}"/>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0405" name="41">
          <a:extLst>
            <a:ext uri="{FF2B5EF4-FFF2-40B4-BE49-F238E27FC236}">
              <a16:creationId xmlns:a16="http://schemas.microsoft.com/office/drawing/2014/main" id="{C56E9A7A-B2F2-D1D3-D4CC-B690504CA2D8}"/>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0406" name="직선 화살표 연결선 40405">
          <a:extLst>
            <a:ext uri="{FF2B5EF4-FFF2-40B4-BE49-F238E27FC236}">
              <a16:creationId xmlns:a16="http://schemas.microsoft.com/office/drawing/2014/main" id="{51ED66CA-B597-C2D0-E5AF-F11CA2F50D26}"/>
            </a:ext>
          </a:extLst>
        </xdr:cNvPr>
        <xdr:cNvCxnSpPr/>
      </xdr:nvCxnSpPr>
      <xdr:spPr>
        <a:xfrm>
          <a:off x="12944475" y="6991350"/>
          <a:ext cx="459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0466" name="10">
          <a:extLst>
            <a:ext uri="{FF2B5EF4-FFF2-40B4-BE49-F238E27FC236}">
              <a16:creationId xmlns:a16="http://schemas.microsoft.com/office/drawing/2014/main" id="{C420A5E5-A7A8-6A7F-F477-75F2710609FB}"/>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0467" name="직선 화살표 연결선 40466">
          <a:extLst>
            <a:ext uri="{FF2B5EF4-FFF2-40B4-BE49-F238E27FC236}">
              <a16:creationId xmlns:a16="http://schemas.microsoft.com/office/drawing/2014/main" id="{9472D06D-0FEC-BA02-4FE1-1B7246C1C1AB}"/>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0468" name="9">
          <a:extLst>
            <a:ext uri="{FF2B5EF4-FFF2-40B4-BE49-F238E27FC236}">
              <a16:creationId xmlns:a16="http://schemas.microsoft.com/office/drawing/2014/main" id="{CA2EF6CD-7E17-4A7A-C535-A36EEFC8AAC8}"/>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0469" name="직선 화살표 연결선 40468">
          <a:extLst>
            <a:ext uri="{FF2B5EF4-FFF2-40B4-BE49-F238E27FC236}">
              <a16:creationId xmlns:a16="http://schemas.microsoft.com/office/drawing/2014/main" id="{DDE354AD-4421-DC05-27BF-72BCE44AF1A0}"/>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0470" name="8">
          <a:extLst>
            <a:ext uri="{FF2B5EF4-FFF2-40B4-BE49-F238E27FC236}">
              <a16:creationId xmlns:a16="http://schemas.microsoft.com/office/drawing/2014/main" id="{9B5E1469-52FB-EE5C-572F-69645CE7036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0471" name="직선 화살표 연결선 40470">
          <a:extLst>
            <a:ext uri="{FF2B5EF4-FFF2-40B4-BE49-F238E27FC236}">
              <a16:creationId xmlns:a16="http://schemas.microsoft.com/office/drawing/2014/main" id="{B3421BDD-23B8-4F71-2574-E7C8F51D8AB6}"/>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0472" name="7">
          <a:extLst>
            <a:ext uri="{FF2B5EF4-FFF2-40B4-BE49-F238E27FC236}">
              <a16:creationId xmlns:a16="http://schemas.microsoft.com/office/drawing/2014/main" id="{EB6C37A9-A5FC-EA0F-A1CC-AE5E19A4D365}"/>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0473" name="6">
          <a:extLst>
            <a:ext uri="{FF2B5EF4-FFF2-40B4-BE49-F238E27FC236}">
              <a16:creationId xmlns:a16="http://schemas.microsoft.com/office/drawing/2014/main" id="{09A6BAA8-0700-51CC-B47E-5B1E85B84596}"/>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0474" name="직선 화살표 연결선 40473">
          <a:extLst>
            <a:ext uri="{FF2B5EF4-FFF2-40B4-BE49-F238E27FC236}">
              <a16:creationId xmlns:a16="http://schemas.microsoft.com/office/drawing/2014/main" id="{A140B764-2A65-EDFD-744C-38CAD49DE180}"/>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0475" name="5">
          <a:extLst>
            <a:ext uri="{FF2B5EF4-FFF2-40B4-BE49-F238E27FC236}">
              <a16:creationId xmlns:a16="http://schemas.microsoft.com/office/drawing/2014/main" id="{A9BF232A-13D0-EA83-6BDF-587A771C271A}"/>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0476" name="직선 화살표 연결선 40475">
          <a:extLst>
            <a:ext uri="{FF2B5EF4-FFF2-40B4-BE49-F238E27FC236}">
              <a16:creationId xmlns:a16="http://schemas.microsoft.com/office/drawing/2014/main" id="{0BB5A140-D921-9C42-7E65-F5129C01C492}"/>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0477" name="4">
          <a:extLst>
            <a:ext uri="{FF2B5EF4-FFF2-40B4-BE49-F238E27FC236}">
              <a16:creationId xmlns:a16="http://schemas.microsoft.com/office/drawing/2014/main" id="{FEC54478-DB33-E9E5-7B65-F33DB290926D}"/>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0478" name="직선 화살표 연결선 40477">
          <a:extLst>
            <a:ext uri="{FF2B5EF4-FFF2-40B4-BE49-F238E27FC236}">
              <a16:creationId xmlns:a16="http://schemas.microsoft.com/office/drawing/2014/main" id="{32EE771B-7146-E821-4123-AA508DA366C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0479" name="3">
          <a:extLst>
            <a:ext uri="{FF2B5EF4-FFF2-40B4-BE49-F238E27FC236}">
              <a16:creationId xmlns:a16="http://schemas.microsoft.com/office/drawing/2014/main" id="{9A92E933-AA22-6C8D-F54E-5A96A8DD95C7}"/>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0480" name="직선 화살표 연결선 40479">
          <a:extLst>
            <a:ext uri="{FF2B5EF4-FFF2-40B4-BE49-F238E27FC236}">
              <a16:creationId xmlns:a16="http://schemas.microsoft.com/office/drawing/2014/main" id="{D3963BED-97A8-5918-1FD7-FA3F5108BEAB}"/>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0481" name="2">
          <a:extLst>
            <a:ext uri="{FF2B5EF4-FFF2-40B4-BE49-F238E27FC236}">
              <a16:creationId xmlns:a16="http://schemas.microsoft.com/office/drawing/2014/main" id="{D963952F-9051-A516-2EA7-C75ABFE050C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0482" name="직선 화살표 연결선 40481">
          <a:extLst>
            <a:ext uri="{FF2B5EF4-FFF2-40B4-BE49-F238E27FC236}">
              <a16:creationId xmlns:a16="http://schemas.microsoft.com/office/drawing/2014/main" id="{8E9811C3-4B62-2E5C-25E0-F02AF280C343}"/>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0483" name="1">
          <a:extLst>
            <a:ext uri="{FF2B5EF4-FFF2-40B4-BE49-F238E27FC236}">
              <a16:creationId xmlns:a16="http://schemas.microsoft.com/office/drawing/2014/main" id="{462A989F-63ED-31E6-4EBC-E113A9992B1C}"/>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0484" name="직선 화살표 연결선 40483">
          <a:extLst>
            <a:ext uri="{FF2B5EF4-FFF2-40B4-BE49-F238E27FC236}">
              <a16:creationId xmlns:a16="http://schemas.microsoft.com/office/drawing/2014/main" id="{6F805102-15E8-2D40-4ED4-D9DBC129318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0858" name="44">
          <a:extLst>
            <a:ext uri="{FF2B5EF4-FFF2-40B4-BE49-F238E27FC236}">
              <a16:creationId xmlns:a16="http://schemas.microsoft.com/office/drawing/2014/main" id="{309F388D-A8EF-6AD8-2EF0-846FE4E031FA}"/>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0859" name="직선 화살표 연결선 40858">
          <a:extLst>
            <a:ext uri="{FF2B5EF4-FFF2-40B4-BE49-F238E27FC236}">
              <a16:creationId xmlns:a16="http://schemas.microsoft.com/office/drawing/2014/main" id="{C5FFCBF8-CF5D-67BD-FDAA-F3D70084088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0860" name="43">
          <a:extLst>
            <a:ext uri="{FF2B5EF4-FFF2-40B4-BE49-F238E27FC236}">
              <a16:creationId xmlns:a16="http://schemas.microsoft.com/office/drawing/2014/main" id="{F5E4CD2F-DEE1-C354-F1B7-BD4C6E6DE10D}"/>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0861" name="직선 화살표 연결선 40860">
          <a:extLst>
            <a:ext uri="{FF2B5EF4-FFF2-40B4-BE49-F238E27FC236}">
              <a16:creationId xmlns:a16="http://schemas.microsoft.com/office/drawing/2014/main" id="{C454FF03-4154-67FC-C686-F58E4CD554B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0862" name="42">
          <a:extLst>
            <a:ext uri="{FF2B5EF4-FFF2-40B4-BE49-F238E27FC236}">
              <a16:creationId xmlns:a16="http://schemas.microsoft.com/office/drawing/2014/main" id="{E54AD624-6700-648A-7AAD-28F011B996F9}"/>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0863" name="직선 화살표 연결선 40862">
          <a:extLst>
            <a:ext uri="{FF2B5EF4-FFF2-40B4-BE49-F238E27FC236}">
              <a16:creationId xmlns:a16="http://schemas.microsoft.com/office/drawing/2014/main" id="{E88BCAA7-DFF5-548D-C344-3ABF88B6AF45}"/>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0864" name="41">
          <a:extLst>
            <a:ext uri="{FF2B5EF4-FFF2-40B4-BE49-F238E27FC236}">
              <a16:creationId xmlns:a16="http://schemas.microsoft.com/office/drawing/2014/main" id="{7243F74C-89BE-FE7E-B2A5-2AF1A0D0AD22}"/>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0865" name="직선 화살표 연결선 40864">
          <a:extLst>
            <a:ext uri="{FF2B5EF4-FFF2-40B4-BE49-F238E27FC236}">
              <a16:creationId xmlns:a16="http://schemas.microsoft.com/office/drawing/2014/main" id="{082737B2-AC9D-4D2A-B743-FF8F79805E63}"/>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0925" name="10">
          <a:extLst>
            <a:ext uri="{FF2B5EF4-FFF2-40B4-BE49-F238E27FC236}">
              <a16:creationId xmlns:a16="http://schemas.microsoft.com/office/drawing/2014/main" id="{FA7D6894-D413-6411-5C78-647442D199E9}"/>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0926" name="직선 화살표 연결선 40925">
          <a:extLst>
            <a:ext uri="{FF2B5EF4-FFF2-40B4-BE49-F238E27FC236}">
              <a16:creationId xmlns:a16="http://schemas.microsoft.com/office/drawing/2014/main" id="{D817F626-5650-0694-1A87-4A4694372647}"/>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0927" name="9">
          <a:extLst>
            <a:ext uri="{FF2B5EF4-FFF2-40B4-BE49-F238E27FC236}">
              <a16:creationId xmlns:a16="http://schemas.microsoft.com/office/drawing/2014/main" id="{2283CF8E-1CB3-D20E-BEFF-6C005140E3E2}"/>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0928" name="직선 화살표 연결선 40927">
          <a:extLst>
            <a:ext uri="{FF2B5EF4-FFF2-40B4-BE49-F238E27FC236}">
              <a16:creationId xmlns:a16="http://schemas.microsoft.com/office/drawing/2014/main" id="{B5D47CD5-C08A-F298-00B6-AEDCE4650598}"/>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0929" name="8">
          <a:extLst>
            <a:ext uri="{FF2B5EF4-FFF2-40B4-BE49-F238E27FC236}">
              <a16:creationId xmlns:a16="http://schemas.microsoft.com/office/drawing/2014/main" id="{162443D4-8081-CFFC-2F97-CDD69841A604}"/>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0930" name="직선 화살표 연결선 40929">
          <a:extLst>
            <a:ext uri="{FF2B5EF4-FFF2-40B4-BE49-F238E27FC236}">
              <a16:creationId xmlns:a16="http://schemas.microsoft.com/office/drawing/2014/main" id="{A25D07C6-3A37-4249-0495-F7F1441E116A}"/>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0931" name="7">
          <a:extLst>
            <a:ext uri="{FF2B5EF4-FFF2-40B4-BE49-F238E27FC236}">
              <a16:creationId xmlns:a16="http://schemas.microsoft.com/office/drawing/2014/main" id="{2DD889DA-429D-689C-0754-7CDF662C7CF9}"/>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0932" name="6">
          <a:extLst>
            <a:ext uri="{FF2B5EF4-FFF2-40B4-BE49-F238E27FC236}">
              <a16:creationId xmlns:a16="http://schemas.microsoft.com/office/drawing/2014/main" id="{A18F552F-B777-96CA-8BA6-97AABE2F9187}"/>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0933" name="직선 화살표 연결선 40932">
          <a:extLst>
            <a:ext uri="{FF2B5EF4-FFF2-40B4-BE49-F238E27FC236}">
              <a16:creationId xmlns:a16="http://schemas.microsoft.com/office/drawing/2014/main" id="{6C294F59-9572-68D4-48BD-4FBC27D7A7AA}"/>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0934" name="5">
          <a:extLst>
            <a:ext uri="{FF2B5EF4-FFF2-40B4-BE49-F238E27FC236}">
              <a16:creationId xmlns:a16="http://schemas.microsoft.com/office/drawing/2014/main" id="{8AC40438-60A9-BE16-D9CA-2405A61D9F3B}"/>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0935" name="직선 화살표 연결선 40934">
          <a:extLst>
            <a:ext uri="{FF2B5EF4-FFF2-40B4-BE49-F238E27FC236}">
              <a16:creationId xmlns:a16="http://schemas.microsoft.com/office/drawing/2014/main" id="{CEAAD712-1F64-2A63-65FF-61B5D7AEB91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0936" name="4">
          <a:extLst>
            <a:ext uri="{FF2B5EF4-FFF2-40B4-BE49-F238E27FC236}">
              <a16:creationId xmlns:a16="http://schemas.microsoft.com/office/drawing/2014/main" id="{3B0DE357-563A-DFA9-04EA-DB1814646E8C}"/>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0937" name="직선 화살표 연결선 40936">
          <a:extLst>
            <a:ext uri="{FF2B5EF4-FFF2-40B4-BE49-F238E27FC236}">
              <a16:creationId xmlns:a16="http://schemas.microsoft.com/office/drawing/2014/main" id="{8867D3F7-FCAC-B9C4-289A-FC45939C567A}"/>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0938" name="3">
          <a:extLst>
            <a:ext uri="{FF2B5EF4-FFF2-40B4-BE49-F238E27FC236}">
              <a16:creationId xmlns:a16="http://schemas.microsoft.com/office/drawing/2014/main" id="{181DA3B0-1D9F-9B54-BE99-3B709FC3AD79}"/>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0939" name="직선 화살표 연결선 40938">
          <a:extLst>
            <a:ext uri="{FF2B5EF4-FFF2-40B4-BE49-F238E27FC236}">
              <a16:creationId xmlns:a16="http://schemas.microsoft.com/office/drawing/2014/main" id="{8F12ECB1-1C29-42F2-9043-1C4154F024D5}"/>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0940" name="2">
          <a:extLst>
            <a:ext uri="{FF2B5EF4-FFF2-40B4-BE49-F238E27FC236}">
              <a16:creationId xmlns:a16="http://schemas.microsoft.com/office/drawing/2014/main" id="{0F04B4EC-2BC6-EDA0-4FE9-E2932725173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0941" name="직선 화살표 연결선 40940">
          <a:extLst>
            <a:ext uri="{FF2B5EF4-FFF2-40B4-BE49-F238E27FC236}">
              <a16:creationId xmlns:a16="http://schemas.microsoft.com/office/drawing/2014/main" id="{8F1A1F3D-E5BD-DBD0-047F-A819B07D2683}"/>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0942" name="1">
          <a:extLst>
            <a:ext uri="{FF2B5EF4-FFF2-40B4-BE49-F238E27FC236}">
              <a16:creationId xmlns:a16="http://schemas.microsoft.com/office/drawing/2014/main" id="{44D1DB66-C6CC-DC6B-2588-B7D7B1FC278C}"/>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0943" name="직선 화살표 연결선 40942">
          <a:extLst>
            <a:ext uri="{FF2B5EF4-FFF2-40B4-BE49-F238E27FC236}">
              <a16:creationId xmlns:a16="http://schemas.microsoft.com/office/drawing/2014/main" id="{0D64E18E-9188-BC4D-1FF1-599BE25EFC9D}"/>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1317" name="44">
          <a:extLst>
            <a:ext uri="{FF2B5EF4-FFF2-40B4-BE49-F238E27FC236}">
              <a16:creationId xmlns:a16="http://schemas.microsoft.com/office/drawing/2014/main" id="{7903DAAC-A2E0-3A88-168F-ECB51C0A5282}"/>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1318" name="직선 화살표 연결선 41317">
          <a:extLst>
            <a:ext uri="{FF2B5EF4-FFF2-40B4-BE49-F238E27FC236}">
              <a16:creationId xmlns:a16="http://schemas.microsoft.com/office/drawing/2014/main" id="{C74654BA-159A-AFD1-0BD8-6BB5A4CB7A92}"/>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1319" name="43">
          <a:extLst>
            <a:ext uri="{FF2B5EF4-FFF2-40B4-BE49-F238E27FC236}">
              <a16:creationId xmlns:a16="http://schemas.microsoft.com/office/drawing/2014/main" id="{096A12CE-6DB9-9B32-18E3-3A91B99F25E8}"/>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1320" name="직선 화살표 연결선 41319">
          <a:extLst>
            <a:ext uri="{FF2B5EF4-FFF2-40B4-BE49-F238E27FC236}">
              <a16:creationId xmlns:a16="http://schemas.microsoft.com/office/drawing/2014/main" id="{55C31156-1236-7E84-D368-9737FBE4487D}"/>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1321" name="42">
          <a:extLst>
            <a:ext uri="{FF2B5EF4-FFF2-40B4-BE49-F238E27FC236}">
              <a16:creationId xmlns:a16="http://schemas.microsoft.com/office/drawing/2014/main" id="{C2CD6502-1437-FBFA-36EF-770E75DBA0C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1322" name="직선 화살표 연결선 41321">
          <a:extLst>
            <a:ext uri="{FF2B5EF4-FFF2-40B4-BE49-F238E27FC236}">
              <a16:creationId xmlns:a16="http://schemas.microsoft.com/office/drawing/2014/main" id="{57B4EF15-1F1C-A0B3-FA10-592AC362671E}"/>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1323" name="41">
          <a:extLst>
            <a:ext uri="{FF2B5EF4-FFF2-40B4-BE49-F238E27FC236}">
              <a16:creationId xmlns:a16="http://schemas.microsoft.com/office/drawing/2014/main" id="{6A272168-CB4B-A2B0-DAAC-0C8147882154}"/>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1324" name="직선 화살표 연결선 41323">
          <a:extLst>
            <a:ext uri="{FF2B5EF4-FFF2-40B4-BE49-F238E27FC236}">
              <a16:creationId xmlns:a16="http://schemas.microsoft.com/office/drawing/2014/main" id="{BA8D044F-D4E8-0C59-6AAA-8618E62CE2BA}"/>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1384" name="10">
          <a:extLst>
            <a:ext uri="{FF2B5EF4-FFF2-40B4-BE49-F238E27FC236}">
              <a16:creationId xmlns:a16="http://schemas.microsoft.com/office/drawing/2014/main" id="{3B3CBD5F-E18C-7E7A-D0BA-313689DD47E0}"/>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1385" name="직선 화살표 연결선 41384">
          <a:extLst>
            <a:ext uri="{FF2B5EF4-FFF2-40B4-BE49-F238E27FC236}">
              <a16:creationId xmlns:a16="http://schemas.microsoft.com/office/drawing/2014/main" id="{712F8D72-17FF-407E-4FE5-76E688BF4396}"/>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1386" name="9">
          <a:extLst>
            <a:ext uri="{FF2B5EF4-FFF2-40B4-BE49-F238E27FC236}">
              <a16:creationId xmlns:a16="http://schemas.microsoft.com/office/drawing/2014/main" id="{21E03D1E-1D69-39FE-2131-AD5AC1D21FA0}"/>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1387" name="직선 화살표 연결선 41386">
          <a:extLst>
            <a:ext uri="{FF2B5EF4-FFF2-40B4-BE49-F238E27FC236}">
              <a16:creationId xmlns:a16="http://schemas.microsoft.com/office/drawing/2014/main" id="{3E34FE48-F6F6-AF2D-373E-256C704892AC}"/>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1388" name="8">
          <a:extLst>
            <a:ext uri="{FF2B5EF4-FFF2-40B4-BE49-F238E27FC236}">
              <a16:creationId xmlns:a16="http://schemas.microsoft.com/office/drawing/2014/main" id="{DD588416-8734-0333-EE38-658509DF643E}"/>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1389" name="직선 화살표 연결선 41388">
          <a:extLst>
            <a:ext uri="{FF2B5EF4-FFF2-40B4-BE49-F238E27FC236}">
              <a16:creationId xmlns:a16="http://schemas.microsoft.com/office/drawing/2014/main" id="{D2AFF19E-43AF-85E7-F192-8886C10F0B9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1390" name="7">
          <a:extLst>
            <a:ext uri="{FF2B5EF4-FFF2-40B4-BE49-F238E27FC236}">
              <a16:creationId xmlns:a16="http://schemas.microsoft.com/office/drawing/2014/main" id="{85625D6E-B1F8-8CE6-FD45-5DDCDE4A7CA1}"/>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1391" name="6">
          <a:extLst>
            <a:ext uri="{FF2B5EF4-FFF2-40B4-BE49-F238E27FC236}">
              <a16:creationId xmlns:a16="http://schemas.microsoft.com/office/drawing/2014/main" id="{EA09F655-0A6E-8961-28C8-EF854FC82B04}"/>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1392" name="직선 화살표 연결선 41391">
          <a:extLst>
            <a:ext uri="{FF2B5EF4-FFF2-40B4-BE49-F238E27FC236}">
              <a16:creationId xmlns:a16="http://schemas.microsoft.com/office/drawing/2014/main" id="{A60B61EE-4696-D82D-C152-BAE177BE8EC9}"/>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1393" name="5">
          <a:extLst>
            <a:ext uri="{FF2B5EF4-FFF2-40B4-BE49-F238E27FC236}">
              <a16:creationId xmlns:a16="http://schemas.microsoft.com/office/drawing/2014/main" id="{8A2E97EC-0E7C-C2B9-485A-3F71F6241D0C}"/>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1394" name="직선 화살표 연결선 41393">
          <a:extLst>
            <a:ext uri="{FF2B5EF4-FFF2-40B4-BE49-F238E27FC236}">
              <a16:creationId xmlns:a16="http://schemas.microsoft.com/office/drawing/2014/main" id="{8B647B39-97FF-7CD7-1127-A227BD07C35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1395" name="4">
          <a:extLst>
            <a:ext uri="{FF2B5EF4-FFF2-40B4-BE49-F238E27FC236}">
              <a16:creationId xmlns:a16="http://schemas.microsoft.com/office/drawing/2014/main" id="{582C4E45-D56B-78C7-C99C-D4944D779A5A}"/>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1396" name="직선 화살표 연결선 41395">
          <a:extLst>
            <a:ext uri="{FF2B5EF4-FFF2-40B4-BE49-F238E27FC236}">
              <a16:creationId xmlns:a16="http://schemas.microsoft.com/office/drawing/2014/main" id="{49E77DC9-5147-A07B-F178-BEBEA7DA0AD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1397" name="3">
          <a:extLst>
            <a:ext uri="{FF2B5EF4-FFF2-40B4-BE49-F238E27FC236}">
              <a16:creationId xmlns:a16="http://schemas.microsoft.com/office/drawing/2014/main" id="{7EA3DFFA-2916-7401-96DA-465DE7C61784}"/>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1398" name="직선 화살표 연결선 41397">
          <a:extLst>
            <a:ext uri="{FF2B5EF4-FFF2-40B4-BE49-F238E27FC236}">
              <a16:creationId xmlns:a16="http://schemas.microsoft.com/office/drawing/2014/main" id="{7FBD999C-C6A9-DB08-3940-7C518B78D035}"/>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1399" name="2">
          <a:extLst>
            <a:ext uri="{FF2B5EF4-FFF2-40B4-BE49-F238E27FC236}">
              <a16:creationId xmlns:a16="http://schemas.microsoft.com/office/drawing/2014/main" id="{0D917A5B-F00E-4811-AF36-349AE724CBA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1400" name="직선 화살표 연결선 41399">
          <a:extLst>
            <a:ext uri="{FF2B5EF4-FFF2-40B4-BE49-F238E27FC236}">
              <a16:creationId xmlns:a16="http://schemas.microsoft.com/office/drawing/2014/main" id="{676A57E3-215E-ED97-49C5-6D3E1AF6EAA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1401" name="1">
          <a:extLst>
            <a:ext uri="{FF2B5EF4-FFF2-40B4-BE49-F238E27FC236}">
              <a16:creationId xmlns:a16="http://schemas.microsoft.com/office/drawing/2014/main" id="{251A9681-6020-1498-C28C-E56EF8D1E45E}"/>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1402" name="직선 화살표 연결선 41401">
          <a:extLst>
            <a:ext uri="{FF2B5EF4-FFF2-40B4-BE49-F238E27FC236}">
              <a16:creationId xmlns:a16="http://schemas.microsoft.com/office/drawing/2014/main" id="{60526C28-C943-3B4D-A267-65130C20040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1776" name="44">
          <a:extLst>
            <a:ext uri="{FF2B5EF4-FFF2-40B4-BE49-F238E27FC236}">
              <a16:creationId xmlns:a16="http://schemas.microsoft.com/office/drawing/2014/main" id="{913E7080-8E25-6245-321D-640CB89F59C7}"/>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1777" name="직선 화살표 연결선 41776">
          <a:extLst>
            <a:ext uri="{FF2B5EF4-FFF2-40B4-BE49-F238E27FC236}">
              <a16:creationId xmlns:a16="http://schemas.microsoft.com/office/drawing/2014/main" id="{AF606869-D4E2-2287-17C2-27B9BA4DB87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1778" name="43">
          <a:extLst>
            <a:ext uri="{FF2B5EF4-FFF2-40B4-BE49-F238E27FC236}">
              <a16:creationId xmlns:a16="http://schemas.microsoft.com/office/drawing/2014/main" id="{5E3BFFA2-6912-F766-B8C6-04BF33F4ADA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1779" name="직선 화살표 연결선 41778">
          <a:extLst>
            <a:ext uri="{FF2B5EF4-FFF2-40B4-BE49-F238E27FC236}">
              <a16:creationId xmlns:a16="http://schemas.microsoft.com/office/drawing/2014/main" id="{B89A9B9E-30E1-E92D-3BD2-D25127AA3BDE}"/>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1780" name="42">
          <a:extLst>
            <a:ext uri="{FF2B5EF4-FFF2-40B4-BE49-F238E27FC236}">
              <a16:creationId xmlns:a16="http://schemas.microsoft.com/office/drawing/2014/main" id="{1421C253-A8D6-45F5-6D85-10F0D4F23631}"/>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1781" name="직선 화살표 연결선 41780">
          <a:extLst>
            <a:ext uri="{FF2B5EF4-FFF2-40B4-BE49-F238E27FC236}">
              <a16:creationId xmlns:a16="http://schemas.microsoft.com/office/drawing/2014/main" id="{54DCB68D-4ADA-71C8-5A5A-0B7FD976968C}"/>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1782" name="41">
          <a:extLst>
            <a:ext uri="{FF2B5EF4-FFF2-40B4-BE49-F238E27FC236}">
              <a16:creationId xmlns:a16="http://schemas.microsoft.com/office/drawing/2014/main" id="{7EE313E7-FF85-BAD8-FA7A-57A56C54149C}"/>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1783" name="직선 화살표 연결선 41782">
          <a:extLst>
            <a:ext uri="{FF2B5EF4-FFF2-40B4-BE49-F238E27FC236}">
              <a16:creationId xmlns:a16="http://schemas.microsoft.com/office/drawing/2014/main" id="{0D3822F6-3C40-786B-DBB9-B7AB5DD5AA11}"/>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1843" name="10">
          <a:extLst>
            <a:ext uri="{FF2B5EF4-FFF2-40B4-BE49-F238E27FC236}">
              <a16:creationId xmlns:a16="http://schemas.microsoft.com/office/drawing/2014/main" id="{27EF11FC-30C1-2272-D2E2-C5225C8211A9}"/>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1844" name="직선 화살표 연결선 41843">
          <a:extLst>
            <a:ext uri="{FF2B5EF4-FFF2-40B4-BE49-F238E27FC236}">
              <a16:creationId xmlns:a16="http://schemas.microsoft.com/office/drawing/2014/main" id="{5EC9B00E-5054-299D-F743-63EF4BC6152C}"/>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1845" name="9">
          <a:extLst>
            <a:ext uri="{FF2B5EF4-FFF2-40B4-BE49-F238E27FC236}">
              <a16:creationId xmlns:a16="http://schemas.microsoft.com/office/drawing/2014/main" id="{03AB12F7-56AB-85FA-5BBF-3F6D0C397865}"/>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1846" name="직선 화살표 연결선 41845">
          <a:extLst>
            <a:ext uri="{FF2B5EF4-FFF2-40B4-BE49-F238E27FC236}">
              <a16:creationId xmlns:a16="http://schemas.microsoft.com/office/drawing/2014/main" id="{D0D07E45-0990-262F-522A-671B42D93E96}"/>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1847" name="8">
          <a:extLst>
            <a:ext uri="{FF2B5EF4-FFF2-40B4-BE49-F238E27FC236}">
              <a16:creationId xmlns:a16="http://schemas.microsoft.com/office/drawing/2014/main" id="{684E5E27-9EA0-8BF4-51F2-83BED50528C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1848" name="직선 화살표 연결선 41847">
          <a:extLst>
            <a:ext uri="{FF2B5EF4-FFF2-40B4-BE49-F238E27FC236}">
              <a16:creationId xmlns:a16="http://schemas.microsoft.com/office/drawing/2014/main" id="{CFA19F94-A8A5-8909-6B79-7E799E51D6AF}"/>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1849" name="7">
          <a:extLst>
            <a:ext uri="{FF2B5EF4-FFF2-40B4-BE49-F238E27FC236}">
              <a16:creationId xmlns:a16="http://schemas.microsoft.com/office/drawing/2014/main" id="{8DB8C943-D227-5CBC-0928-5C143BCE66CB}"/>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1850" name="6">
          <a:extLst>
            <a:ext uri="{FF2B5EF4-FFF2-40B4-BE49-F238E27FC236}">
              <a16:creationId xmlns:a16="http://schemas.microsoft.com/office/drawing/2014/main" id="{6F43C4C9-3485-79E7-960C-BB87EE21B1CB}"/>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1851" name="직선 화살표 연결선 41850">
          <a:extLst>
            <a:ext uri="{FF2B5EF4-FFF2-40B4-BE49-F238E27FC236}">
              <a16:creationId xmlns:a16="http://schemas.microsoft.com/office/drawing/2014/main" id="{46E4A971-88A0-5A41-008F-CD4903EFDE96}"/>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1852" name="5">
          <a:extLst>
            <a:ext uri="{FF2B5EF4-FFF2-40B4-BE49-F238E27FC236}">
              <a16:creationId xmlns:a16="http://schemas.microsoft.com/office/drawing/2014/main" id="{A40442AE-A346-0C8F-43F0-5141E8B4B4CB}"/>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1853" name="직선 화살표 연결선 41852">
          <a:extLst>
            <a:ext uri="{FF2B5EF4-FFF2-40B4-BE49-F238E27FC236}">
              <a16:creationId xmlns:a16="http://schemas.microsoft.com/office/drawing/2014/main" id="{A2EBF54D-12A4-1A35-5B8A-63DA01F76BBE}"/>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1854" name="4">
          <a:extLst>
            <a:ext uri="{FF2B5EF4-FFF2-40B4-BE49-F238E27FC236}">
              <a16:creationId xmlns:a16="http://schemas.microsoft.com/office/drawing/2014/main" id="{BE6FCB15-A78D-6736-DFD5-118916910225}"/>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1855" name="직선 화살표 연결선 41854">
          <a:extLst>
            <a:ext uri="{FF2B5EF4-FFF2-40B4-BE49-F238E27FC236}">
              <a16:creationId xmlns:a16="http://schemas.microsoft.com/office/drawing/2014/main" id="{7D98692C-04B6-1287-2BE2-139DDB4ADD7B}"/>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1856" name="3">
          <a:extLst>
            <a:ext uri="{FF2B5EF4-FFF2-40B4-BE49-F238E27FC236}">
              <a16:creationId xmlns:a16="http://schemas.microsoft.com/office/drawing/2014/main" id="{E749FFEA-508A-ACA8-D35E-B0B7EC1664FF}"/>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1857" name="직선 화살표 연결선 41856">
          <a:extLst>
            <a:ext uri="{FF2B5EF4-FFF2-40B4-BE49-F238E27FC236}">
              <a16:creationId xmlns:a16="http://schemas.microsoft.com/office/drawing/2014/main" id="{CBE8DFD5-F91F-8815-A4F9-C10E18C2145B}"/>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1858" name="2">
          <a:extLst>
            <a:ext uri="{FF2B5EF4-FFF2-40B4-BE49-F238E27FC236}">
              <a16:creationId xmlns:a16="http://schemas.microsoft.com/office/drawing/2014/main" id="{701E59AD-370D-0ADA-7DF4-46FAFD8A972C}"/>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1859" name="직선 화살표 연결선 41858">
          <a:extLst>
            <a:ext uri="{FF2B5EF4-FFF2-40B4-BE49-F238E27FC236}">
              <a16:creationId xmlns:a16="http://schemas.microsoft.com/office/drawing/2014/main" id="{11E108A3-2FE3-D942-CC85-8DA41E12031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1860" name="1">
          <a:extLst>
            <a:ext uri="{FF2B5EF4-FFF2-40B4-BE49-F238E27FC236}">
              <a16:creationId xmlns:a16="http://schemas.microsoft.com/office/drawing/2014/main" id="{D6BC19DC-AF9E-9936-86C3-1D40C08BC34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1861" name="직선 화살표 연결선 41860">
          <a:extLst>
            <a:ext uri="{FF2B5EF4-FFF2-40B4-BE49-F238E27FC236}">
              <a16:creationId xmlns:a16="http://schemas.microsoft.com/office/drawing/2014/main" id="{D5327F96-90B2-36CB-7E34-F5E93AB8E1A7}"/>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2235" name="44">
          <a:extLst>
            <a:ext uri="{FF2B5EF4-FFF2-40B4-BE49-F238E27FC236}">
              <a16:creationId xmlns:a16="http://schemas.microsoft.com/office/drawing/2014/main" id="{D24EFE7B-8431-55F5-1AA0-2789C44E7AD5}"/>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2236" name="직선 화살표 연결선 42235">
          <a:extLst>
            <a:ext uri="{FF2B5EF4-FFF2-40B4-BE49-F238E27FC236}">
              <a16:creationId xmlns:a16="http://schemas.microsoft.com/office/drawing/2014/main" id="{36B769D9-46B4-FD6C-1023-3CC828DE1923}"/>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2237" name="43">
          <a:extLst>
            <a:ext uri="{FF2B5EF4-FFF2-40B4-BE49-F238E27FC236}">
              <a16:creationId xmlns:a16="http://schemas.microsoft.com/office/drawing/2014/main" id="{4CC7B283-FD48-A900-97A7-A0393F267334}"/>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2238" name="직선 화살표 연결선 42237">
          <a:extLst>
            <a:ext uri="{FF2B5EF4-FFF2-40B4-BE49-F238E27FC236}">
              <a16:creationId xmlns:a16="http://schemas.microsoft.com/office/drawing/2014/main" id="{0701145E-ABD4-0B51-C0EC-06055C64713D}"/>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2239" name="42">
          <a:extLst>
            <a:ext uri="{FF2B5EF4-FFF2-40B4-BE49-F238E27FC236}">
              <a16:creationId xmlns:a16="http://schemas.microsoft.com/office/drawing/2014/main" id="{0B7BD5B3-1420-4FB9-3258-149ABBE2BFFF}"/>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2240" name="직선 화살표 연결선 42239">
          <a:extLst>
            <a:ext uri="{FF2B5EF4-FFF2-40B4-BE49-F238E27FC236}">
              <a16:creationId xmlns:a16="http://schemas.microsoft.com/office/drawing/2014/main" id="{61082F08-7A0F-C12D-BC72-6DA4B3237C8C}"/>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2241" name="41">
          <a:extLst>
            <a:ext uri="{FF2B5EF4-FFF2-40B4-BE49-F238E27FC236}">
              <a16:creationId xmlns:a16="http://schemas.microsoft.com/office/drawing/2014/main" id="{B51B6ABD-F12A-B687-38F9-795C343D1418}"/>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2242" name="직선 화살표 연결선 42241">
          <a:extLst>
            <a:ext uri="{FF2B5EF4-FFF2-40B4-BE49-F238E27FC236}">
              <a16:creationId xmlns:a16="http://schemas.microsoft.com/office/drawing/2014/main" id="{7719B5D8-2D94-95E3-F0EE-51379E6DE9F0}"/>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2302" name="10">
          <a:extLst>
            <a:ext uri="{FF2B5EF4-FFF2-40B4-BE49-F238E27FC236}">
              <a16:creationId xmlns:a16="http://schemas.microsoft.com/office/drawing/2014/main" id="{B2EB1A10-8763-1E6F-5AAD-180EAB6D5F28}"/>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2303" name="직선 화살표 연결선 42302">
          <a:extLst>
            <a:ext uri="{FF2B5EF4-FFF2-40B4-BE49-F238E27FC236}">
              <a16:creationId xmlns:a16="http://schemas.microsoft.com/office/drawing/2014/main" id="{C7E34AB0-D2CB-36B7-8091-B210284B139C}"/>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2304" name="9">
          <a:extLst>
            <a:ext uri="{FF2B5EF4-FFF2-40B4-BE49-F238E27FC236}">
              <a16:creationId xmlns:a16="http://schemas.microsoft.com/office/drawing/2014/main" id="{4231C17A-A798-B722-9797-9E7BB96F778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2305" name="직선 화살표 연결선 42304">
          <a:extLst>
            <a:ext uri="{FF2B5EF4-FFF2-40B4-BE49-F238E27FC236}">
              <a16:creationId xmlns:a16="http://schemas.microsoft.com/office/drawing/2014/main" id="{989A8D37-13BE-F951-D576-6DC81279DD0B}"/>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2306" name="8">
          <a:extLst>
            <a:ext uri="{FF2B5EF4-FFF2-40B4-BE49-F238E27FC236}">
              <a16:creationId xmlns:a16="http://schemas.microsoft.com/office/drawing/2014/main" id="{0F994C20-0FAA-DF2B-BD93-078549B9A3B6}"/>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2307" name="직선 화살표 연결선 42306">
          <a:extLst>
            <a:ext uri="{FF2B5EF4-FFF2-40B4-BE49-F238E27FC236}">
              <a16:creationId xmlns:a16="http://schemas.microsoft.com/office/drawing/2014/main" id="{81D35F28-B565-AF06-DEBE-122F49F972F1}"/>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2308" name="7">
          <a:extLst>
            <a:ext uri="{FF2B5EF4-FFF2-40B4-BE49-F238E27FC236}">
              <a16:creationId xmlns:a16="http://schemas.microsoft.com/office/drawing/2014/main" id="{EFC55CDF-D714-699F-A0D8-94B5C94F193E}"/>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2309" name="6">
          <a:extLst>
            <a:ext uri="{FF2B5EF4-FFF2-40B4-BE49-F238E27FC236}">
              <a16:creationId xmlns:a16="http://schemas.microsoft.com/office/drawing/2014/main" id="{4C1D064D-7483-253A-F6F4-BC7A43A49376}"/>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2310" name="직선 화살표 연결선 42309">
          <a:extLst>
            <a:ext uri="{FF2B5EF4-FFF2-40B4-BE49-F238E27FC236}">
              <a16:creationId xmlns:a16="http://schemas.microsoft.com/office/drawing/2014/main" id="{0227A05D-F9A0-70CE-0280-41ADA5002BB0}"/>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2311" name="5">
          <a:extLst>
            <a:ext uri="{FF2B5EF4-FFF2-40B4-BE49-F238E27FC236}">
              <a16:creationId xmlns:a16="http://schemas.microsoft.com/office/drawing/2014/main" id="{ADA26BD1-EEDB-1723-EA0A-58E88F427105}"/>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2312" name="직선 화살표 연결선 42311">
          <a:extLst>
            <a:ext uri="{FF2B5EF4-FFF2-40B4-BE49-F238E27FC236}">
              <a16:creationId xmlns:a16="http://schemas.microsoft.com/office/drawing/2014/main" id="{6B672443-C3D8-838C-1D68-7CEB497D7A09}"/>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2313" name="4">
          <a:extLst>
            <a:ext uri="{FF2B5EF4-FFF2-40B4-BE49-F238E27FC236}">
              <a16:creationId xmlns:a16="http://schemas.microsoft.com/office/drawing/2014/main" id="{67519135-F29E-C42A-9209-5E8387545B25}"/>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2314" name="직선 화살표 연결선 42313">
          <a:extLst>
            <a:ext uri="{FF2B5EF4-FFF2-40B4-BE49-F238E27FC236}">
              <a16:creationId xmlns:a16="http://schemas.microsoft.com/office/drawing/2014/main" id="{5A87A502-A0B2-3237-7B9E-6BE0A8F9D882}"/>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2315" name="3">
          <a:extLst>
            <a:ext uri="{FF2B5EF4-FFF2-40B4-BE49-F238E27FC236}">
              <a16:creationId xmlns:a16="http://schemas.microsoft.com/office/drawing/2014/main" id="{A31FE0F3-E747-FD14-F1A2-917D96518E6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2316" name="직선 화살표 연결선 42315">
          <a:extLst>
            <a:ext uri="{FF2B5EF4-FFF2-40B4-BE49-F238E27FC236}">
              <a16:creationId xmlns:a16="http://schemas.microsoft.com/office/drawing/2014/main" id="{08934270-F551-66E9-90F6-8F5FA4B40A7F}"/>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2317" name="2">
          <a:extLst>
            <a:ext uri="{FF2B5EF4-FFF2-40B4-BE49-F238E27FC236}">
              <a16:creationId xmlns:a16="http://schemas.microsoft.com/office/drawing/2014/main" id="{90783312-6951-E314-3F0A-C0A95C348DE4}"/>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2318" name="직선 화살표 연결선 42317">
          <a:extLst>
            <a:ext uri="{FF2B5EF4-FFF2-40B4-BE49-F238E27FC236}">
              <a16:creationId xmlns:a16="http://schemas.microsoft.com/office/drawing/2014/main" id="{F71A6FA7-880C-79AB-C4D7-A833471EEE7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2319" name="1">
          <a:extLst>
            <a:ext uri="{FF2B5EF4-FFF2-40B4-BE49-F238E27FC236}">
              <a16:creationId xmlns:a16="http://schemas.microsoft.com/office/drawing/2014/main" id="{74C6C81A-0BA5-BE42-4097-41BF331C71F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2320" name="직선 화살표 연결선 42319">
          <a:extLst>
            <a:ext uri="{FF2B5EF4-FFF2-40B4-BE49-F238E27FC236}">
              <a16:creationId xmlns:a16="http://schemas.microsoft.com/office/drawing/2014/main" id="{2D7F7E39-A528-4FDB-90AD-A656848301A8}"/>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2694" name="44">
          <a:extLst>
            <a:ext uri="{FF2B5EF4-FFF2-40B4-BE49-F238E27FC236}">
              <a16:creationId xmlns:a16="http://schemas.microsoft.com/office/drawing/2014/main" id="{EA93CE80-4843-15B6-CD9B-C8C39143FA49}"/>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2695" name="직선 화살표 연결선 42694">
          <a:extLst>
            <a:ext uri="{FF2B5EF4-FFF2-40B4-BE49-F238E27FC236}">
              <a16:creationId xmlns:a16="http://schemas.microsoft.com/office/drawing/2014/main" id="{CFE5C1B0-AB17-300D-AD88-FDE03CA69566}"/>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2696" name="43">
          <a:extLst>
            <a:ext uri="{FF2B5EF4-FFF2-40B4-BE49-F238E27FC236}">
              <a16:creationId xmlns:a16="http://schemas.microsoft.com/office/drawing/2014/main" id="{EEBCBFB3-DC0D-C537-12D7-9953B1F4598C}"/>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2697" name="직선 화살표 연결선 42696">
          <a:extLst>
            <a:ext uri="{FF2B5EF4-FFF2-40B4-BE49-F238E27FC236}">
              <a16:creationId xmlns:a16="http://schemas.microsoft.com/office/drawing/2014/main" id="{E3EA9496-681D-3F3F-8818-47FB57BE640E}"/>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2698" name="42">
          <a:extLst>
            <a:ext uri="{FF2B5EF4-FFF2-40B4-BE49-F238E27FC236}">
              <a16:creationId xmlns:a16="http://schemas.microsoft.com/office/drawing/2014/main" id="{4B793473-5DB5-1B46-1136-54D50352C3F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2699" name="직선 화살표 연결선 42698">
          <a:extLst>
            <a:ext uri="{FF2B5EF4-FFF2-40B4-BE49-F238E27FC236}">
              <a16:creationId xmlns:a16="http://schemas.microsoft.com/office/drawing/2014/main" id="{A2FC9213-4CF2-4EAD-6D1E-80F107BCAD2A}"/>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2700" name="41">
          <a:extLst>
            <a:ext uri="{FF2B5EF4-FFF2-40B4-BE49-F238E27FC236}">
              <a16:creationId xmlns:a16="http://schemas.microsoft.com/office/drawing/2014/main" id="{5A846BC2-A591-1D9B-76F9-BF35DFA8634B}"/>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2701" name="직선 화살표 연결선 42700">
          <a:extLst>
            <a:ext uri="{FF2B5EF4-FFF2-40B4-BE49-F238E27FC236}">
              <a16:creationId xmlns:a16="http://schemas.microsoft.com/office/drawing/2014/main" id="{C78F11C8-EB4A-0DAC-55D2-6305EB92E12A}"/>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2761" name="10">
          <a:extLst>
            <a:ext uri="{FF2B5EF4-FFF2-40B4-BE49-F238E27FC236}">
              <a16:creationId xmlns:a16="http://schemas.microsoft.com/office/drawing/2014/main" id="{A0594106-E4CD-3FE5-D749-B62CA59198FF}"/>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2762" name="직선 화살표 연결선 42761">
          <a:extLst>
            <a:ext uri="{FF2B5EF4-FFF2-40B4-BE49-F238E27FC236}">
              <a16:creationId xmlns:a16="http://schemas.microsoft.com/office/drawing/2014/main" id="{37E8C563-B7C8-8016-DFA9-82603E545483}"/>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2763" name="9">
          <a:extLst>
            <a:ext uri="{FF2B5EF4-FFF2-40B4-BE49-F238E27FC236}">
              <a16:creationId xmlns:a16="http://schemas.microsoft.com/office/drawing/2014/main" id="{051366CE-0D9D-45E2-F70C-F772F69C5D7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2764" name="직선 화살표 연결선 42763">
          <a:extLst>
            <a:ext uri="{FF2B5EF4-FFF2-40B4-BE49-F238E27FC236}">
              <a16:creationId xmlns:a16="http://schemas.microsoft.com/office/drawing/2014/main" id="{C23BC4C8-663F-5449-7B78-42A7BEA77686}"/>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2765" name="8">
          <a:extLst>
            <a:ext uri="{FF2B5EF4-FFF2-40B4-BE49-F238E27FC236}">
              <a16:creationId xmlns:a16="http://schemas.microsoft.com/office/drawing/2014/main" id="{1314D577-9622-7BEC-2F01-AAC53B209CE3}"/>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2766" name="직선 화살표 연결선 42765">
          <a:extLst>
            <a:ext uri="{FF2B5EF4-FFF2-40B4-BE49-F238E27FC236}">
              <a16:creationId xmlns:a16="http://schemas.microsoft.com/office/drawing/2014/main" id="{A4974646-363C-69F0-81FA-0F54D1CDDB18}"/>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2767" name="7">
          <a:extLst>
            <a:ext uri="{FF2B5EF4-FFF2-40B4-BE49-F238E27FC236}">
              <a16:creationId xmlns:a16="http://schemas.microsoft.com/office/drawing/2014/main" id="{F8FCA3B0-5048-9F40-8AED-B38EED25A69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2768" name="6">
          <a:extLst>
            <a:ext uri="{FF2B5EF4-FFF2-40B4-BE49-F238E27FC236}">
              <a16:creationId xmlns:a16="http://schemas.microsoft.com/office/drawing/2014/main" id="{836F0BEF-6E33-C1C4-F0A7-1CBC59E15378}"/>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2769" name="직선 화살표 연결선 42768">
          <a:extLst>
            <a:ext uri="{FF2B5EF4-FFF2-40B4-BE49-F238E27FC236}">
              <a16:creationId xmlns:a16="http://schemas.microsoft.com/office/drawing/2014/main" id="{5252B3E5-DC29-C27E-3304-B6D58A061974}"/>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2770" name="5">
          <a:extLst>
            <a:ext uri="{FF2B5EF4-FFF2-40B4-BE49-F238E27FC236}">
              <a16:creationId xmlns:a16="http://schemas.microsoft.com/office/drawing/2014/main" id="{378DA5FC-CE76-09AE-A5FB-5CD19C2259B4}"/>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2771" name="직선 화살표 연결선 42770">
          <a:extLst>
            <a:ext uri="{FF2B5EF4-FFF2-40B4-BE49-F238E27FC236}">
              <a16:creationId xmlns:a16="http://schemas.microsoft.com/office/drawing/2014/main" id="{25EF8382-1C08-2503-BC2D-EF159A1A3521}"/>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2772" name="4">
          <a:extLst>
            <a:ext uri="{FF2B5EF4-FFF2-40B4-BE49-F238E27FC236}">
              <a16:creationId xmlns:a16="http://schemas.microsoft.com/office/drawing/2014/main" id="{1CCE04EE-FDBD-1306-8B8D-777B75D03A3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2773" name="직선 화살표 연결선 42772">
          <a:extLst>
            <a:ext uri="{FF2B5EF4-FFF2-40B4-BE49-F238E27FC236}">
              <a16:creationId xmlns:a16="http://schemas.microsoft.com/office/drawing/2014/main" id="{9A39421B-27C5-FF4D-0EBE-497AE4326045}"/>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2774" name="3">
          <a:extLst>
            <a:ext uri="{FF2B5EF4-FFF2-40B4-BE49-F238E27FC236}">
              <a16:creationId xmlns:a16="http://schemas.microsoft.com/office/drawing/2014/main" id="{C095C248-031A-1681-020D-B1A6A9F0BCF5}"/>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2775" name="직선 화살표 연결선 42774">
          <a:extLst>
            <a:ext uri="{FF2B5EF4-FFF2-40B4-BE49-F238E27FC236}">
              <a16:creationId xmlns:a16="http://schemas.microsoft.com/office/drawing/2014/main" id="{A1E8EFBA-AC75-6AB6-EE5C-04482D12FB6B}"/>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2776" name="2">
          <a:extLst>
            <a:ext uri="{FF2B5EF4-FFF2-40B4-BE49-F238E27FC236}">
              <a16:creationId xmlns:a16="http://schemas.microsoft.com/office/drawing/2014/main" id="{48F08343-A344-AA72-3B50-E7DB36D0D4C5}"/>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2777" name="직선 화살표 연결선 42776">
          <a:extLst>
            <a:ext uri="{FF2B5EF4-FFF2-40B4-BE49-F238E27FC236}">
              <a16:creationId xmlns:a16="http://schemas.microsoft.com/office/drawing/2014/main" id="{86F0C1D0-40F5-1605-D149-A569F722A96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2778" name="1">
          <a:extLst>
            <a:ext uri="{FF2B5EF4-FFF2-40B4-BE49-F238E27FC236}">
              <a16:creationId xmlns:a16="http://schemas.microsoft.com/office/drawing/2014/main" id="{3AF46C52-B08A-6E31-ACDA-57867289D339}"/>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2779" name="직선 화살표 연결선 42778">
          <a:extLst>
            <a:ext uri="{FF2B5EF4-FFF2-40B4-BE49-F238E27FC236}">
              <a16:creationId xmlns:a16="http://schemas.microsoft.com/office/drawing/2014/main" id="{52A08780-54C0-CDE9-56B0-2BD65CFD6B00}"/>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3153" name="44">
          <a:extLst>
            <a:ext uri="{FF2B5EF4-FFF2-40B4-BE49-F238E27FC236}">
              <a16:creationId xmlns:a16="http://schemas.microsoft.com/office/drawing/2014/main" id="{55FE7D03-1CBA-5E27-F2A7-8062256CFEB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3154" name="직선 화살표 연결선 43153">
          <a:extLst>
            <a:ext uri="{FF2B5EF4-FFF2-40B4-BE49-F238E27FC236}">
              <a16:creationId xmlns:a16="http://schemas.microsoft.com/office/drawing/2014/main" id="{E57A75F5-1EAA-F52D-FA7C-DD05FD8EA8F7}"/>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3155" name="43">
          <a:extLst>
            <a:ext uri="{FF2B5EF4-FFF2-40B4-BE49-F238E27FC236}">
              <a16:creationId xmlns:a16="http://schemas.microsoft.com/office/drawing/2014/main" id="{7B41D853-2444-E9A3-27C2-0A8BB448C5E0}"/>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3156" name="직선 화살표 연결선 43155">
          <a:extLst>
            <a:ext uri="{FF2B5EF4-FFF2-40B4-BE49-F238E27FC236}">
              <a16:creationId xmlns:a16="http://schemas.microsoft.com/office/drawing/2014/main" id="{9B562752-3193-4ECF-5A71-1F6AB6B21EBA}"/>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3157" name="42">
          <a:extLst>
            <a:ext uri="{FF2B5EF4-FFF2-40B4-BE49-F238E27FC236}">
              <a16:creationId xmlns:a16="http://schemas.microsoft.com/office/drawing/2014/main" id="{E9B10300-186B-05FC-0ABC-50B3577F95CD}"/>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3158" name="직선 화살표 연결선 43157">
          <a:extLst>
            <a:ext uri="{FF2B5EF4-FFF2-40B4-BE49-F238E27FC236}">
              <a16:creationId xmlns:a16="http://schemas.microsoft.com/office/drawing/2014/main" id="{172D1AB2-04EA-D56A-845C-1E68E0413780}"/>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3159" name="41">
          <a:extLst>
            <a:ext uri="{FF2B5EF4-FFF2-40B4-BE49-F238E27FC236}">
              <a16:creationId xmlns:a16="http://schemas.microsoft.com/office/drawing/2014/main" id="{23E68883-2148-8FF2-427F-457D907E5743}"/>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3160" name="직선 화살표 연결선 43159">
          <a:extLst>
            <a:ext uri="{FF2B5EF4-FFF2-40B4-BE49-F238E27FC236}">
              <a16:creationId xmlns:a16="http://schemas.microsoft.com/office/drawing/2014/main" id="{BC954888-D46D-9413-5232-4D98506A1D4A}"/>
            </a:ext>
          </a:extLst>
        </xdr:cNvPr>
        <xdr:cNvCxnSpPr/>
      </xdr:nvCxnSpPr>
      <xdr:spPr>
        <a:xfrm>
          <a:off x="12944475" y="6991350"/>
          <a:ext cx="460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3220" name="10">
          <a:extLst>
            <a:ext uri="{FF2B5EF4-FFF2-40B4-BE49-F238E27FC236}">
              <a16:creationId xmlns:a16="http://schemas.microsoft.com/office/drawing/2014/main" id="{78B249FE-4926-8289-9861-FB71E4FEEFDF}"/>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3221" name="직선 화살표 연결선 43220">
          <a:extLst>
            <a:ext uri="{FF2B5EF4-FFF2-40B4-BE49-F238E27FC236}">
              <a16:creationId xmlns:a16="http://schemas.microsoft.com/office/drawing/2014/main" id="{78FC3D9D-C6F5-C8C7-CAC3-0377AE799560}"/>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3222" name="9">
          <a:extLst>
            <a:ext uri="{FF2B5EF4-FFF2-40B4-BE49-F238E27FC236}">
              <a16:creationId xmlns:a16="http://schemas.microsoft.com/office/drawing/2014/main" id="{DA71DF8B-7740-676A-74DF-A23783C8D94D}"/>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3223" name="직선 화살표 연결선 43222">
          <a:extLst>
            <a:ext uri="{FF2B5EF4-FFF2-40B4-BE49-F238E27FC236}">
              <a16:creationId xmlns:a16="http://schemas.microsoft.com/office/drawing/2014/main" id="{6C4F35CF-6A7E-B96B-8876-85DEDF9310F4}"/>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3224" name="8">
          <a:extLst>
            <a:ext uri="{FF2B5EF4-FFF2-40B4-BE49-F238E27FC236}">
              <a16:creationId xmlns:a16="http://schemas.microsoft.com/office/drawing/2014/main" id="{C45FA0C9-1D17-99D0-5A5D-B98AF37506D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3225" name="직선 화살표 연결선 43224">
          <a:extLst>
            <a:ext uri="{FF2B5EF4-FFF2-40B4-BE49-F238E27FC236}">
              <a16:creationId xmlns:a16="http://schemas.microsoft.com/office/drawing/2014/main" id="{3891B26D-C918-422E-8052-D6700FF7A8BA}"/>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3226" name="7">
          <a:extLst>
            <a:ext uri="{FF2B5EF4-FFF2-40B4-BE49-F238E27FC236}">
              <a16:creationId xmlns:a16="http://schemas.microsoft.com/office/drawing/2014/main" id="{06B26ABF-844D-6713-7953-A02DAEAE68C7}"/>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3227" name="6">
          <a:extLst>
            <a:ext uri="{FF2B5EF4-FFF2-40B4-BE49-F238E27FC236}">
              <a16:creationId xmlns:a16="http://schemas.microsoft.com/office/drawing/2014/main" id="{E72E4B9B-4433-4F7F-0070-EAB5BFB8FB7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3228" name="직선 화살표 연결선 43227">
          <a:extLst>
            <a:ext uri="{FF2B5EF4-FFF2-40B4-BE49-F238E27FC236}">
              <a16:creationId xmlns:a16="http://schemas.microsoft.com/office/drawing/2014/main" id="{61BED131-4011-EF35-7B50-D48F86D49DB5}"/>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3229" name="5">
          <a:extLst>
            <a:ext uri="{FF2B5EF4-FFF2-40B4-BE49-F238E27FC236}">
              <a16:creationId xmlns:a16="http://schemas.microsoft.com/office/drawing/2014/main" id="{C8B7AD50-109C-96CB-3824-D63F4E4860D1}"/>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3230" name="직선 화살표 연결선 43229">
          <a:extLst>
            <a:ext uri="{FF2B5EF4-FFF2-40B4-BE49-F238E27FC236}">
              <a16:creationId xmlns:a16="http://schemas.microsoft.com/office/drawing/2014/main" id="{7088FA36-683A-969E-0E6D-A674C1DBD0BF}"/>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3231" name="4">
          <a:extLst>
            <a:ext uri="{FF2B5EF4-FFF2-40B4-BE49-F238E27FC236}">
              <a16:creationId xmlns:a16="http://schemas.microsoft.com/office/drawing/2014/main" id="{7E5AAF07-20DE-C67D-609F-4275AAE7CB07}"/>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3232" name="직선 화살표 연결선 43231">
          <a:extLst>
            <a:ext uri="{FF2B5EF4-FFF2-40B4-BE49-F238E27FC236}">
              <a16:creationId xmlns:a16="http://schemas.microsoft.com/office/drawing/2014/main" id="{262ADA1A-B117-29DD-4507-B51091DF856E}"/>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3233" name="3">
          <a:extLst>
            <a:ext uri="{FF2B5EF4-FFF2-40B4-BE49-F238E27FC236}">
              <a16:creationId xmlns:a16="http://schemas.microsoft.com/office/drawing/2014/main" id="{321CD20B-55AC-BACB-6A3B-619C1F560DEB}"/>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3234" name="직선 화살표 연결선 43233">
          <a:extLst>
            <a:ext uri="{FF2B5EF4-FFF2-40B4-BE49-F238E27FC236}">
              <a16:creationId xmlns:a16="http://schemas.microsoft.com/office/drawing/2014/main" id="{B7E473D4-E4C3-682E-8F6E-ACBDEBA52E8D}"/>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3235" name="2">
          <a:extLst>
            <a:ext uri="{FF2B5EF4-FFF2-40B4-BE49-F238E27FC236}">
              <a16:creationId xmlns:a16="http://schemas.microsoft.com/office/drawing/2014/main" id="{E6825DF3-72F1-0ABE-3F21-F09E70E742B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3236" name="직선 화살표 연결선 43235">
          <a:extLst>
            <a:ext uri="{FF2B5EF4-FFF2-40B4-BE49-F238E27FC236}">
              <a16:creationId xmlns:a16="http://schemas.microsoft.com/office/drawing/2014/main" id="{35C5BB66-EB5A-6C12-04E7-1DFC9B30AF3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3237" name="1">
          <a:extLst>
            <a:ext uri="{FF2B5EF4-FFF2-40B4-BE49-F238E27FC236}">
              <a16:creationId xmlns:a16="http://schemas.microsoft.com/office/drawing/2014/main" id="{DE5BB94C-2470-5F1F-FE08-22997A8CE1F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3238" name="직선 화살표 연결선 43237">
          <a:extLst>
            <a:ext uri="{FF2B5EF4-FFF2-40B4-BE49-F238E27FC236}">
              <a16:creationId xmlns:a16="http://schemas.microsoft.com/office/drawing/2014/main" id="{4E59EEE1-DB46-2866-BBF1-BE06FE03DE6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3610" name="44">
          <a:extLst>
            <a:ext uri="{FF2B5EF4-FFF2-40B4-BE49-F238E27FC236}">
              <a16:creationId xmlns:a16="http://schemas.microsoft.com/office/drawing/2014/main" id="{437C2DCE-C6BD-7C23-86B8-9A16C26FBD8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3611" name="직선 화살표 연결선 43610">
          <a:extLst>
            <a:ext uri="{FF2B5EF4-FFF2-40B4-BE49-F238E27FC236}">
              <a16:creationId xmlns:a16="http://schemas.microsoft.com/office/drawing/2014/main" id="{D60A9561-8702-0E33-DC0A-5B28193C2B4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3612" name="43">
          <a:extLst>
            <a:ext uri="{FF2B5EF4-FFF2-40B4-BE49-F238E27FC236}">
              <a16:creationId xmlns:a16="http://schemas.microsoft.com/office/drawing/2014/main" id="{747CFE07-3B0E-28DC-CAD3-F7E3D1A7283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3613" name="직선 화살표 연결선 43612">
          <a:extLst>
            <a:ext uri="{FF2B5EF4-FFF2-40B4-BE49-F238E27FC236}">
              <a16:creationId xmlns:a16="http://schemas.microsoft.com/office/drawing/2014/main" id="{5D29CEC1-9455-D6FD-8AE4-AD04987E3E88}"/>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3614" name="42">
          <a:extLst>
            <a:ext uri="{FF2B5EF4-FFF2-40B4-BE49-F238E27FC236}">
              <a16:creationId xmlns:a16="http://schemas.microsoft.com/office/drawing/2014/main" id="{5C07886A-9FAC-63F4-BF78-8B3463F512E8}"/>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3615" name="직선 화살표 연결선 43614">
          <a:extLst>
            <a:ext uri="{FF2B5EF4-FFF2-40B4-BE49-F238E27FC236}">
              <a16:creationId xmlns:a16="http://schemas.microsoft.com/office/drawing/2014/main" id="{00185B79-3EFC-C29D-3939-FB582FC56AC6}"/>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3616" name="41">
          <a:extLst>
            <a:ext uri="{FF2B5EF4-FFF2-40B4-BE49-F238E27FC236}">
              <a16:creationId xmlns:a16="http://schemas.microsoft.com/office/drawing/2014/main" id="{CEED953B-8CB8-B2A6-CF49-F2A4CD34A31F}"/>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3617" name="직선 화살표 연결선 43616">
          <a:extLst>
            <a:ext uri="{FF2B5EF4-FFF2-40B4-BE49-F238E27FC236}">
              <a16:creationId xmlns:a16="http://schemas.microsoft.com/office/drawing/2014/main" id="{F01EDA5E-7069-2A4F-B9F8-57AE78D757D0}"/>
            </a:ext>
          </a:extLst>
        </xdr:cNvPr>
        <xdr:cNvCxnSpPr/>
      </xdr:nvCxnSpPr>
      <xdr:spPr>
        <a:xfrm>
          <a:off x="12944475" y="6991350"/>
          <a:ext cx="4631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3677" name="10">
          <a:extLst>
            <a:ext uri="{FF2B5EF4-FFF2-40B4-BE49-F238E27FC236}">
              <a16:creationId xmlns:a16="http://schemas.microsoft.com/office/drawing/2014/main" id="{45354328-3ED9-212E-C29B-39A771B7D7BE}"/>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3678" name="직선 화살표 연결선 43677">
          <a:extLst>
            <a:ext uri="{FF2B5EF4-FFF2-40B4-BE49-F238E27FC236}">
              <a16:creationId xmlns:a16="http://schemas.microsoft.com/office/drawing/2014/main" id="{92145BE8-B924-BF89-6203-4000BAB65275}"/>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3679" name="9">
          <a:extLst>
            <a:ext uri="{FF2B5EF4-FFF2-40B4-BE49-F238E27FC236}">
              <a16:creationId xmlns:a16="http://schemas.microsoft.com/office/drawing/2014/main" id="{7A310C02-DA34-4658-8D2A-736837C707BB}"/>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3680" name="직선 화살표 연결선 43679">
          <a:extLst>
            <a:ext uri="{FF2B5EF4-FFF2-40B4-BE49-F238E27FC236}">
              <a16:creationId xmlns:a16="http://schemas.microsoft.com/office/drawing/2014/main" id="{18E485DB-B33C-7D43-6FD6-0A9315F442DF}"/>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3681" name="8">
          <a:extLst>
            <a:ext uri="{FF2B5EF4-FFF2-40B4-BE49-F238E27FC236}">
              <a16:creationId xmlns:a16="http://schemas.microsoft.com/office/drawing/2014/main" id="{2D183487-1D3A-0CE4-2C6D-9B85B9D480C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3682" name="직선 화살표 연결선 43681">
          <a:extLst>
            <a:ext uri="{FF2B5EF4-FFF2-40B4-BE49-F238E27FC236}">
              <a16:creationId xmlns:a16="http://schemas.microsoft.com/office/drawing/2014/main" id="{73815A94-B13C-A710-F98A-33DA954672B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3683" name="7">
          <a:extLst>
            <a:ext uri="{FF2B5EF4-FFF2-40B4-BE49-F238E27FC236}">
              <a16:creationId xmlns:a16="http://schemas.microsoft.com/office/drawing/2014/main" id="{7DA248D2-B32B-1883-058A-FAE2F7FBC10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3684" name="6">
          <a:extLst>
            <a:ext uri="{FF2B5EF4-FFF2-40B4-BE49-F238E27FC236}">
              <a16:creationId xmlns:a16="http://schemas.microsoft.com/office/drawing/2014/main" id="{17041D5E-0ED2-11C6-A699-FD1E6965F494}"/>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3685" name="직선 화살표 연결선 43684">
          <a:extLst>
            <a:ext uri="{FF2B5EF4-FFF2-40B4-BE49-F238E27FC236}">
              <a16:creationId xmlns:a16="http://schemas.microsoft.com/office/drawing/2014/main" id="{5C84A472-E92D-1E0E-203E-69DB15500F71}"/>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3686" name="5">
          <a:extLst>
            <a:ext uri="{FF2B5EF4-FFF2-40B4-BE49-F238E27FC236}">
              <a16:creationId xmlns:a16="http://schemas.microsoft.com/office/drawing/2014/main" id="{7FB11CEC-5E19-1A6D-A6C2-26C21A2CA784}"/>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3687" name="직선 화살표 연결선 43686">
          <a:extLst>
            <a:ext uri="{FF2B5EF4-FFF2-40B4-BE49-F238E27FC236}">
              <a16:creationId xmlns:a16="http://schemas.microsoft.com/office/drawing/2014/main" id="{24A2913F-6496-E8AD-B6BA-AC447DDEDE76}"/>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3688" name="4">
          <a:extLst>
            <a:ext uri="{FF2B5EF4-FFF2-40B4-BE49-F238E27FC236}">
              <a16:creationId xmlns:a16="http://schemas.microsoft.com/office/drawing/2014/main" id="{1D9372AC-28D9-B1AB-F5FA-DCA91499460B}"/>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3689" name="직선 화살표 연결선 43688">
          <a:extLst>
            <a:ext uri="{FF2B5EF4-FFF2-40B4-BE49-F238E27FC236}">
              <a16:creationId xmlns:a16="http://schemas.microsoft.com/office/drawing/2014/main" id="{D265E4B9-9888-40DB-3F13-FFF3AA2145CB}"/>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3690" name="3">
          <a:extLst>
            <a:ext uri="{FF2B5EF4-FFF2-40B4-BE49-F238E27FC236}">
              <a16:creationId xmlns:a16="http://schemas.microsoft.com/office/drawing/2014/main" id="{00ED0B93-123F-9503-66EE-A62A5D9D5F25}"/>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3691" name="직선 화살표 연결선 43690">
          <a:extLst>
            <a:ext uri="{FF2B5EF4-FFF2-40B4-BE49-F238E27FC236}">
              <a16:creationId xmlns:a16="http://schemas.microsoft.com/office/drawing/2014/main" id="{EA8D828E-FEEE-8845-1F3A-7D6F7714BA8E}"/>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3692" name="2">
          <a:extLst>
            <a:ext uri="{FF2B5EF4-FFF2-40B4-BE49-F238E27FC236}">
              <a16:creationId xmlns:a16="http://schemas.microsoft.com/office/drawing/2014/main" id="{0BEA9952-2FB4-269A-E6FD-1419125BD99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3693" name="직선 화살표 연결선 43692">
          <a:extLst>
            <a:ext uri="{FF2B5EF4-FFF2-40B4-BE49-F238E27FC236}">
              <a16:creationId xmlns:a16="http://schemas.microsoft.com/office/drawing/2014/main" id="{48510C6E-E065-8EBC-8BCC-BB9A16DEC2DB}"/>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3694" name="1">
          <a:extLst>
            <a:ext uri="{FF2B5EF4-FFF2-40B4-BE49-F238E27FC236}">
              <a16:creationId xmlns:a16="http://schemas.microsoft.com/office/drawing/2014/main" id="{17A9C100-6A29-76DF-D626-AC21B248C5EF}"/>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3695" name="직선 화살표 연결선 43694">
          <a:extLst>
            <a:ext uri="{FF2B5EF4-FFF2-40B4-BE49-F238E27FC236}">
              <a16:creationId xmlns:a16="http://schemas.microsoft.com/office/drawing/2014/main" id="{F27F91BE-FD72-DCF9-6314-015EEA2C81C5}"/>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4065" name="44">
          <a:extLst>
            <a:ext uri="{FF2B5EF4-FFF2-40B4-BE49-F238E27FC236}">
              <a16:creationId xmlns:a16="http://schemas.microsoft.com/office/drawing/2014/main" id="{01634C9B-FAE2-97B9-42BE-E43366D818A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4066" name="직선 화살표 연결선 44065">
          <a:extLst>
            <a:ext uri="{FF2B5EF4-FFF2-40B4-BE49-F238E27FC236}">
              <a16:creationId xmlns:a16="http://schemas.microsoft.com/office/drawing/2014/main" id="{3A336997-7341-2123-9AA0-6A60D16C690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4067" name="43">
          <a:extLst>
            <a:ext uri="{FF2B5EF4-FFF2-40B4-BE49-F238E27FC236}">
              <a16:creationId xmlns:a16="http://schemas.microsoft.com/office/drawing/2014/main" id="{EECABC1A-829B-C323-3333-C5442A137872}"/>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4068" name="직선 화살표 연결선 44067">
          <a:extLst>
            <a:ext uri="{FF2B5EF4-FFF2-40B4-BE49-F238E27FC236}">
              <a16:creationId xmlns:a16="http://schemas.microsoft.com/office/drawing/2014/main" id="{805B8EDB-0DE4-43E3-6CE5-42D3082C1830}"/>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4069" name="42">
          <a:extLst>
            <a:ext uri="{FF2B5EF4-FFF2-40B4-BE49-F238E27FC236}">
              <a16:creationId xmlns:a16="http://schemas.microsoft.com/office/drawing/2014/main" id="{B5FAEEBC-5073-8A93-B592-85915964807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4070" name="직선 화살표 연결선 44069">
          <a:extLst>
            <a:ext uri="{FF2B5EF4-FFF2-40B4-BE49-F238E27FC236}">
              <a16:creationId xmlns:a16="http://schemas.microsoft.com/office/drawing/2014/main" id="{DAB537C0-A493-0482-255C-662BF2AA5CA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4071" name="41">
          <a:extLst>
            <a:ext uri="{FF2B5EF4-FFF2-40B4-BE49-F238E27FC236}">
              <a16:creationId xmlns:a16="http://schemas.microsoft.com/office/drawing/2014/main" id="{6C6EEFC5-06B0-264D-4D74-D34C7811785D}"/>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4072" name="직선 화살표 연결선 44071">
          <a:extLst>
            <a:ext uri="{FF2B5EF4-FFF2-40B4-BE49-F238E27FC236}">
              <a16:creationId xmlns:a16="http://schemas.microsoft.com/office/drawing/2014/main" id="{77A7C296-EF01-1CE9-3810-7225C2D90A80}"/>
            </a:ext>
          </a:extLst>
        </xdr:cNvPr>
        <xdr:cNvCxnSpPr/>
      </xdr:nvCxnSpPr>
      <xdr:spPr>
        <a:xfrm>
          <a:off x="12944475" y="6991350"/>
          <a:ext cx="466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4132" name="10">
          <a:extLst>
            <a:ext uri="{FF2B5EF4-FFF2-40B4-BE49-F238E27FC236}">
              <a16:creationId xmlns:a16="http://schemas.microsoft.com/office/drawing/2014/main" id="{FE77EBD3-C682-F41E-C657-2E72489BAA6A}"/>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4133" name="직선 화살표 연결선 44132">
          <a:extLst>
            <a:ext uri="{FF2B5EF4-FFF2-40B4-BE49-F238E27FC236}">
              <a16:creationId xmlns:a16="http://schemas.microsoft.com/office/drawing/2014/main" id="{27651F12-A7F4-FA41-BEFC-C916D6786B8B}"/>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4134" name="9">
          <a:extLst>
            <a:ext uri="{FF2B5EF4-FFF2-40B4-BE49-F238E27FC236}">
              <a16:creationId xmlns:a16="http://schemas.microsoft.com/office/drawing/2014/main" id="{7C1D16FA-5E1D-FC23-BCA0-23904EF84D08}"/>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4135" name="직선 화살표 연결선 44134">
          <a:extLst>
            <a:ext uri="{FF2B5EF4-FFF2-40B4-BE49-F238E27FC236}">
              <a16:creationId xmlns:a16="http://schemas.microsoft.com/office/drawing/2014/main" id="{753C528F-DFBD-968E-91CB-E5F731828880}"/>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4136" name="8">
          <a:extLst>
            <a:ext uri="{FF2B5EF4-FFF2-40B4-BE49-F238E27FC236}">
              <a16:creationId xmlns:a16="http://schemas.microsoft.com/office/drawing/2014/main" id="{199826BC-7C1F-D1BB-49DA-8CA030E901F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4137" name="직선 화살표 연결선 44136">
          <a:extLst>
            <a:ext uri="{FF2B5EF4-FFF2-40B4-BE49-F238E27FC236}">
              <a16:creationId xmlns:a16="http://schemas.microsoft.com/office/drawing/2014/main" id="{8FF00826-1DE2-C93A-0309-AC0776532522}"/>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4138" name="7">
          <a:extLst>
            <a:ext uri="{FF2B5EF4-FFF2-40B4-BE49-F238E27FC236}">
              <a16:creationId xmlns:a16="http://schemas.microsoft.com/office/drawing/2014/main" id="{3076B933-E316-C3CD-EEB9-9E52B9E5AF42}"/>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4139" name="6">
          <a:extLst>
            <a:ext uri="{FF2B5EF4-FFF2-40B4-BE49-F238E27FC236}">
              <a16:creationId xmlns:a16="http://schemas.microsoft.com/office/drawing/2014/main" id="{BBA86055-2EC8-A5D3-F7E9-D0B283BAA3F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4140" name="직선 화살표 연결선 44139">
          <a:extLst>
            <a:ext uri="{FF2B5EF4-FFF2-40B4-BE49-F238E27FC236}">
              <a16:creationId xmlns:a16="http://schemas.microsoft.com/office/drawing/2014/main" id="{EDEA7F91-855F-B2A3-6FB9-BE276722F36D}"/>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4141" name="5">
          <a:extLst>
            <a:ext uri="{FF2B5EF4-FFF2-40B4-BE49-F238E27FC236}">
              <a16:creationId xmlns:a16="http://schemas.microsoft.com/office/drawing/2014/main" id="{B58E2E0E-68F2-9738-1691-9CD1AB52A98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4142" name="직선 화살표 연결선 44141">
          <a:extLst>
            <a:ext uri="{FF2B5EF4-FFF2-40B4-BE49-F238E27FC236}">
              <a16:creationId xmlns:a16="http://schemas.microsoft.com/office/drawing/2014/main" id="{D192A818-815F-9D8F-7BE4-E5064277341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4143" name="4">
          <a:extLst>
            <a:ext uri="{FF2B5EF4-FFF2-40B4-BE49-F238E27FC236}">
              <a16:creationId xmlns:a16="http://schemas.microsoft.com/office/drawing/2014/main" id="{A256ED1C-01F6-9A4B-39D8-F5F3E8929F32}"/>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4144" name="직선 화살표 연결선 44143">
          <a:extLst>
            <a:ext uri="{FF2B5EF4-FFF2-40B4-BE49-F238E27FC236}">
              <a16:creationId xmlns:a16="http://schemas.microsoft.com/office/drawing/2014/main" id="{1F89E24C-41F4-85DF-5DD1-5597C204217D}"/>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4145" name="3">
          <a:extLst>
            <a:ext uri="{FF2B5EF4-FFF2-40B4-BE49-F238E27FC236}">
              <a16:creationId xmlns:a16="http://schemas.microsoft.com/office/drawing/2014/main" id="{CFEF62A0-24D7-3959-6554-81E3CA97556D}"/>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4146" name="직선 화살표 연결선 44145">
          <a:extLst>
            <a:ext uri="{FF2B5EF4-FFF2-40B4-BE49-F238E27FC236}">
              <a16:creationId xmlns:a16="http://schemas.microsoft.com/office/drawing/2014/main" id="{19363E0B-168B-F692-03CB-D881A6CB88B9}"/>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4147" name="2">
          <a:extLst>
            <a:ext uri="{FF2B5EF4-FFF2-40B4-BE49-F238E27FC236}">
              <a16:creationId xmlns:a16="http://schemas.microsoft.com/office/drawing/2014/main" id="{2C5F3844-AE72-D8CA-264E-13AE71FA272C}"/>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4148" name="직선 화살표 연결선 44147">
          <a:extLst>
            <a:ext uri="{FF2B5EF4-FFF2-40B4-BE49-F238E27FC236}">
              <a16:creationId xmlns:a16="http://schemas.microsoft.com/office/drawing/2014/main" id="{35473106-8176-B64A-03B7-D3BB87AE09E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4149" name="1">
          <a:extLst>
            <a:ext uri="{FF2B5EF4-FFF2-40B4-BE49-F238E27FC236}">
              <a16:creationId xmlns:a16="http://schemas.microsoft.com/office/drawing/2014/main" id="{69446B6A-019C-2696-231F-A81CAA32D6E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4150" name="직선 화살표 연결선 44149">
          <a:extLst>
            <a:ext uri="{FF2B5EF4-FFF2-40B4-BE49-F238E27FC236}">
              <a16:creationId xmlns:a16="http://schemas.microsoft.com/office/drawing/2014/main" id="{02B0FE04-7F9F-FDDD-ACD2-9CE12710E760}"/>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4520" name="44">
          <a:extLst>
            <a:ext uri="{FF2B5EF4-FFF2-40B4-BE49-F238E27FC236}">
              <a16:creationId xmlns:a16="http://schemas.microsoft.com/office/drawing/2014/main" id="{2B3972E1-3B84-88C3-2947-B9F561B94C7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4521" name="직선 화살표 연결선 44520">
          <a:extLst>
            <a:ext uri="{FF2B5EF4-FFF2-40B4-BE49-F238E27FC236}">
              <a16:creationId xmlns:a16="http://schemas.microsoft.com/office/drawing/2014/main" id="{9D15D921-6B50-66BA-41CD-016513EAD48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4522" name="43">
          <a:extLst>
            <a:ext uri="{FF2B5EF4-FFF2-40B4-BE49-F238E27FC236}">
              <a16:creationId xmlns:a16="http://schemas.microsoft.com/office/drawing/2014/main" id="{9FA3EB98-AC62-C8C6-A97C-52C38B9D06FE}"/>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4523" name="직선 화살표 연결선 44522">
          <a:extLst>
            <a:ext uri="{FF2B5EF4-FFF2-40B4-BE49-F238E27FC236}">
              <a16:creationId xmlns:a16="http://schemas.microsoft.com/office/drawing/2014/main" id="{187304BC-0BFB-D893-0C9B-2ABF7046C8B9}"/>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4524" name="42">
          <a:extLst>
            <a:ext uri="{FF2B5EF4-FFF2-40B4-BE49-F238E27FC236}">
              <a16:creationId xmlns:a16="http://schemas.microsoft.com/office/drawing/2014/main" id="{D7510F27-BC80-B59D-3992-49B9B3C5D5F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4525" name="직선 화살표 연결선 44524">
          <a:extLst>
            <a:ext uri="{FF2B5EF4-FFF2-40B4-BE49-F238E27FC236}">
              <a16:creationId xmlns:a16="http://schemas.microsoft.com/office/drawing/2014/main" id="{7F458DF7-D017-AC4F-4350-EB70CE5AC729}"/>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4526" name="41">
          <a:extLst>
            <a:ext uri="{FF2B5EF4-FFF2-40B4-BE49-F238E27FC236}">
              <a16:creationId xmlns:a16="http://schemas.microsoft.com/office/drawing/2014/main" id="{655D1B50-BB32-4698-D68F-C06BC201C2D5}"/>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4527" name="직선 화살표 연결선 44526">
          <a:extLst>
            <a:ext uri="{FF2B5EF4-FFF2-40B4-BE49-F238E27FC236}">
              <a16:creationId xmlns:a16="http://schemas.microsoft.com/office/drawing/2014/main" id="{B081BB4B-45F4-8AAD-C6CA-064501FE59E7}"/>
            </a:ext>
          </a:extLst>
        </xdr:cNvPr>
        <xdr:cNvCxnSpPr/>
      </xdr:nvCxnSpPr>
      <xdr:spPr>
        <a:xfrm>
          <a:off x="12944475" y="6991350"/>
          <a:ext cx="466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4587" name="10">
          <a:extLst>
            <a:ext uri="{FF2B5EF4-FFF2-40B4-BE49-F238E27FC236}">
              <a16:creationId xmlns:a16="http://schemas.microsoft.com/office/drawing/2014/main" id="{74B08B13-4F68-500E-3BF6-7A7C1D417236}"/>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4588" name="직선 화살표 연결선 44587">
          <a:extLst>
            <a:ext uri="{FF2B5EF4-FFF2-40B4-BE49-F238E27FC236}">
              <a16:creationId xmlns:a16="http://schemas.microsoft.com/office/drawing/2014/main" id="{E1ECE6B0-D5C0-0A53-C12F-F62EA5008F96}"/>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4589" name="9">
          <a:extLst>
            <a:ext uri="{FF2B5EF4-FFF2-40B4-BE49-F238E27FC236}">
              <a16:creationId xmlns:a16="http://schemas.microsoft.com/office/drawing/2014/main" id="{0C6A6A16-48DC-21AC-C5AF-64508CA69923}"/>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4590" name="직선 화살표 연결선 44589">
          <a:extLst>
            <a:ext uri="{FF2B5EF4-FFF2-40B4-BE49-F238E27FC236}">
              <a16:creationId xmlns:a16="http://schemas.microsoft.com/office/drawing/2014/main" id="{47C5803B-92A0-4355-6D4B-DE9259AD4E7F}"/>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4591" name="8">
          <a:extLst>
            <a:ext uri="{FF2B5EF4-FFF2-40B4-BE49-F238E27FC236}">
              <a16:creationId xmlns:a16="http://schemas.microsoft.com/office/drawing/2014/main" id="{D974D956-3675-CA19-5A05-84BAB7BE7BEB}"/>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4592" name="직선 화살표 연결선 44591">
          <a:extLst>
            <a:ext uri="{FF2B5EF4-FFF2-40B4-BE49-F238E27FC236}">
              <a16:creationId xmlns:a16="http://schemas.microsoft.com/office/drawing/2014/main" id="{0A1ADA61-B636-A487-E561-7DCECA32625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4593" name="7">
          <a:extLst>
            <a:ext uri="{FF2B5EF4-FFF2-40B4-BE49-F238E27FC236}">
              <a16:creationId xmlns:a16="http://schemas.microsoft.com/office/drawing/2014/main" id="{7761A22B-89AA-4104-EED1-674C3B5507BF}"/>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4594" name="6">
          <a:extLst>
            <a:ext uri="{FF2B5EF4-FFF2-40B4-BE49-F238E27FC236}">
              <a16:creationId xmlns:a16="http://schemas.microsoft.com/office/drawing/2014/main" id="{48E6F87E-CD79-91ED-20B1-4D12DAFF203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4595" name="직선 화살표 연결선 44594">
          <a:extLst>
            <a:ext uri="{FF2B5EF4-FFF2-40B4-BE49-F238E27FC236}">
              <a16:creationId xmlns:a16="http://schemas.microsoft.com/office/drawing/2014/main" id="{5BA31D2B-5F8E-CCC2-6E2A-5FD81996A9ED}"/>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4596" name="5">
          <a:extLst>
            <a:ext uri="{FF2B5EF4-FFF2-40B4-BE49-F238E27FC236}">
              <a16:creationId xmlns:a16="http://schemas.microsoft.com/office/drawing/2014/main" id="{0541AB25-F0F3-07FF-8187-CF14983109B2}"/>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4597" name="직선 화살표 연결선 44596">
          <a:extLst>
            <a:ext uri="{FF2B5EF4-FFF2-40B4-BE49-F238E27FC236}">
              <a16:creationId xmlns:a16="http://schemas.microsoft.com/office/drawing/2014/main" id="{B7A74829-F528-E15B-EE6B-B08F3B203D77}"/>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4598" name="4">
          <a:extLst>
            <a:ext uri="{FF2B5EF4-FFF2-40B4-BE49-F238E27FC236}">
              <a16:creationId xmlns:a16="http://schemas.microsoft.com/office/drawing/2014/main" id="{D275FE40-2952-8402-8129-0DDD4F0C5345}"/>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4599" name="직선 화살표 연결선 44598">
          <a:extLst>
            <a:ext uri="{FF2B5EF4-FFF2-40B4-BE49-F238E27FC236}">
              <a16:creationId xmlns:a16="http://schemas.microsoft.com/office/drawing/2014/main" id="{B4D5DB8B-62DE-59A0-9CAD-8ED1CCA0845B}"/>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4600" name="3">
          <a:extLst>
            <a:ext uri="{FF2B5EF4-FFF2-40B4-BE49-F238E27FC236}">
              <a16:creationId xmlns:a16="http://schemas.microsoft.com/office/drawing/2014/main" id="{758A75AF-20B3-BAB3-7A2A-BAF2F12CDAA1}"/>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4601" name="직선 화살표 연결선 44600">
          <a:extLst>
            <a:ext uri="{FF2B5EF4-FFF2-40B4-BE49-F238E27FC236}">
              <a16:creationId xmlns:a16="http://schemas.microsoft.com/office/drawing/2014/main" id="{645D510E-D627-18EB-A313-A23564E93B56}"/>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4602" name="2">
          <a:extLst>
            <a:ext uri="{FF2B5EF4-FFF2-40B4-BE49-F238E27FC236}">
              <a16:creationId xmlns:a16="http://schemas.microsoft.com/office/drawing/2014/main" id="{7B4B41AD-2AF9-1778-3230-19E5C588A64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4603" name="직선 화살표 연결선 44602">
          <a:extLst>
            <a:ext uri="{FF2B5EF4-FFF2-40B4-BE49-F238E27FC236}">
              <a16:creationId xmlns:a16="http://schemas.microsoft.com/office/drawing/2014/main" id="{7E8121BD-179E-4B90-B6DC-4E505B7F515C}"/>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4604" name="1">
          <a:extLst>
            <a:ext uri="{FF2B5EF4-FFF2-40B4-BE49-F238E27FC236}">
              <a16:creationId xmlns:a16="http://schemas.microsoft.com/office/drawing/2014/main" id="{683DEE86-7619-063A-BB6B-E8A8B3E8D9BD}"/>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4605" name="직선 화살표 연결선 44604">
          <a:extLst>
            <a:ext uri="{FF2B5EF4-FFF2-40B4-BE49-F238E27FC236}">
              <a16:creationId xmlns:a16="http://schemas.microsoft.com/office/drawing/2014/main" id="{33C328C6-DC45-B4B3-530C-8343C1E6A08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4975" name="44">
          <a:extLst>
            <a:ext uri="{FF2B5EF4-FFF2-40B4-BE49-F238E27FC236}">
              <a16:creationId xmlns:a16="http://schemas.microsoft.com/office/drawing/2014/main" id="{5AC86125-8477-519B-9201-D2AB4203CC1D}"/>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4976" name="직선 화살표 연결선 44975">
          <a:extLst>
            <a:ext uri="{FF2B5EF4-FFF2-40B4-BE49-F238E27FC236}">
              <a16:creationId xmlns:a16="http://schemas.microsoft.com/office/drawing/2014/main" id="{67154E02-E8F5-D8A3-9C3C-71DF648EDED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4977" name="43">
          <a:extLst>
            <a:ext uri="{FF2B5EF4-FFF2-40B4-BE49-F238E27FC236}">
              <a16:creationId xmlns:a16="http://schemas.microsoft.com/office/drawing/2014/main" id="{AFF16185-3CDE-A4A8-2DDE-945F35EDB4FB}"/>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4978" name="직선 화살표 연결선 44977">
          <a:extLst>
            <a:ext uri="{FF2B5EF4-FFF2-40B4-BE49-F238E27FC236}">
              <a16:creationId xmlns:a16="http://schemas.microsoft.com/office/drawing/2014/main" id="{3F4F04A8-22C2-D060-69E8-EC08748FEBC6}"/>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4979" name="42">
          <a:extLst>
            <a:ext uri="{FF2B5EF4-FFF2-40B4-BE49-F238E27FC236}">
              <a16:creationId xmlns:a16="http://schemas.microsoft.com/office/drawing/2014/main" id="{E303C11B-2319-6409-CA67-1D809673BAE0}"/>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4980" name="직선 화살표 연결선 44979">
          <a:extLst>
            <a:ext uri="{FF2B5EF4-FFF2-40B4-BE49-F238E27FC236}">
              <a16:creationId xmlns:a16="http://schemas.microsoft.com/office/drawing/2014/main" id="{AFD2ABBD-4541-0117-4756-ED43A49A75E8}"/>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4981" name="41">
          <a:extLst>
            <a:ext uri="{FF2B5EF4-FFF2-40B4-BE49-F238E27FC236}">
              <a16:creationId xmlns:a16="http://schemas.microsoft.com/office/drawing/2014/main" id="{75626AB6-AACD-2B4A-3D46-C60AF90B3F36}"/>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4982" name="직선 화살표 연결선 44981">
          <a:extLst>
            <a:ext uri="{FF2B5EF4-FFF2-40B4-BE49-F238E27FC236}">
              <a16:creationId xmlns:a16="http://schemas.microsoft.com/office/drawing/2014/main" id="{3DEA8624-C283-39EB-1D05-2EB865529E14}"/>
            </a:ext>
          </a:extLst>
        </xdr:cNvPr>
        <xdr:cNvCxnSpPr/>
      </xdr:nvCxnSpPr>
      <xdr:spPr>
        <a:xfrm>
          <a:off x="12944475" y="6991350"/>
          <a:ext cx="466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5042" name="10">
          <a:extLst>
            <a:ext uri="{FF2B5EF4-FFF2-40B4-BE49-F238E27FC236}">
              <a16:creationId xmlns:a16="http://schemas.microsoft.com/office/drawing/2014/main" id="{ECC64B65-F5EB-ED50-B13C-B8C5221B64D0}"/>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5043" name="직선 화살표 연결선 45042">
          <a:extLst>
            <a:ext uri="{FF2B5EF4-FFF2-40B4-BE49-F238E27FC236}">
              <a16:creationId xmlns:a16="http://schemas.microsoft.com/office/drawing/2014/main" id="{9A44D013-75D9-DC40-19F9-AFB02ED22F54}"/>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5044" name="9">
          <a:extLst>
            <a:ext uri="{FF2B5EF4-FFF2-40B4-BE49-F238E27FC236}">
              <a16:creationId xmlns:a16="http://schemas.microsoft.com/office/drawing/2014/main" id="{303BC0B3-153A-637F-B589-93399FE54E8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5045" name="직선 화살표 연결선 45044">
          <a:extLst>
            <a:ext uri="{FF2B5EF4-FFF2-40B4-BE49-F238E27FC236}">
              <a16:creationId xmlns:a16="http://schemas.microsoft.com/office/drawing/2014/main" id="{39C0D92C-7BE4-6530-E3D2-D5FA2823EA11}"/>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5046" name="8">
          <a:extLst>
            <a:ext uri="{FF2B5EF4-FFF2-40B4-BE49-F238E27FC236}">
              <a16:creationId xmlns:a16="http://schemas.microsoft.com/office/drawing/2014/main" id="{4B563544-5657-5C3C-8727-2EA38D3BE638}"/>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5047" name="직선 화살표 연결선 45046">
          <a:extLst>
            <a:ext uri="{FF2B5EF4-FFF2-40B4-BE49-F238E27FC236}">
              <a16:creationId xmlns:a16="http://schemas.microsoft.com/office/drawing/2014/main" id="{F7B5CF98-6710-A2D2-C4C9-DC17F0F480A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5048" name="7">
          <a:extLst>
            <a:ext uri="{FF2B5EF4-FFF2-40B4-BE49-F238E27FC236}">
              <a16:creationId xmlns:a16="http://schemas.microsoft.com/office/drawing/2014/main" id="{053E7E44-7255-A0C2-D822-0B7FBF0E48C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5049" name="6">
          <a:extLst>
            <a:ext uri="{FF2B5EF4-FFF2-40B4-BE49-F238E27FC236}">
              <a16:creationId xmlns:a16="http://schemas.microsoft.com/office/drawing/2014/main" id="{A9D1AF56-C27D-A072-39DF-0737B1D4D27F}"/>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5050" name="직선 화살표 연결선 45049">
          <a:extLst>
            <a:ext uri="{FF2B5EF4-FFF2-40B4-BE49-F238E27FC236}">
              <a16:creationId xmlns:a16="http://schemas.microsoft.com/office/drawing/2014/main" id="{782EBA70-AF45-E8BF-9675-1AE0B427D37F}"/>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5051" name="5">
          <a:extLst>
            <a:ext uri="{FF2B5EF4-FFF2-40B4-BE49-F238E27FC236}">
              <a16:creationId xmlns:a16="http://schemas.microsoft.com/office/drawing/2014/main" id="{0F9D261D-B00F-DB4D-8269-85BA06323E0A}"/>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5052" name="직선 화살표 연결선 45051">
          <a:extLst>
            <a:ext uri="{FF2B5EF4-FFF2-40B4-BE49-F238E27FC236}">
              <a16:creationId xmlns:a16="http://schemas.microsoft.com/office/drawing/2014/main" id="{BEDAA6D9-62EB-8BB1-0373-B6AF22154D2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5053" name="4">
          <a:extLst>
            <a:ext uri="{FF2B5EF4-FFF2-40B4-BE49-F238E27FC236}">
              <a16:creationId xmlns:a16="http://schemas.microsoft.com/office/drawing/2014/main" id="{A358AA08-E625-43A1-B973-229FF787F3E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5054" name="직선 화살표 연결선 45053">
          <a:extLst>
            <a:ext uri="{FF2B5EF4-FFF2-40B4-BE49-F238E27FC236}">
              <a16:creationId xmlns:a16="http://schemas.microsoft.com/office/drawing/2014/main" id="{4630CF97-EBA8-F0F0-520E-FD8C435C95F1}"/>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5055" name="3">
          <a:extLst>
            <a:ext uri="{FF2B5EF4-FFF2-40B4-BE49-F238E27FC236}">
              <a16:creationId xmlns:a16="http://schemas.microsoft.com/office/drawing/2014/main" id="{F992DB0A-4906-A631-DFF4-5892359B2B89}"/>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5056" name="직선 화살표 연결선 45055">
          <a:extLst>
            <a:ext uri="{FF2B5EF4-FFF2-40B4-BE49-F238E27FC236}">
              <a16:creationId xmlns:a16="http://schemas.microsoft.com/office/drawing/2014/main" id="{4F359E48-8578-359A-59F3-DEEF05D56E6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5057" name="2">
          <a:extLst>
            <a:ext uri="{FF2B5EF4-FFF2-40B4-BE49-F238E27FC236}">
              <a16:creationId xmlns:a16="http://schemas.microsoft.com/office/drawing/2014/main" id="{209420C4-C1E6-ECDE-581E-E2EE9BC992B8}"/>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5058" name="직선 화살표 연결선 45057">
          <a:extLst>
            <a:ext uri="{FF2B5EF4-FFF2-40B4-BE49-F238E27FC236}">
              <a16:creationId xmlns:a16="http://schemas.microsoft.com/office/drawing/2014/main" id="{B3A7472A-4092-478B-8085-ABF3F8366EF6}"/>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5059" name="1">
          <a:extLst>
            <a:ext uri="{FF2B5EF4-FFF2-40B4-BE49-F238E27FC236}">
              <a16:creationId xmlns:a16="http://schemas.microsoft.com/office/drawing/2014/main" id="{910F86AA-0306-7C01-6376-CE2A9C69ECB7}"/>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5060" name="직선 화살표 연결선 45059">
          <a:extLst>
            <a:ext uri="{FF2B5EF4-FFF2-40B4-BE49-F238E27FC236}">
              <a16:creationId xmlns:a16="http://schemas.microsoft.com/office/drawing/2014/main" id="{3D8627ED-24A1-B733-E893-1ABC055A17C9}"/>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5430" name="44">
          <a:extLst>
            <a:ext uri="{FF2B5EF4-FFF2-40B4-BE49-F238E27FC236}">
              <a16:creationId xmlns:a16="http://schemas.microsoft.com/office/drawing/2014/main" id="{FA3B3D6C-8F52-55AD-0723-B8F139DC01F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5431" name="직선 화살표 연결선 45430">
          <a:extLst>
            <a:ext uri="{FF2B5EF4-FFF2-40B4-BE49-F238E27FC236}">
              <a16:creationId xmlns:a16="http://schemas.microsoft.com/office/drawing/2014/main" id="{40F004CA-D314-83E4-DC43-13A145166184}"/>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5432" name="43">
          <a:extLst>
            <a:ext uri="{FF2B5EF4-FFF2-40B4-BE49-F238E27FC236}">
              <a16:creationId xmlns:a16="http://schemas.microsoft.com/office/drawing/2014/main" id="{96844B90-4B1F-D66A-9AC2-2B2A1F43D385}"/>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5433" name="직선 화살표 연결선 45432">
          <a:extLst>
            <a:ext uri="{FF2B5EF4-FFF2-40B4-BE49-F238E27FC236}">
              <a16:creationId xmlns:a16="http://schemas.microsoft.com/office/drawing/2014/main" id="{7DC03931-A61B-56BC-B566-2F33568E2C37}"/>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5434" name="42">
          <a:extLst>
            <a:ext uri="{FF2B5EF4-FFF2-40B4-BE49-F238E27FC236}">
              <a16:creationId xmlns:a16="http://schemas.microsoft.com/office/drawing/2014/main" id="{65797C00-3085-5F4D-A776-05271489DDD6}"/>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5435" name="직선 화살표 연결선 45434">
          <a:extLst>
            <a:ext uri="{FF2B5EF4-FFF2-40B4-BE49-F238E27FC236}">
              <a16:creationId xmlns:a16="http://schemas.microsoft.com/office/drawing/2014/main" id="{782475D5-B5CC-68C1-2CC5-A55EF6A59833}"/>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5436" name="41">
          <a:extLst>
            <a:ext uri="{FF2B5EF4-FFF2-40B4-BE49-F238E27FC236}">
              <a16:creationId xmlns:a16="http://schemas.microsoft.com/office/drawing/2014/main" id="{66551817-192B-ABA5-06B0-1585C531CC3A}"/>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5437" name="직선 화살표 연결선 45436">
          <a:extLst>
            <a:ext uri="{FF2B5EF4-FFF2-40B4-BE49-F238E27FC236}">
              <a16:creationId xmlns:a16="http://schemas.microsoft.com/office/drawing/2014/main" id="{3F61BCCE-1F1C-B9B4-49AE-E750B2188641}"/>
            </a:ext>
          </a:extLst>
        </xdr:cNvPr>
        <xdr:cNvCxnSpPr/>
      </xdr:nvCxnSpPr>
      <xdr:spPr>
        <a:xfrm>
          <a:off x="12944475" y="6991350"/>
          <a:ext cx="466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5497" name="10">
          <a:extLst>
            <a:ext uri="{FF2B5EF4-FFF2-40B4-BE49-F238E27FC236}">
              <a16:creationId xmlns:a16="http://schemas.microsoft.com/office/drawing/2014/main" id="{83F86DF9-2D89-48B8-20C0-515B97541F4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5498" name="직선 화살표 연결선 45497">
          <a:extLst>
            <a:ext uri="{FF2B5EF4-FFF2-40B4-BE49-F238E27FC236}">
              <a16:creationId xmlns:a16="http://schemas.microsoft.com/office/drawing/2014/main" id="{6C7CA2D5-BB42-A234-34F6-F2A43670B2E0}"/>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5499" name="9">
          <a:extLst>
            <a:ext uri="{FF2B5EF4-FFF2-40B4-BE49-F238E27FC236}">
              <a16:creationId xmlns:a16="http://schemas.microsoft.com/office/drawing/2014/main" id="{E703F5AA-1BD1-7F5B-AC62-C74EA8E61EE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5500" name="직선 화살표 연결선 45499">
          <a:extLst>
            <a:ext uri="{FF2B5EF4-FFF2-40B4-BE49-F238E27FC236}">
              <a16:creationId xmlns:a16="http://schemas.microsoft.com/office/drawing/2014/main" id="{A6A3868A-68CD-8D4A-A088-F6ADAF2021F7}"/>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5501" name="8">
          <a:extLst>
            <a:ext uri="{FF2B5EF4-FFF2-40B4-BE49-F238E27FC236}">
              <a16:creationId xmlns:a16="http://schemas.microsoft.com/office/drawing/2014/main" id="{CD83CF58-D89B-6C9F-6D77-7E505A649C2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5502" name="직선 화살표 연결선 45501">
          <a:extLst>
            <a:ext uri="{FF2B5EF4-FFF2-40B4-BE49-F238E27FC236}">
              <a16:creationId xmlns:a16="http://schemas.microsoft.com/office/drawing/2014/main" id="{1CDE94AC-CBC5-6F16-9AB8-D59B920D3E1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5503" name="7">
          <a:extLst>
            <a:ext uri="{FF2B5EF4-FFF2-40B4-BE49-F238E27FC236}">
              <a16:creationId xmlns:a16="http://schemas.microsoft.com/office/drawing/2014/main" id="{E79967A8-8B3E-F995-BE55-67BB8941847C}"/>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5504" name="6">
          <a:extLst>
            <a:ext uri="{FF2B5EF4-FFF2-40B4-BE49-F238E27FC236}">
              <a16:creationId xmlns:a16="http://schemas.microsoft.com/office/drawing/2014/main" id="{4BB0AA20-85CD-09A3-18C1-1801408E12FB}"/>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5505" name="직선 화살표 연결선 45504">
          <a:extLst>
            <a:ext uri="{FF2B5EF4-FFF2-40B4-BE49-F238E27FC236}">
              <a16:creationId xmlns:a16="http://schemas.microsoft.com/office/drawing/2014/main" id="{01484349-27E5-7BA8-1D8F-83904D4744EE}"/>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5506" name="5">
          <a:extLst>
            <a:ext uri="{FF2B5EF4-FFF2-40B4-BE49-F238E27FC236}">
              <a16:creationId xmlns:a16="http://schemas.microsoft.com/office/drawing/2014/main" id="{B2AF123C-752D-90A3-D9A6-F39DE36E337E}"/>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5507" name="직선 화살표 연결선 45506">
          <a:extLst>
            <a:ext uri="{FF2B5EF4-FFF2-40B4-BE49-F238E27FC236}">
              <a16:creationId xmlns:a16="http://schemas.microsoft.com/office/drawing/2014/main" id="{C9F2AB19-DA7B-3EAC-1EF4-0366160521C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5508" name="4">
          <a:extLst>
            <a:ext uri="{FF2B5EF4-FFF2-40B4-BE49-F238E27FC236}">
              <a16:creationId xmlns:a16="http://schemas.microsoft.com/office/drawing/2014/main" id="{CFACEDAA-5A08-FF99-190E-5026B046F59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5509" name="직선 화살표 연결선 45508">
          <a:extLst>
            <a:ext uri="{FF2B5EF4-FFF2-40B4-BE49-F238E27FC236}">
              <a16:creationId xmlns:a16="http://schemas.microsoft.com/office/drawing/2014/main" id="{16DE3810-034D-7BB5-DDC8-48551B39DC9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5510" name="3">
          <a:extLst>
            <a:ext uri="{FF2B5EF4-FFF2-40B4-BE49-F238E27FC236}">
              <a16:creationId xmlns:a16="http://schemas.microsoft.com/office/drawing/2014/main" id="{703E35F4-59F6-227C-97ED-62DD20EF6D90}"/>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5511" name="직선 화살표 연결선 45510">
          <a:extLst>
            <a:ext uri="{FF2B5EF4-FFF2-40B4-BE49-F238E27FC236}">
              <a16:creationId xmlns:a16="http://schemas.microsoft.com/office/drawing/2014/main" id="{598B3DAC-C9EA-E613-C8E3-1E52B8EF5DB2}"/>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5512" name="2">
          <a:extLst>
            <a:ext uri="{FF2B5EF4-FFF2-40B4-BE49-F238E27FC236}">
              <a16:creationId xmlns:a16="http://schemas.microsoft.com/office/drawing/2014/main" id="{5B20CA1D-ECA5-240E-340C-DC4D45DB25D2}"/>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5513" name="직선 화살표 연결선 45512">
          <a:extLst>
            <a:ext uri="{FF2B5EF4-FFF2-40B4-BE49-F238E27FC236}">
              <a16:creationId xmlns:a16="http://schemas.microsoft.com/office/drawing/2014/main" id="{0F860DF4-836C-E117-9CDD-69EFC3879F2F}"/>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5514" name="1">
          <a:extLst>
            <a:ext uri="{FF2B5EF4-FFF2-40B4-BE49-F238E27FC236}">
              <a16:creationId xmlns:a16="http://schemas.microsoft.com/office/drawing/2014/main" id="{C807D4ED-6A7B-83D5-5556-63E73C11B3F1}"/>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5515" name="직선 화살표 연결선 45514">
          <a:extLst>
            <a:ext uri="{FF2B5EF4-FFF2-40B4-BE49-F238E27FC236}">
              <a16:creationId xmlns:a16="http://schemas.microsoft.com/office/drawing/2014/main" id="{BE7C63DA-2397-CCBF-5430-C775A8603E92}"/>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5883" name="44">
          <a:extLst>
            <a:ext uri="{FF2B5EF4-FFF2-40B4-BE49-F238E27FC236}">
              <a16:creationId xmlns:a16="http://schemas.microsoft.com/office/drawing/2014/main" id="{405C89BE-FA0C-897D-AE52-73D0343B65E4}"/>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5884" name="직선 화살표 연결선 45883">
          <a:extLst>
            <a:ext uri="{FF2B5EF4-FFF2-40B4-BE49-F238E27FC236}">
              <a16:creationId xmlns:a16="http://schemas.microsoft.com/office/drawing/2014/main" id="{BA172F4E-A59D-B31C-92DB-5359A977034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5885" name="43">
          <a:extLst>
            <a:ext uri="{FF2B5EF4-FFF2-40B4-BE49-F238E27FC236}">
              <a16:creationId xmlns:a16="http://schemas.microsoft.com/office/drawing/2014/main" id="{55544F59-436D-C92F-F7FF-8A7BFDB4BD70}"/>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5886" name="직선 화살표 연결선 45885">
          <a:extLst>
            <a:ext uri="{FF2B5EF4-FFF2-40B4-BE49-F238E27FC236}">
              <a16:creationId xmlns:a16="http://schemas.microsoft.com/office/drawing/2014/main" id="{117207CA-22F5-562A-2CA4-0A0651E96CEB}"/>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5887" name="42">
          <a:extLst>
            <a:ext uri="{FF2B5EF4-FFF2-40B4-BE49-F238E27FC236}">
              <a16:creationId xmlns:a16="http://schemas.microsoft.com/office/drawing/2014/main" id="{D8DA70A3-1FB6-0D80-1DE1-E37E6020DA9E}"/>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5888" name="직선 화살표 연결선 45887">
          <a:extLst>
            <a:ext uri="{FF2B5EF4-FFF2-40B4-BE49-F238E27FC236}">
              <a16:creationId xmlns:a16="http://schemas.microsoft.com/office/drawing/2014/main" id="{ADF84823-7CA1-D9C8-0A28-2B3A19C85ED7}"/>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5889" name="41">
          <a:extLst>
            <a:ext uri="{FF2B5EF4-FFF2-40B4-BE49-F238E27FC236}">
              <a16:creationId xmlns:a16="http://schemas.microsoft.com/office/drawing/2014/main" id="{F4BE16BC-300F-D262-334D-09C659A73919}"/>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5890" name="직선 화살표 연결선 45889">
          <a:extLst>
            <a:ext uri="{FF2B5EF4-FFF2-40B4-BE49-F238E27FC236}">
              <a16:creationId xmlns:a16="http://schemas.microsoft.com/office/drawing/2014/main" id="{7B73C489-8557-F58F-4939-45FB0A0628CA}"/>
            </a:ext>
          </a:extLst>
        </xdr:cNvPr>
        <xdr:cNvCxnSpPr/>
      </xdr:nvCxnSpPr>
      <xdr:spPr>
        <a:xfrm>
          <a:off x="12944475" y="6991350"/>
          <a:ext cx="4695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5950" name="10">
          <a:extLst>
            <a:ext uri="{FF2B5EF4-FFF2-40B4-BE49-F238E27FC236}">
              <a16:creationId xmlns:a16="http://schemas.microsoft.com/office/drawing/2014/main" id="{81AF3741-09E7-D685-C133-F9538DE472BD}"/>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5951" name="직선 화살표 연결선 45950">
          <a:extLst>
            <a:ext uri="{FF2B5EF4-FFF2-40B4-BE49-F238E27FC236}">
              <a16:creationId xmlns:a16="http://schemas.microsoft.com/office/drawing/2014/main" id="{411F5896-1B6E-0976-5373-03A8D986C88A}"/>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5952" name="9">
          <a:extLst>
            <a:ext uri="{FF2B5EF4-FFF2-40B4-BE49-F238E27FC236}">
              <a16:creationId xmlns:a16="http://schemas.microsoft.com/office/drawing/2014/main" id="{5A675763-385A-74FB-30A8-CB94A7CA72D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5953" name="직선 화살표 연결선 45952">
          <a:extLst>
            <a:ext uri="{FF2B5EF4-FFF2-40B4-BE49-F238E27FC236}">
              <a16:creationId xmlns:a16="http://schemas.microsoft.com/office/drawing/2014/main" id="{E80C46DC-2579-EB14-4093-D52BF7A32C8E}"/>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5954" name="8">
          <a:extLst>
            <a:ext uri="{FF2B5EF4-FFF2-40B4-BE49-F238E27FC236}">
              <a16:creationId xmlns:a16="http://schemas.microsoft.com/office/drawing/2014/main" id="{6A15D479-C097-4B3E-9E2E-99B4C4915FD0}"/>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5955" name="직선 화살표 연결선 45954">
          <a:extLst>
            <a:ext uri="{FF2B5EF4-FFF2-40B4-BE49-F238E27FC236}">
              <a16:creationId xmlns:a16="http://schemas.microsoft.com/office/drawing/2014/main" id="{7BDE7F7F-9BE2-A6C7-0424-F28F6B8B57D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5956" name="7">
          <a:extLst>
            <a:ext uri="{FF2B5EF4-FFF2-40B4-BE49-F238E27FC236}">
              <a16:creationId xmlns:a16="http://schemas.microsoft.com/office/drawing/2014/main" id="{5B9D6D07-ED9A-87CC-97A6-5FCE0F84D0A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5957" name="6">
          <a:extLst>
            <a:ext uri="{FF2B5EF4-FFF2-40B4-BE49-F238E27FC236}">
              <a16:creationId xmlns:a16="http://schemas.microsoft.com/office/drawing/2014/main" id="{F0FC0248-C15B-C8D4-864A-DEEDA9748351}"/>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5958" name="직선 화살표 연결선 45957">
          <a:extLst>
            <a:ext uri="{FF2B5EF4-FFF2-40B4-BE49-F238E27FC236}">
              <a16:creationId xmlns:a16="http://schemas.microsoft.com/office/drawing/2014/main" id="{1BD8CC1F-01B7-36B8-4813-5D32B5037419}"/>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5959" name="5">
          <a:extLst>
            <a:ext uri="{FF2B5EF4-FFF2-40B4-BE49-F238E27FC236}">
              <a16:creationId xmlns:a16="http://schemas.microsoft.com/office/drawing/2014/main" id="{C6CA979F-0A00-31A3-5892-CAA341665A48}"/>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5960" name="직선 화살표 연결선 45959">
          <a:extLst>
            <a:ext uri="{FF2B5EF4-FFF2-40B4-BE49-F238E27FC236}">
              <a16:creationId xmlns:a16="http://schemas.microsoft.com/office/drawing/2014/main" id="{45F3F434-AEAA-A191-376D-65E9D514A40F}"/>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5961" name="4">
          <a:extLst>
            <a:ext uri="{FF2B5EF4-FFF2-40B4-BE49-F238E27FC236}">
              <a16:creationId xmlns:a16="http://schemas.microsoft.com/office/drawing/2014/main" id="{4105197F-26E7-3858-4242-417279959ADB}"/>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5962" name="직선 화살표 연결선 45961">
          <a:extLst>
            <a:ext uri="{FF2B5EF4-FFF2-40B4-BE49-F238E27FC236}">
              <a16:creationId xmlns:a16="http://schemas.microsoft.com/office/drawing/2014/main" id="{73080A60-AE66-E1B8-D13C-B804A57E97AA}"/>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5963" name="3">
          <a:extLst>
            <a:ext uri="{FF2B5EF4-FFF2-40B4-BE49-F238E27FC236}">
              <a16:creationId xmlns:a16="http://schemas.microsoft.com/office/drawing/2014/main" id="{043A129E-D951-FA1C-ECE5-409F3731CAFC}"/>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5964" name="직선 화살표 연결선 45963">
          <a:extLst>
            <a:ext uri="{FF2B5EF4-FFF2-40B4-BE49-F238E27FC236}">
              <a16:creationId xmlns:a16="http://schemas.microsoft.com/office/drawing/2014/main" id="{E7DD1023-0DF3-87CC-96EB-CB305DC72AE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5965" name="2">
          <a:extLst>
            <a:ext uri="{FF2B5EF4-FFF2-40B4-BE49-F238E27FC236}">
              <a16:creationId xmlns:a16="http://schemas.microsoft.com/office/drawing/2014/main" id="{9942B450-A268-8046-F9BB-80DDF79915B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5966" name="직선 화살표 연결선 45965">
          <a:extLst>
            <a:ext uri="{FF2B5EF4-FFF2-40B4-BE49-F238E27FC236}">
              <a16:creationId xmlns:a16="http://schemas.microsoft.com/office/drawing/2014/main" id="{56F4A60A-4252-1400-5FDE-74195E2615B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5967" name="1">
          <a:extLst>
            <a:ext uri="{FF2B5EF4-FFF2-40B4-BE49-F238E27FC236}">
              <a16:creationId xmlns:a16="http://schemas.microsoft.com/office/drawing/2014/main" id="{75028F4B-35B9-7E8B-2C36-FB67A6EDA7D1}"/>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5968" name="직선 화살표 연결선 45967">
          <a:extLst>
            <a:ext uri="{FF2B5EF4-FFF2-40B4-BE49-F238E27FC236}">
              <a16:creationId xmlns:a16="http://schemas.microsoft.com/office/drawing/2014/main" id="{75F04065-7E98-BE34-FA37-ED211EE31CA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6336" name="44">
          <a:extLst>
            <a:ext uri="{FF2B5EF4-FFF2-40B4-BE49-F238E27FC236}">
              <a16:creationId xmlns:a16="http://schemas.microsoft.com/office/drawing/2014/main" id="{AEE0246A-FAB2-3293-BBDE-7D2580F5C73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6337" name="직선 화살표 연결선 46336">
          <a:extLst>
            <a:ext uri="{FF2B5EF4-FFF2-40B4-BE49-F238E27FC236}">
              <a16:creationId xmlns:a16="http://schemas.microsoft.com/office/drawing/2014/main" id="{50D73703-440B-18A9-B424-9F990D98AF0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6338" name="43">
          <a:extLst>
            <a:ext uri="{FF2B5EF4-FFF2-40B4-BE49-F238E27FC236}">
              <a16:creationId xmlns:a16="http://schemas.microsoft.com/office/drawing/2014/main" id="{5633CABF-0D75-991A-0446-C8349305F860}"/>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6339" name="직선 화살표 연결선 46338">
          <a:extLst>
            <a:ext uri="{FF2B5EF4-FFF2-40B4-BE49-F238E27FC236}">
              <a16:creationId xmlns:a16="http://schemas.microsoft.com/office/drawing/2014/main" id="{0B96C9C7-D544-6C22-BDAD-979337075580}"/>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6340" name="42">
          <a:extLst>
            <a:ext uri="{FF2B5EF4-FFF2-40B4-BE49-F238E27FC236}">
              <a16:creationId xmlns:a16="http://schemas.microsoft.com/office/drawing/2014/main" id="{E49F1068-546E-7A32-CA66-B39C04C1D4D0}"/>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6341" name="직선 화살표 연결선 46340">
          <a:extLst>
            <a:ext uri="{FF2B5EF4-FFF2-40B4-BE49-F238E27FC236}">
              <a16:creationId xmlns:a16="http://schemas.microsoft.com/office/drawing/2014/main" id="{98A03E44-D518-94D0-2581-BC40FF7C91F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6342" name="41">
          <a:extLst>
            <a:ext uri="{FF2B5EF4-FFF2-40B4-BE49-F238E27FC236}">
              <a16:creationId xmlns:a16="http://schemas.microsoft.com/office/drawing/2014/main" id="{41873A7A-4311-EB68-6CC2-7E169A5C6495}"/>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6343" name="직선 화살표 연결선 46342">
          <a:extLst>
            <a:ext uri="{FF2B5EF4-FFF2-40B4-BE49-F238E27FC236}">
              <a16:creationId xmlns:a16="http://schemas.microsoft.com/office/drawing/2014/main" id="{A42CD070-F22C-E44F-E6E0-F8BF7A1E809F}"/>
            </a:ext>
          </a:extLst>
        </xdr:cNvPr>
        <xdr:cNvCxnSpPr/>
      </xdr:nvCxnSpPr>
      <xdr:spPr>
        <a:xfrm>
          <a:off x="12944475" y="6991350"/>
          <a:ext cx="4695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6403" name="10">
          <a:extLst>
            <a:ext uri="{FF2B5EF4-FFF2-40B4-BE49-F238E27FC236}">
              <a16:creationId xmlns:a16="http://schemas.microsoft.com/office/drawing/2014/main" id="{C9D2BBC3-9B4D-0A17-4D02-E05B6171A294}"/>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6404" name="직선 화살표 연결선 46403">
          <a:extLst>
            <a:ext uri="{FF2B5EF4-FFF2-40B4-BE49-F238E27FC236}">
              <a16:creationId xmlns:a16="http://schemas.microsoft.com/office/drawing/2014/main" id="{E0F34D29-6FB0-C977-0991-88413AF1B046}"/>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6405" name="9">
          <a:extLst>
            <a:ext uri="{FF2B5EF4-FFF2-40B4-BE49-F238E27FC236}">
              <a16:creationId xmlns:a16="http://schemas.microsoft.com/office/drawing/2014/main" id="{AF4A57D1-8B5D-BB41-17AB-E35DDC937D1D}"/>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6406" name="직선 화살표 연결선 46405">
          <a:extLst>
            <a:ext uri="{FF2B5EF4-FFF2-40B4-BE49-F238E27FC236}">
              <a16:creationId xmlns:a16="http://schemas.microsoft.com/office/drawing/2014/main" id="{FB05F159-CD3D-E0CA-E41B-DD46AF38F24C}"/>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6407" name="8">
          <a:extLst>
            <a:ext uri="{FF2B5EF4-FFF2-40B4-BE49-F238E27FC236}">
              <a16:creationId xmlns:a16="http://schemas.microsoft.com/office/drawing/2014/main" id="{B52BB0E4-010F-6A60-458B-758807AFBDE5}"/>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6408" name="직선 화살표 연결선 46407">
          <a:extLst>
            <a:ext uri="{FF2B5EF4-FFF2-40B4-BE49-F238E27FC236}">
              <a16:creationId xmlns:a16="http://schemas.microsoft.com/office/drawing/2014/main" id="{26730C93-3BE6-C216-CD43-71A273DA48A1}"/>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6409" name="7">
          <a:extLst>
            <a:ext uri="{FF2B5EF4-FFF2-40B4-BE49-F238E27FC236}">
              <a16:creationId xmlns:a16="http://schemas.microsoft.com/office/drawing/2014/main" id="{DA5DE882-ACE5-15B5-3CF2-EF3D63BCD2FF}"/>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6410" name="6">
          <a:extLst>
            <a:ext uri="{FF2B5EF4-FFF2-40B4-BE49-F238E27FC236}">
              <a16:creationId xmlns:a16="http://schemas.microsoft.com/office/drawing/2014/main" id="{7126D7ED-1EDA-29AC-4A4D-9AAC27D9AF0A}"/>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6411" name="직선 화살표 연결선 46410">
          <a:extLst>
            <a:ext uri="{FF2B5EF4-FFF2-40B4-BE49-F238E27FC236}">
              <a16:creationId xmlns:a16="http://schemas.microsoft.com/office/drawing/2014/main" id="{776FC38D-BC5B-8EB7-14EB-5593C5E581B4}"/>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6412" name="5">
          <a:extLst>
            <a:ext uri="{FF2B5EF4-FFF2-40B4-BE49-F238E27FC236}">
              <a16:creationId xmlns:a16="http://schemas.microsoft.com/office/drawing/2014/main" id="{D15BEC4D-8847-398F-3F1E-A1503FDF025A}"/>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6413" name="직선 화살표 연결선 46412">
          <a:extLst>
            <a:ext uri="{FF2B5EF4-FFF2-40B4-BE49-F238E27FC236}">
              <a16:creationId xmlns:a16="http://schemas.microsoft.com/office/drawing/2014/main" id="{D24EE279-FBEF-1F06-346A-004866842C94}"/>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6414" name="4">
          <a:extLst>
            <a:ext uri="{FF2B5EF4-FFF2-40B4-BE49-F238E27FC236}">
              <a16:creationId xmlns:a16="http://schemas.microsoft.com/office/drawing/2014/main" id="{1566F644-D09F-821B-BFE6-A64E0F40568E}"/>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6415" name="직선 화살표 연결선 46414">
          <a:extLst>
            <a:ext uri="{FF2B5EF4-FFF2-40B4-BE49-F238E27FC236}">
              <a16:creationId xmlns:a16="http://schemas.microsoft.com/office/drawing/2014/main" id="{6ADB8878-0B94-7817-1147-C17D0C074157}"/>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6416" name="3">
          <a:extLst>
            <a:ext uri="{FF2B5EF4-FFF2-40B4-BE49-F238E27FC236}">
              <a16:creationId xmlns:a16="http://schemas.microsoft.com/office/drawing/2014/main" id="{24F172CA-D395-9754-6138-8F75BBDB0CB4}"/>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6417" name="직선 화살표 연결선 46416">
          <a:extLst>
            <a:ext uri="{FF2B5EF4-FFF2-40B4-BE49-F238E27FC236}">
              <a16:creationId xmlns:a16="http://schemas.microsoft.com/office/drawing/2014/main" id="{E262E29D-7BF8-7006-82D0-DFA065386903}"/>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6418" name="2">
          <a:extLst>
            <a:ext uri="{FF2B5EF4-FFF2-40B4-BE49-F238E27FC236}">
              <a16:creationId xmlns:a16="http://schemas.microsoft.com/office/drawing/2014/main" id="{C97B6A2A-0F00-026B-AB4F-77BE7AF6634E}"/>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6419" name="직선 화살표 연결선 46418">
          <a:extLst>
            <a:ext uri="{FF2B5EF4-FFF2-40B4-BE49-F238E27FC236}">
              <a16:creationId xmlns:a16="http://schemas.microsoft.com/office/drawing/2014/main" id="{2FA97CEF-B3E0-A288-FAF9-9CD8C040AC9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6420" name="1">
          <a:extLst>
            <a:ext uri="{FF2B5EF4-FFF2-40B4-BE49-F238E27FC236}">
              <a16:creationId xmlns:a16="http://schemas.microsoft.com/office/drawing/2014/main" id="{6DB398F7-7810-7320-9FDD-4E8A43BFD063}"/>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6421" name="직선 화살표 연결선 46420">
          <a:extLst>
            <a:ext uri="{FF2B5EF4-FFF2-40B4-BE49-F238E27FC236}">
              <a16:creationId xmlns:a16="http://schemas.microsoft.com/office/drawing/2014/main" id="{B9D202BD-AE76-9D82-E72A-BB94E019792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6789" name="44">
          <a:extLst>
            <a:ext uri="{FF2B5EF4-FFF2-40B4-BE49-F238E27FC236}">
              <a16:creationId xmlns:a16="http://schemas.microsoft.com/office/drawing/2014/main" id="{59DD8E5B-B1D6-9768-6493-F9184F841E7B}"/>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6790" name="직선 화살표 연결선 46789">
          <a:extLst>
            <a:ext uri="{FF2B5EF4-FFF2-40B4-BE49-F238E27FC236}">
              <a16:creationId xmlns:a16="http://schemas.microsoft.com/office/drawing/2014/main" id="{FB59449A-F235-835F-EF4B-A36500956E56}"/>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6791" name="43">
          <a:extLst>
            <a:ext uri="{FF2B5EF4-FFF2-40B4-BE49-F238E27FC236}">
              <a16:creationId xmlns:a16="http://schemas.microsoft.com/office/drawing/2014/main" id="{8E50D5E8-CEDB-F886-FBD4-0F62C1EF69A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6792" name="직선 화살표 연결선 46791">
          <a:extLst>
            <a:ext uri="{FF2B5EF4-FFF2-40B4-BE49-F238E27FC236}">
              <a16:creationId xmlns:a16="http://schemas.microsoft.com/office/drawing/2014/main" id="{4F0A91BD-E134-978E-AB69-291C0337D25A}"/>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6793" name="42">
          <a:extLst>
            <a:ext uri="{FF2B5EF4-FFF2-40B4-BE49-F238E27FC236}">
              <a16:creationId xmlns:a16="http://schemas.microsoft.com/office/drawing/2014/main" id="{213C5A53-F021-A8EE-8668-7F88CCBD9AA7}"/>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6794" name="직선 화살표 연결선 46793">
          <a:extLst>
            <a:ext uri="{FF2B5EF4-FFF2-40B4-BE49-F238E27FC236}">
              <a16:creationId xmlns:a16="http://schemas.microsoft.com/office/drawing/2014/main" id="{6FF171C7-5C41-5DFE-3C6E-399B5DD6953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6795" name="41">
          <a:extLst>
            <a:ext uri="{FF2B5EF4-FFF2-40B4-BE49-F238E27FC236}">
              <a16:creationId xmlns:a16="http://schemas.microsoft.com/office/drawing/2014/main" id="{FEC24A32-AE8B-82D1-B265-D11239DD25D7}"/>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6796" name="직선 화살표 연결선 46795">
          <a:extLst>
            <a:ext uri="{FF2B5EF4-FFF2-40B4-BE49-F238E27FC236}">
              <a16:creationId xmlns:a16="http://schemas.microsoft.com/office/drawing/2014/main" id="{FEC2EC4D-0646-BA27-7F25-6FD382212398}"/>
            </a:ext>
          </a:extLst>
        </xdr:cNvPr>
        <xdr:cNvCxnSpPr/>
      </xdr:nvCxnSpPr>
      <xdr:spPr>
        <a:xfrm>
          <a:off x="12944475" y="6991350"/>
          <a:ext cx="4695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6856" name="10">
          <a:extLst>
            <a:ext uri="{FF2B5EF4-FFF2-40B4-BE49-F238E27FC236}">
              <a16:creationId xmlns:a16="http://schemas.microsoft.com/office/drawing/2014/main" id="{E3C21EAF-2D42-599A-5442-07736ACEA403}"/>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6857" name="직선 화살표 연결선 46856">
          <a:extLst>
            <a:ext uri="{FF2B5EF4-FFF2-40B4-BE49-F238E27FC236}">
              <a16:creationId xmlns:a16="http://schemas.microsoft.com/office/drawing/2014/main" id="{1A252439-874E-AF33-0A0B-604D106761D9}"/>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6858" name="9">
          <a:extLst>
            <a:ext uri="{FF2B5EF4-FFF2-40B4-BE49-F238E27FC236}">
              <a16:creationId xmlns:a16="http://schemas.microsoft.com/office/drawing/2014/main" id="{85B6E5B6-633F-CD19-E5DF-235EFF065D0C}"/>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6859" name="직선 화살표 연결선 46858">
          <a:extLst>
            <a:ext uri="{FF2B5EF4-FFF2-40B4-BE49-F238E27FC236}">
              <a16:creationId xmlns:a16="http://schemas.microsoft.com/office/drawing/2014/main" id="{4A05CB89-DA3D-4D92-EE46-FEA3B9E23B60}"/>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6860" name="8">
          <a:extLst>
            <a:ext uri="{FF2B5EF4-FFF2-40B4-BE49-F238E27FC236}">
              <a16:creationId xmlns:a16="http://schemas.microsoft.com/office/drawing/2014/main" id="{C180B56B-A188-47F8-556F-1D6E19610309}"/>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6861" name="직선 화살표 연결선 46860">
          <a:extLst>
            <a:ext uri="{FF2B5EF4-FFF2-40B4-BE49-F238E27FC236}">
              <a16:creationId xmlns:a16="http://schemas.microsoft.com/office/drawing/2014/main" id="{D36A792A-EC36-1FB9-D236-24584203353E}"/>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6862" name="7">
          <a:extLst>
            <a:ext uri="{FF2B5EF4-FFF2-40B4-BE49-F238E27FC236}">
              <a16:creationId xmlns:a16="http://schemas.microsoft.com/office/drawing/2014/main" id="{383B0054-56BC-EDAA-07FE-BC4410EAEBF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6863" name="6">
          <a:extLst>
            <a:ext uri="{FF2B5EF4-FFF2-40B4-BE49-F238E27FC236}">
              <a16:creationId xmlns:a16="http://schemas.microsoft.com/office/drawing/2014/main" id="{DA8F6E4A-B015-0729-B69E-E5F509226281}"/>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6864" name="직선 화살표 연결선 46863">
          <a:extLst>
            <a:ext uri="{FF2B5EF4-FFF2-40B4-BE49-F238E27FC236}">
              <a16:creationId xmlns:a16="http://schemas.microsoft.com/office/drawing/2014/main" id="{4149F23A-8D62-E529-DA9B-259B0992716C}"/>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6865" name="5">
          <a:extLst>
            <a:ext uri="{FF2B5EF4-FFF2-40B4-BE49-F238E27FC236}">
              <a16:creationId xmlns:a16="http://schemas.microsoft.com/office/drawing/2014/main" id="{CE0F5D9E-6031-D2CA-4A73-E33D808C0D32}"/>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6866" name="직선 화살표 연결선 46865">
          <a:extLst>
            <a:ext uri="{FF2B5EF4-FFF2-40B4-BE49-F238E27FC236}">
              <a16:creationId xmlns:a16="http://schemas.microsoft.com/office/drawing/2014/main" id="{78C241FE-3BD3-414F-8683-432FF7A573C6}"/>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6867" name="4">
          <a:extLst>
            <a:ext uri="{FF2B5EF4-FFF2-40B4-BE49-F238E27FC236}">
              <a16:creationId xmlns:a16="http://schemas.microsoft.com/office/drawing/2014/main" id="{F39D2BA0-8147-2A16-5EDA-B4C7319E50FF}"/>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6868" name="직선 화살표 연결선 46867">
          <a:extLst>
            <a:ext uri="{FF2B5EF4-FFF2-40B4-BE49-F238E27FC236}">
              <a16:creationId xmlns:a16="http://schemas.microsoft.com/office/drawing/2014/main" id="{D6B1A696-3D9A-6C74-C2C7-121C541C79E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6869" name="3">
          <a:extLst>
            <a:ext uri="{FF2B5EF4-FFF2-40B4-BE49-F238E27FC236}">
              <a16:creationId xmlns:a16="http://schemas.microsoft.com/office/drawing/2014/main" id="{84D59773-7BB1-53E9-50F2-21DB73CC5368}"/>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6870" name="직선 화살표 연결선 46869">
          <a:extLst>
            <a:ext uri="{FF2B5EF4-FFF2-40B4-BE49-F238E27FC236}">
              <a16:creationId xmlns:a16="http://schemas.microsoft.com/office/drawing/2014/main" id="{EECC16C9-F7E0-D655-4A25-F346936056D1}"/>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6871" name="2">
          <a:extLst>
            <a:ext uri="{FF2B5EF4-FFF2-40B4-BE49-F238E27FC236}">
              <a16:creationId xmlns:a16="http://schemas.microsoft.com/office/drawing/2014/main" id="{E7C78E47-1E39-0C19-A110-9F84E71F3CC9}"/>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6872" name="직선 화살표 연결선 46871">
          <a:extLst>
            <a:ext uri="{FF2B5EF4-FFF2-40B4-BE49-F238E27FC236}">
              <a16:creationId xmlns:a16="http://schemas.microsoft.com/office/drawing/2014/main" id="{86C79DC1-861A-4D48-CCBE-0016282315A4}"/>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6873" name="1">
          <a:extLst>
            <a:ext uri="{FF2B5EF4-FFF2-40B4-BE49-F238E27FC236}">
              <a16:creationId xmlns:a16="http://schemas.microsoft.com/office/drawing/2014/main" id="{4C0247C4-0840-06E8-B87E-865CE963EA5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6874" name="직선 화살표 연결선 46873">
          <a:extLst>
            <a:ext uri="{FF2B5EF4-FFF2-40B4-BE49-F238E27FC236}">
              <a16:creationId xmlns:a16="http://schemas.microsoft.com/office/drawing/2014/main" id="{AB216043-2652-9F39-1622-0764E18B1E6B}"/>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7240" name="44">
          <a:extLst>
            <a:ext uri="{FF2B5EF4-FFF2-40B4-BE49-F238E27FC236}">
              <a16:creationId xmlns:a16="http://schemas.microsoft.com/office/drawing/2014/main" id="{A15EB452-AA9E-1D7C-B89A-89A25FA0BE3E}"/>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7241" name="직선 화살표 연결선 47240">
          <a:extLst>
            <a:ext uri="{FF2B5EF4-FFF2-40B4-BE49-F238E27FC236}">
              <a16:creationId xmlns:a16="http://schemas.microsoft.com/office/drawing/2014/main" id="{E761A145-7083-8CBC-B22E-66B47AF26B84}"/>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7242" name="43">
          <a:extLst>
            <a:ext uri="{FF2B5EF4-FFF2-40B4-BE49-F238E27FC236}">
              <a16:creationId xmlns:a16="http://schemas.microsoft.com/office/drawing/2014/main" id="{23D4B14F-738B-45D2-FAE0-3FE375255D0C}"/>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7243" name="직선 화살표 연결선 47242">
          <a:extLst>
            <a:ext uri="{FF2B5EF4-FFF2-40B4-BE49-F238E27FC236}">
              <a16:creationId xmlns:a16="http://schemas.microsoft.com/office/drawing/2014/main" id="{B308A084-7B45-E07A-73B5-56CC79AF8A00}"/>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7244" name="42">
          <a:extLst>
            <a:ext uri="{FF2B5EF4-FFF2-40B4-BE49-F238E27FC236}">
              <a16:creationId xmlns:a16="http://schemas.microsoft.com/office/drawing/2014/main" id="{3D66A992-E818-3C44-FDF2-92C96B04BAF2}"/>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7245" name="직선 화살표 연결선 47244">
          <a:extLst>
            <a:ext uri="{FF2B5EF4-FFF2-40B4-BE49-F238E27FC236}">
              <a16:creationId xmlns:a16="http://schemas.microsoft.com/office/drawing/2014/main" id="{C13275FA-6AA3-4026-5465-D1C5DB35D965}"/>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7246" name="41">
          <a:extLst>
            <a:ext uri="{FF2B5EF4-FFF2-40B4-BE49-F238E27FC236}">
              <a16:creationId xmlns:a16="http://schemas.microsoft.com/office/drawing/2014/main" id="{A37D62AC-8540-FE8D-901F-CD648960F4D7}"/>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7247" name="직선 화살표 연결선 47246">
          <a:extLst>
            <a:ext uri="{FF2B5EF4-FFF2-40B4-BE49-F238E27FC236}">
              <a16:creationId xmlns:a16="http://schemas.microsoft.com/office/drawing/2014/main" id="{284F1CB2-491E-234A-AB21-8BA588A1FDE8}"/>
            </a:ext>
          </a:extLst>
        </xdr:cNvPr>
        <xdr:cNvCxnSpPr/>
      </xdr:nvCxnSpPr>
      <xdr:spPr>
        <a:xfrm>
          <a:off x="12944475" y="6991350"/>
          <a:ext cx="4727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7307" name="10">
          <a:extLst>
            <a:ext uri="{FF2B5EF4-FFF2-40B4-BE49-F238E27FC236}">
              <a16:creationId xmlns:a16="http://schemas.microsoft.com/office/drawing/2014/main" id="{D7E02867-8D97-250B-DC49-9BF6DBB58FE8}"/>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7308" name="직선 화살표 연결선 47307">
          <a:extLst>
            <a:ext uri="{FF2B5EF4-FFF2-40B4-BE49-F238E27FC236}">
              <a16:creationId xmlns:a16="http://schemas.microsoft.com/office/drawing/2014/main" id="{37828041-8519-D1DC-00FC-7E24BE04025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7309" name="9">
          <a:extLst>
            <a:ext uri="{FF2B5EF4-FFF2-40B4-BE49-F238E27FC236}">
              <a16:creationId xmlns:a16="http://schemas.microsoft.com/office/drawing/2014/main" id="{66FC30DE-5F8C-5FF4-74E2-ED1429FDC273}"/>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7310" name="직선 화살표 연결선 47309">
          <a:extLst>
            <a:ext uri="{FF2B5EF4-FFF2-40B4-BE49-F238E27FC236}">
              <a16:creationId xmlns:a16="http://schemas.microsoft.com/office/drawing/2014/main" id="{00B0164F-0C45-465A-E174-158DE85DBE58}"/>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7311" name="8">
          <a:extLst>
            <a:ext uri="{FF2B5EF4-FFF2-40B4-BE49-F238E27FC236}">
              <a16:creationId xmlns:a16="http://schemas.microsoft.com/office/drawing/2014/main" id="{1867A190-4C94-EECD-3938-934D3553493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7312" name="직선 화살표 연결선 47311">
          <a:extLst>
            <a:ext uri="{FF2B5EF4-FFF2-40B4-BE49-F238E27FC236}">
              <a16:creationId xmlns:a16="http://schemas.microsoft.com/office/drawing/2014/main" id="{0FE7049D-360C-2CF3-C6A2-CAD3CBA7AA3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7313" name="7">
          <a:extLst>
            <a:ext uri="{FF2B5EF4-FFF2-40B4-BE49-F238E27FC236}">
              <a16:creationId xmlns:a16="http://schemas.microsoft.com/office/drawing/2014/main" id="{6E860D9E-55A0-B2C5-35F9-AF025CCC75A5}"/>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7314" name="6">
          <a:extLst>
            <a:ext uri="{FF2B5EF4-FFF2-40B4-BE49-F238E27FC236}">
              <a16:creationId xmlns:a16="http://schemas.microsoft.com/office/drawing/2014/main" id="{6C3C4CCC-B5CE-2C2E-7D1F-32461B919F0C}"/>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7315" name="직선 화살표 연결선 47314">
          <a:extLst>
            <a:ext uri="{FF2B5EF4-FFF2-40B4-BE49-F238E27FC236}">
              <a16:creationId xmlns:a16="http://schemas.microsoft.com/office/drawing/2014/main" id="{1C6B1F4D-4320-3C30-5617-F685442EF0C5}"/>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7316" name="5">
          <a:extLst>
            <a:ext uri="{FF2B5EF4-FFF2-40B4-BE49-F238E27FC236}">
              <a16:creationId xmlns:a16="http://schemas.microsoft.com/office/drawing/2014/main" id="{2F3FA2D3-EE63-04B6-1FC9-979E792818B8}"/>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7317" name="직선 화살표 연결선 47316">
          <a:extLst>
            <a:ext uri="{FF2B5EF4-FFF2-40B4-BE49-F238E27FC236}">
              <a16:creationId xmlns:a16="http://schemas.microsoft.com/office/drawing/2014/main" id="{F139161B-11C2-5800-474E-964589EF425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7318" name="4">
          <a:extLst>
            <a:ext uri="{FF2B5EF4-FFF2-40B4-BE49-F238E27FC236}">
              <a16:creationId xmlns:a16="http://schemas.microsoft.com/office/drawing/2014/main" id="{8B927583-B892-19D7-BF9B-65AA1EAD2A75}"/>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7319" name="직선 화살표 연결선 47318">
          <a:extLst>
            <a:ext uri="{FF2B5EF4-FFF2-40B4-BE49-F238E27FC236}">
              <a16:creationId xmlns:a16="http://schemas.microsoft.com/office/drawing/2014/main" id="{C340BA21-76B8-6C53-AD97-CBD8B760F030}"/>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7320" name="3">
          <a:extLst>
            <a:ext uri="{FF2B5EF4-FFF2-40B4-BE49-F238E27FC236}">
              <a16:creationId xmlns:a16="http://schemas.microsoft.com/office/drawing/2014/main" id="{85AC8EB8-629A-AC3B-5C9B-9C89F4DC414D}"/>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7321" name="직선 화살표 연결선 47320">
          <a:extLst>
            <a:ext uri="{FF2B5EF4-FFF2-40B4-BE49-F238E27FC236}">
              <a16:creationId xmlns:a16="http://schemas.microsoft.com/office/drawing/2014/main" id="{9750682E-C9ED-A53B-4130-89115306444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7322" name="2">
          <a:extLst>
            <a:ext uri="{FF2B5EF4-FFF2-40B4-BE49-F238E27FC236}">
              <a16:creationId xmlns:a16="http://schemas.microsoft.com/office/drawing/2014/main" id="{1BA163CD-25CC-57DB-4079-66F19E68E827}"/>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7323" name="직선 화살표 연결선 47322">
          <a:extLst>
            <a:ext uri="{FF2B5EF4-FFF2-40B4-BE49-F238E27FC236}">
              <a16:creationId xmlns:a16="http://schemas.microsoft.com/office/drawing/2014/main" id="{3BF093E9-E151-470D-44D2-01E7F292180C}"/>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7324" name="1">
          <a:extLst>
            <a:ext uri="{FF2B5EF4-FFF2-40B4-BE49-F238E27FC236}">
              <a16:creationId xmlns:a16="http://schemas.microsoft.com/office/drawing/2014/main" id="{A61CFDE5-7C1F-78BC-2D60-1DC1617CDF4C}"/>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7325" name="직선 화살표 연결선 47324">
          <a:extLst>
            <a:ext uri="{FF2B5EF4-FFF2-40B4-BE49-F238E27FC236}">
              <a16:creationId xmlns:a16="http://schemas.microsoft.com/office/drawing/2014/main" id="{61131420-A46D-3D32-E95A-C7D92CCA443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7685" name="44">
          <a:extLst>
            <a:ext uri="{FF2B5EF4-FFF2-40B4-BE49-F238E27FC236}">
              <a16:creationId xmlns:a16="http://schemas.microsoft.com/office/drawing/2014/main" id="{627DF245-12A5-E930-6350-71B69A2E7F83}"/>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7686" name="직선 화살표 연결선 47685">
          <a:extLst>
            <a:ext uri="{FF2B5EF4-FFF2-40B4-BE49-F238E27FC236}">
              <a16:creationId xmlns:a16="http://schemas.microsoft.com/office/drawing/2014/main" id="{28BAC802-E110-2061-8A3A-78F59B5DBFC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7687" name="43">
          <a:extLst>
            <a:ext uri="{FF2B5EF4-FFF2-40B4-BE49-F238E27FC236}">
              <a16:creationId xmlns:a16="http://schemas.microsoft.com/office/drawing/2014/main" id="{53EA6B93-F5AF-27C3-5CFB-41A6D3EBA899}"/>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7688" name="직선 화살표 연결선 47687">
          <a:extLst>
            <a:ext uri="{FF2B5EF4-FFF2-40B4-BE49-F238E27FC236}">
              <a16:creationId xmlns:a16="http://schemas.microsoft.com/office/drawing/2014/main" id="{5FA63C49-B0A7-1BB5-8462-CA0CAE60CB0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7689" name="42">
          <a:extLst>
            <a:ext uri="{FF2B5EF4-FFF2-40B4-BE49-F238E27FC236}">
              <a16:creationId xmlns:a16="http://schemas.microsoft.com/office/drawing/2014/main" id="{8B7DCA40-AE79-1238-2648-32C259139351}"/>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7690" name="직선 화살표 연결선 47689">
          <a:extLst>
            <a:ext uri="{FF2B5EF4-FFF2-40B4-BE49-F238E27FC236}">
              <a16:creationId xmlns:a16="http://schemas.microsoft.com/office/drawing/2014/main" id="{8E7C396E-FEC8-0AFD-E091-BD061FEAFB33}"/>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7691" name="41">
          <a:extLst>
            <a:ext uri="{FF2B5EF4-FFF2-40B4-BE49-F238E27FC236}">
              <a16:creationId xmlns:a16="http://schemas.microsoft.com/office/drawing/2014/main" id="{D95FB650-C6B4-C0EC-1569-8858C991C88C}"/>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7692" name="직선 화살표 연결선 47691">
          <a:extLst>
            <a:ext uri="{FF2B5EF4-FFF2-40B4-BE49-F238E27FC236}">
              <a16:creationId xmlns:a16="http://schemas.microsoft.com/office/drawing/2014/main" id="{183C4329-D81C-BA40-868E-753B00FE6A6E}"/>
            </a:ext>
          </a:extLst>
        </xdr:cNvPr>
        <xdr:cNvCxnSpPr/>
      </xdr:nvCxnSpPr>
      <xdr:spPr>
        <a:xfrm>
          <a:off x="12944475" y="6991350"/>
          <a:ext cx="482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7752" name="10">
          <a:extLst>
            <a:ext uri="{FF2B5EF4-FFF2-40B4-BE49-F238E27FC236}">
              <a16:creationId xmlns:a16="http://schemas.microsoft.com/office/drawing/2014/main" id="{B0AF1FE5-4ACB-6CF8-A3CF-A42D865765DE}"/>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7753" name="직선 화살표 연결선 47752">
          <a:extLst>
            <a:ext uri="{FF2B5EF4-FFF2-40B4-BE49-F238E27FC236}">
              <a16:creationId xmlns:a16="http://schemas.microsoft.com/office/drawing/2014/main" id="{9DAE1E90-A3D8-D7DF-2171-88D8D3BB9662}"/>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7754" name="9">
          <a:extLst>
            <a:ext uri="{FF2B5EF4-FFF2-40B4-BE49-F238E27FC236}">
              <a16:creationId xmlns:a16="http://schemas.microsoft.com/office/drawing/2014/main" id="{E64BC052-63DD-CDCB-8D3F-424C73A7D0B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7755" name="직선 화살표 연결선 47754">
          <a:extLst>
            <a:ext uri="{FF2B5EF4-FFF2-40B4-BE49-F238E27FC236}">
              <a16:creationId xmlns:a16="http://schemas.microsoft.com/office/drawing/2014/main" id="{C0CE851A-46B1-2C0E-D31A-56185CE276DA}"/>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7756" name="8">
          <a:extLst>
            <a:ext uri="{FF2B5EF4-FFF2-40B4-BE49-F238E27FC236}">
              <a16:creationId xmlns:a16="http://schemas.microsoft.com/office/drawing/2014/main" id="{150A000A-91D2-D7FE-106F-A59D5C95CCE4}"/>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7757" name="직선 화살표 연결선 47756">
          <a:extLst>
            <a:ext uri="{FF2B5EF4-FFF2-40B4-BE49-F238E27FC236}">
              <a16:creationId xmlns:a16="http://schemas.microsoft.com/office/drawing/2014/main" id="{5A3C982B-BA38-7A84-1C0B-1A3659B168BF}"/>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7758" name="7">
          <a:extLst>
            <a:ext uri="{FF2B5EF4-FFF2-40B4-BE49-F238E27FC236}">
              <a16:creationId xmlns:a16="http://schemas.microsoft.com/office/drawing/2014/main" id="{8C4ADD08-68EE-092D-BFD0-D0A946900610}"/>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7759" name="6">
          <a:extLst>
            <a:ext uri="{FF2B5EF4-FFF2-40B4-BE49-F238E27FC236}">
              <a16:creationId xmlns:a16="http://schemas.microsoft.com/office/drawing/2014/main" id="{023101E0-D6C3-F927-3488-B08815B21237}"/>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7760" name="직선 화살표 연결선 47759">
          <a:extLst>
            <a:ext uri="{FF2B5EF4-FFF2-40B4-BE49-F238E27FC236}">
              <a16:creationId xmlns:a16="http://schemas.microsoft.com/office/drawing/2014/main" id="{A3416E6D-A883-63D5-8F46-1B73352F25C7}"/>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7761" name="5">
          <a:extLst>
            <a:ext uri="{FF2B5EF4-FFF2-40B4-BE49-F238E27FC236}">
              <a16:creationId xmlns:a16="http://schemas.microsoft.com/office/drawing/2014/main" id="{8FF1F748-FE6B-909F-A68F-52B8EEB1168A}"/>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7762" name="직선 화살표 연결선 47761">
          <a:extLst>
            <a:ext uri="{FF2B5EF4-FFF2-40B4-BE49-F238E27FC236}">
              <a16:creationId xmlns:a16="http://schemas.microsoft.com/office/drawing/2014/main" id="{AEB0A163-D5BC-76F6-D879-D0F5F7100D4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7763" name="4">
          <a:extLst>
            <a:ext uri="{FF2B5EF4-FFF2-40B4-BE49-F238E27FC236}">
              <a16:creationId xmlns:a16="http://schemas.microsoft.com/office/drawing/2014/main" id="{051B9A86-C182-E740-04E4-926B9B3F3F8B}"/>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7764" name="직선 화살표 연결선 47763">
          <a:extLst>
            <a:ext uri="{FF2B5EF4-FFF2-40B4-BE49-F238E27FC236}">
              <a16:creationId xmlns:a16="http://schemas.microsoft.com/office/drawing/2014/main" id="{93B0B1EF-6382-9A51-5E0B-4A9969D610DB}"/>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7765" name="3">
          <a:extLst>
            <a:ext uri="{FF2B5EF4-FFF2-40B4-BE49-F238E27FC236}">
              <a16:creationId xmlns:a16="http://schemas.microsoft.com/office/drawing/2014/main" id="{1274B8F3-937B-F5F2-6C19-28C050FD7528}"/>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7766" name="직선 화살표 연결선 47765">
          <a:extLst>
            <a:ext uri="{FF2B5EF4-FFF2-40B4-BE49-F238E27FC236}">
              <a16:creationId xmlns:a16="http://schemas.microsoft.com/office/drawing/2014/main" id="{1B6C0539-BBBD-9356-5861-03FF11C5F53F}"/>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7767" name="2">
          <a:extLst>
            <a:ext uri="{FF2B5EF4-FFF2-40B4-BE49-F238E27FC236}">
              <a16:creationId xmlns:a16="http://schemas.microsoft.com/office/drawing/2014/main" id="{0CFB8BB8-5914-E2CA-6FA6-9F40320F3A26}"/>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7768" name="직선 화살표 연결선 47767">
          <a:extLst>
            <a:ext uri="{FF2B5EF4-FFF2-40B4-BE49-F238E27FC236}">
              <a16:creationId xmlns:a16="http://schemas.microsoft.com/office/drawing/2014/main" id="{8757C68C-C944-0048-F2BA-4B2207493232}"/>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7769" name="1">
          <a:extLst>
            <a:ext uri="{FF2B5EF4-FFF2-40B4-BE49-F238E27FC236}">
              <a16:creationId xmlns:a16="http://schemas.microsoft.com/office/drawing/2014/main" id="{7F001E45-F273-7F7A-FBBF-B9758ED0559B}"/>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7770" name="직선 화살표 연결선 47769">
          <a:extLst>
            <a:ext uri="{FF2B5EF4-FFF2-40B4-BE49-F238E27FC236}">
              <a16:creationId xmlns:a16="http://schemas.microsoft.com/office/drawing/2014/main" id="{75B884C5-4F0B-4923-7414-2710AAB23E61}"/>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8126" name="44">
          <a:extLst>
            <a:ext uri="{FF2B5EF4-FFF2-40B4-BE49-F238E27FC236}">
              <a16:creationId xmlns:a16="http://schemas.microsoft.com/office/drawing/2014/main" id="{3F5C45C9-8084-7F14-EC46-6CAC61CF9C6F}"/>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8127" name="직선 화살표 연결선 48126">
          <a:extLst>
            <a:ext uri="{FF2B5EF4-FFF2-40B4-BE49-F238E27FC236}">
              <a16:creationId xmlns:a16="http://schemas.microsoft.com/office/drawing/2014/main" id="{2A1C4B38-7A1B-CE52-D57B-96B3C5D9187A}"/>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8128" name="43">
          <a:extLst>
            <a:ext uri="{FF2B5EF4-FFF2-40B4-BE49-F238E27FC236}">
              <a16:creationId xmlns:a16="http://schemas.microsoft.com/office/drawing/2014/main" id="{B418BD35-4549-B052-DC35-58B5478733A7}"/>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8129" name="직선 화살표 연결선 48128">
          <a:extLst>
            <a:ext uri="{FF2B5EF4-FFF2-40B4-BE49-F238E27FC236}">
              <a16:creationId xmlns:a16="http://schemas.microsoft.com/office/drawing/2014/main" id="{9A0797A1-E810-E7BD-AE77-F7E72364D9F5}"/>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8130" name="42">
          <a:extLst>
            <a:ext uri="{FF2B5EF4-FFF2-40B4-BE49-F238E27FC236}">
              <a16:creationId xmlns:a16="http://schemas.microsoft.com/office/drawing/2014/main" id="{AF92C1A6-1C00-2951-C206-F5E9EB933B11}"/>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8131" name="직선 화살표 연결선 48130">
          <a:extLst>
            <a:ext uri="{FF2B5EF4-FFF2-40B4-BE49-F238E27FC236}">
              <a16:creationId xmlns:a16="http://schemas.microsoft.com/office/drawing/2014/main" id="{7545FF2F-83A3-172A-4246-C50CF17FD99B}"/>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8132" name="41">
          <a:extLst>
            <a:ext uri="{FF2B5EF4-FFF2-40B4-BE49-F238E27FC236}">
              <a16:creationId xmlns:a16="http://schemas.microsoft.com/office/drawing/2014/main" id="{B7EB8BF3-22F5-9311-0E03-23E03D8698FF}"/>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8133" name="직선 화살표 연결선 48132">
          <a:extLst>
            <a:ext uri="{FF2B5EF4-FFF2-40B4-BE49-F238E27FC236}">
              <a16:creationId xmlns:a16="http://schemas.microsoft.com/office/drawing/2014/main" id="{D015D3FD-163B-739F-4A9D-AA1F6F5091BF}"/>
            </a:ext>
          </a:extLst>
        </xdr:cNvPr>
        <xdr:cNvCxnSpPr/>
      </xdr:nvCxnSpPr>
      <xdr:spPr>
        <a:xfrm>
          <a:off x="12944475" y="6991350"/>
          <a:ext cx="4891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8193" name="10">
          <a:extLst>
            <a:ext uri="{FF2B5EF4-FFF2-40B4-BE49-F238E27FC236}">
              <a16:creationId xmlns:a16="http://schemas.microsoft.com/office/drawing/2014/main" id="{C2F92501-3260-D988-45FD-332B0BEF28C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8194" name="직선 화살표 연결선 48193">
          <a:extLst>
            <a:ext uri="{FF2B5EF4-FFF2-40B4-BE49-F238E27FC236}">
              <a16:creationId xmlns:a16="http://schemas.microsoft.com/office/drawing/2014/main" id="{060C8604-73C5-03D3-730A-F6A6114B04D7}"/>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8195" name="9">
          <a:extLst>
            <a:ext uri="{FF2B5EF4-FFF2-40B4-BE49-F238E27FC236}">
              <a16:creationId xmlns:a16="http://schemas.microsoft.com/office/drawing/2014/main" id="{7D19EBE2-E0C6-A1B0-89EA-57FF34B55142}"/>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8196" name="직선 화살표 연결선 48195">
          <a:extLst>
            <a:ext uri="{FF2B5EF4-FFF2-40B4-BE49-F238E27FC236}">
              <a16:creationId xmlns:a16="http://schemas.microsoft.com/office/drawing/2014/main" id="{1E2FEF0E-1388-E973-BE17-4921E8A60584}"/>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8197" name="8">
          <a:extLst>
            <a:ext uri="{FF2B5EF4-FFF2-40B4-BE49-F238E27FC236}">
              <a16:creationId xmlns:a16="http://schemas.microsoft.com/office/drawing/2014/main" id="{79D11ACE-3C2E-9C9E-3533-227A5CE0C1B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8198" name="직선 화살표 연결선 48197">
          <a:extLst>
            <a:ext uri="{FF2B5EF4-FFF2-40B4-BE49-F238E27FC236}">
              <a16:creationId xmlns:a16="http://schemas.microsoft.com/office/drawing/2014/main" id="{36D8688C-8A34-5A3C-9363-25F99672259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8199" name="7">
          <a:extLst>
            <a:ext uri="{FF2B5EF4-FFF2-40B4-BE49-F238E27FC236}">
              <a16:creationId xmlns:a16="http://schemas.microsoft.com/office/drawing/2014/main" id="{92D3EA42-9A92-F545-3CD7-52A61DA8EA9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8200" name="6">
          <a:extLst>
            <a:ext uri="{FF2B5EF4-FFF2-40B4-BE49-F238E27FC236}">
              <a16:creationId xmlns:a16="http://schemas.microsoft.com/office/drawing/2014/main" id="{6ACA502E-E89A-3ADB-7A00-B02626075146}"/>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8201" name="직선 화살표 연결선 48200">
          <a:extLst>
            <a:ext uri="{FF2B5EF4-FFF2-40B4-BE49-F238E27FC236}">
              <a16:creationId xmlns:a16="http://schemas.microsoft.com/office/drawing/2014/main" id="{9BB568A6-4A8C-3D7A-4E47-932093AB041A}"/>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8202" name="5">
          <a:extLst>
            <a:ext uri="{FF2B5EF4-FFF2-40B4-BE49-F238E27FC236}">
              <a16:creationId xmlns:a16="http://schemas.microsoft.com/office/drawing/2014/main" id="{63F15426-C21D-B805-B3CF-A6B8E7C08CA4}"/>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8203" name="직선 화살표 연결선 48202">
          <a:extLst>
            <a:ext uri="{FF2B5EF4-FFF2-40B4-BE49-F238E27FC236}">
              <a16:creationId xmlns:a16="http://schemas.microsoft.com/office/drawing/2014/main" id="{E943AE44-4654-38AC-57FC-3FD80D9A42E3}"/>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8204" name="4">
          <a:extLst>
            <a:ext uri="{FF2B5EF4-FFF2-40B4-BE49-F238E27FC236}">
              <a16:creationId xmlns:a16="http://schemas.microsoft.com/office/drawing/2014/main" id="{81E354C7-F573-8CC7-6658-C5ECC1B1E39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8205" name="직선 화살표 연결선 48204">
          <a:extLst>
            <a:ext uri="{FF2B5EF4-FFF2-40B4-BE49-F238E27FC236}">
              <a16:creationId xmlns:a16="http://schemas.microsoft.com/office/drawing/2014/main" id="{D44D3BFE-A6BB-338D-A8AB-0B4887E45567}"/>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8206" name="3">
          <a:extLst>
            <a:ext uri="{FF2B5EF4-FFF2-40B4-BE49-F238E27FC236}">
              <a16:creationId xmlns:a16="http://schemas.microsoft.com/office/drawing/2014/main" id="{9CD62DF3-3478-B109-6908-5C02964FF9D9}"/>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8207" name="직선 화살표 연결선 48206">
          <a:extLst>
            <a:ext uri="{FF2B5EF4-FFF2-40B4-BE49-F238E27FC236}">
              <a16:creationId xmlns:a16="http://schemas.microsoft.com/office/drawing/2014/main" id="{BFC3B32F-E912-7EFD-5AF8-694C47546490}"/>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8208" name="2">
          <a:extLst>
            <a:ext uri="{FF2B5EF4-FFF2-40B4-BE49-F238E27FC236}">
              <a16:creationId xmlns:a16="http://schemas.microsoft.com/office/drawing/2014/main" id="{10C62C2F-6737-D350-21D6-92D27D16F850}"/>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8209" name="직선 화살표 연결선 48208">
          <a:extLst>
            <a:ext uri="{FF2B5EF4-FFF2-40B4-BE49-F238E27FC236}">
              <a16:creationId xmlns:a16="http://schemas.microsoft.com/office/drawing/2014/main" id="{1016372D-153E-CA89-8C42-E12692F4882C}"/>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8210" name="1">
          <a:extLst>
            <a:ext uri="{FF2B5EF4-FFF2-40B4-BE49-F238E27FC236}">
              <a16:creationId xmlns:a16="http://schemas.microsoft.com/office/drawing/2014/main" id="{6DFDD772-2789-5BC3-584B-12BCDDB9809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8211" name="직선 화살표 연결선 48210">
          <a:extLst>
            <a:ext uri="{FF2B5EF4-FFF2-40B4-BE49-F238E27FC236}">
              <a16:creationId xmlns:a16="http://schemas.microsoft.com/office/drawing/2014/main" id="{14032C8A-9DF5-4B6C-7CF4-C5971D3009A6}"/>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8567" name="44">
          <a:extLst>
            <a:ext uri="{FF2B5EF4-FFF2-40B4-BE49-F238E27FC236}">
              <a16:creationId xmlns:a16="http://schemas.microsoft.com/office/drawing/2014/main" id="{F773E97D-0B63-A680-9C14-F100C209099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8568" name="직선 화살표 연결선 48567">
          <a:extLst>
            <a:ext uri="{FF2B5EF4-FFF2-40B4-BE49-F238E27FC236}">
              <a16:creationId xmlns:a16="http://schemas.microsoft.com/office/drawing/2014/main" id="{6487E6A4-0567-B548-A1DC-12DB55C484A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8569" name="43">
          <a:extLst>
            <a:ext uri="{FF2B5EF4-FFF2-40B4-BE49-F238E27FC236}">
              <a16:creationId xmlns:a16="http://schemas.microsoft.com/office/drawing/2014/main" id="{3B1E799A-83FE-41EC-6A2F-4A211383325B}"/>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8570" name="직선 화살표 연결선 48569">
          <a:extLst>
            <a:ext uri="{FF2B5EF4-FFF2-40B4-BE49-F238E27FC236}">
              <a16:creationId xmlns:a16="http://schemas.microsoft.com/office/drawing/2014/main" id="{F99CCB45-B8D3-1415-6C07-96D2D664D02B}"/>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8571" name="42">
          <a:extLst>
            <a:ext uri="{FF2B5EF4-FFF2-40B4-BE49-F238E27FC236}">
              <a16:creationId xmlns:a16="http://schemas.microsoft.com/office/drawing/2014/main" id="{FF693F12-013F-3D73-FA28-68FA267663C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8572" name="직선 화살표 연결선 48571">
          <a:extLst>
            <a:ext uri="{FF2B5EF4-FFF2-40B4-BE49-F238E27FC236}">
              <a16:creationId xmlns:a16="http://schemas.microsoft.com/office/drawing/2014/main" id="{EC493BF9-64A8-CACD-5E16-E156314BF36D}"/>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8573" name="41">
          <a:extLst>
            <a:ext uri="{FF2B5EF4-FFF2-40B4-BE49-F238E27FC236}">
              <a16:creationId xmlns:a16="http://schemas.microsoft.com/office/drawing/2014/main" id="{0E3D0B49-D5C0-AC4F-C67F-89CCDCAD41C4}"/>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8574" name="직선 화살표 연결선 48573">
          <a:extLst>
            <a:ext uri="{FF2B5EF4-FFF2-40B4-BE49-F238E27FC236}">
              <a16:creationId xmlns:a16="http://schemas.microsoft.com/office/drawing/2014/main" id="{158C9CDB-52DD-F594-342C-7C690B35AF44}"/>
            </a:ext>
          </a:extLst>
        </xdr:cNvPr>
        <xdr:cNvCxnSpPr/>
      </xdr:nvCxnSpPr>
      <xdr:spPr>
        <a:xfrm>
          <a:off x="12944475" y="6991350"/>
          <a:ext cx="4891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8634" name="10">
          <a:extLst>
            <a:ext uri="{FF2B5EF4-FFF2-40B4-BE49-F238E27FC236}">
              <a16:creationId xmlns:a16="http://schemas.microsoft.com/office/drawing/2014/main" id="{F871FB14-BFDD-52A5-368C-A7F6AD4741E1}"/>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8635" name="직선 화살표 연결선 48634">
          <a:extLst>
            <a:ext uri="{FF2B5EF4-FFF2-40B4-BE49-F238E27FC236}">
              <a16:creationId xmlns:a16="http://schemas.microsoft.com/office/drawing/2014/main" id="{84EF5F6F-CDF3-0B6C-2CF6-84317ED7AD8F}"/>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8636" name="9">
          <a:extLst>
            <a:ext uri="{FF2B5EF4-FFF2-40B4-BE49-F238E27FC236}">
              <a16:creationId xmlns:a16="http://schemas.microsoft.com/office/drawing/2014/main" id="{4F082673-6E16-B072-56E3-052D0141C16C}"/>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8637" name="직선 화살표 연결선 48636">
          <a:extLst>
            <a:ext uri="{FF2B5EF4-FFF2-40B4-BE49-F238E27FC236}">
              <a16:creationId xmlns:a16="http://schemas.microsoft.com/office/drawing/2014/main" id="{6441466A-3B7E-F183-0000-B90EA0E6B1DD}"/>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8638" name="8">
          <a:extLst>
            <a:ext uri="{FF2B5EF4-FFF2-40B4-BE49-F238E27FC236}">
              <a16:creationId xmlns:a16="http://schemas.microsoft.com/office/drawing/2014/main" id="{1F2802EF-3CEC-3E2D-40D9-9C4CF0CDCF76}"/>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8639" name="직선 화살표 연결선 48638">
          <a:extLst>
            <a:ext uri="{FF2B5EF4-FFF2-40B4-BE49-F238E27FC236}">
              <a16:creationId xmlns:a16="http://schemas.microsoft.com/office/drawing/2014/main" id="{B3CA54A6-3500-1814-221D-D7FD1A75862C}"/>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8640" name="7">
          <a:extLst>
            <a:ext uri="{FF2B5EF4-FFF2-40B4-BE49-F238E27FC236}">
              <a16:creationId xmlns:a16="http://schemas.microsoft.com/office/drawing/2014/main" id="{7A057622-7C10-15AD-71F0-8F9C1B885DF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8641" name="6">
          <a:extLst>
            <a:ext uri="{FF2B5EF4-FFF2-40B4-BE49-F238E27FC236}">
              <a16:creationId xmlns:a16="http://schemas.microsoft.com/office/drawing/2014/main" id="{9AEB6FFC-AACE-05FF-294F-B43C9B01D3D7}"/>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8642" name="직선 화살표 연결선 48641">
          <a:extLst>
            <a:ext uri="{FF2B5EF4-FFF2-40B4-BE49-F238E27FC236}">
              <a16:creationId xmlns:a16="http://schemas.microsoft.com/office/drawing/2014/main" id="{7CB86072-43B9-30B2-FDB3-257720DFE8DA}"/>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8643" name="5">
          <a:extLst>
            <a:ext uri="{FF2B5EF4-FFF2-40B4-BE49-F238E27FC236}">
              <a16:creationId xmlns:a16="http://schemas.microsoft.com/office/drawing/2014/main" id="{BD920C33-7987-BCCB-96F5-B7AABE0B5162}"/>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8644" name="직선 화살표 연결선 48643">
          <a:extLst>
            <a:ext uri="{FF2B5EF4-FFF2-40B4-BE49-F238E27FC236}">
              <a16:creationId xmlns:a16="http://schemas.microsoft.com/office/drawing/2014/main" id="{818F77BD-B504-A49B-CCEF-4DF7D1E530E4}"/>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8645" name="4">
          <a:extLst>
            <a:ext uri="{FF2B5EF4-FFF2-40B4-BE49-F238E27FC236}">
              <a16:creationId xmlns:a16="http://schemas.microsoft.com/office/drawing/2014/main" id="{330A5833-93E6-EBF6-4135-CD676D3B0AA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8646" name="직선 화살표 연결선 48645">
          <a:extLst>
            <a:ext uri="{FF2B5EF4-FFF2-40B4-BE49-F238E27FC236}">
              <a16:creationId xmlns:a16="http://schemas.microsoft.com/office/drawing/2014/main" id="{95755ED3-BB7B-7C55-31FD-A8E3BBAF0CA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8647" name="3">
          <a:extLst>
            <a:ext uri="{FF2B5EF4-FFF2-40B4-BE49-F238E27FC236}">
              <a16:creationId xmlns:a16="http://schemas.microsoft.com/office/drawing/2014/main" id="{3CB2489B-E207-03A8-92E4-B50F2E1AD046}"/>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8648" name="직선 화살표 연결선 48647">
          <a:extLst>
            <a:ext uri="{FF2B5EF4-FFF2-40B4-BE49-F238E27FC236}">
              <a16:creationId xmlns:a16="http://schemas.microsoft.com/office/drawing/2014/main" id="{606E8A53-0CD8-BB11-CFF8-418C033C6D78}"/>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8649" name="2">
          <a:extLst>
            <a:ext uri="{FF2B5EF4-FFF2-40B4-BE49-F238E27FC236}">
              <a16:creationId xmlns:a16="http://schemas.microsoft.com/office/drawing/2014/main" id="{03E2E978-D9D5-ADD8-1F92-5B679E90F700}"/>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8650" name="직선 화살표 연결선 48649">
          <a:extLst>
            <a:ext uri="{FF2B5EF4-FFF2-40B4-BE49-F238E27FC236}">
              <a16:creationId xmlns:a16="http://schemas.microsoft.com/office/drawing/2014/main" id="{6772DBB7-B124-9B85-0A36-A83EE8DF217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8651" name="1">
          <a:extLst>
            <a:ext uri="{FF2B5EF4-FFF2-40B4-BE49-F238E27FC236}">
              <a16:creationId xmlns:a16="http://schemas.microsoft.com/office/drawing/2014/main" id="{656D5D3C-7FC6-D2F7-8D8E-33FFAB2A18B6}"/>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8652" name="직선 화살표 연결선 48651">
          <a:extLst>
            <a:ext uri="{FF2B5EF4-FFF2-40B4-BE49-F238E27FC236}">
              <a16:creationId xmlns:a16="http://schemas.microsoft.com/office/drawing/2014/main" id="{A6C29980-34D3-ED83-D7CD-DB8F0E3ED08F}"/>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9006" name="44">
          <a:extLst>
            <a:ext uri="{FF2B5EF4-FFF2-40B4-BE49-F238E27FC236}">
              <a16:creationId xmlns:a16="http://schemas.microsoft.com/office/drawing/2014/main" id="{80B08C8B-F0EA-AD62-4F69-DAB555B9C463}"/>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9007" name="직선 화살표 연결선 49006">
          <a:extLst>
            <a:ext uri="{FF2B5EF4-FFF2-40B4-BE49-F238E27FC236}">
              <a16:creationId xmlns:a16="http://schemas.microsoft.com/office/drawing/2014/main" id="{E230F97C-04FA-3E75-7776-71B70608033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9008" name="43">
          <a:extLst>
            <a:ext uri="{FF2B5EF4-FFF2-40B4-BE49-F238E27FC236}">
              <a16:creationId xmlns:a16="http://schemas.microsoft.com/office/drawing/2014/main" id="{589AF2EA-D47B-0D2F-6B6A-A26D427AB03B}"/>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9009" name="직선 화살표 연결선 49008">
          <a:extLst>
            <a:ext uri="{FF2B5EF4-FFF2-40B4-BE49-F238E27FC236}">
              <a16:creationId xmlns:a16="http://schemas.microsoft.com/office/drawing/2014/main" id="{0D7081B5-E3C7-F8FE-C234-35AC5C5DF35D}"/>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9010" name="42">
          <a:extLst>
            <a:ext uri="{FF2B5EF4-FFF2-40B4-BE49-F238E27FC236}">
              <a16:creationId xmlns:a16="http://schemas.microsoft.com/office/drawing/2014/main" id="{0341D29A-7D86-080B-E86B-73868B41DC16}"/>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9011" name="직선 화살표 연결선 49010">
          <a:extLst>
            <a:ext uri="{FF2B5EF4-FFF2-40B4-BE49-F238E27FC236}">
              <a16:creationId xmlns:a16="http://schemas.microsoft.com/office/drawing/2014/main" id="{1614137D-1DC2-133F-2690-CAB420925434}"/>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9012" name="41">
          <a:extLst>
            <a:ext uri="{FF2B5EF4-FFF2-40B4-BE49-F238E27FC236}">
              <a16:creationId xmlns:a16="http://schemas.microsoft.com/office/drawing/2014/main" id="{D41C6696-5F42-7085-ADD7-91BA8F514FA0}"/>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9013" name="직선 화살표 연결선 49012">
          <a:extLst>
            <a:ext uri="{FF2B5EF4-FFF2-40B4-BE49-F238E27FC236}">
              <a16:creationId xmlns:a16="http://schemas.microsoft.com/office/drawing/2014/main" id="{F2A33DCD-AC4D-3160-EE8F-08C91E785894}"/>
            </a:ext>
          </a:extLst>
        </xdr:cNvPr>
        <xdr:cNvCxnSpPr/>
      </xdr:nvCxnSpPr>
      <xdr:spPr>
        <a:xfrm>
          <a:off x="12944475" y="6991350"/>
          <a:ext cx="4926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9073" name="10">
          <a:extLst>
            <a:ext uri="{FF2B5EF4-FFF2-40B4-BE49-F238E27FC236}">
              <a16:creationId xmlns:a16="http://schemas.microsoft.com/office/drawing/2014/main" id="{F72A807D-4566-A623-812F-36601EB3FD71}"/>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9074" name="직선 화살표 연결선 49073">
          <a:extLst>
            <a:ext uri="{FF2B5EF4-FFF2-40B4-BE49-F238E27FC236}">
              <a16:creationId xmlns:a16="http://schemas.microsoft.com/office/drawing/2014/main" id="{938724BA-FB9E-1598-EC5F-8A2880B79252}"/>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9075" name="9">
          <a:extLst>
            <a:ext uri="{FF2B5EF4-FFF2-40B4-BE49-F238E27FC236}">
              <a16:creationId xmlns:a16="http://schemas.microsoft.com/office/drawing/2014/main" id="{817401F6-AD42-488A-06E2-FD6C9E6313D2}"/>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9076" name="직선 화살표 연결선 49075">
          <a:extLst>
            <a:ext uri="{FF2B5EF4-FFF2-40B4-BE49-F238E27FC236}">
              <a16:creationId xmlns:a16="http://schemas.microsoft.com/office/drawing/2014/main" id="{A735105B-14FC-97C6-259A-CA072A8B2414}"/>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9077" name="8">
          <a:extLst>
            <a:ext uri="{FF2B5EF4-FFF2-40B4-BE49-F238E27FC236}">
              <a16:creationId xmlns:a16="http://schemas.microsoft.com/office/drawing/2014/main" id="{29CDF2A4-E4F6-D94E-5657-B428E3470C1B}"/>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9078" name="직선 화살표 연결선 49077">
          <a:extLst>
            <a:ext uri="{FF2B5EF4-FFF2-40B4-BE49-F238E27FC236}">
              <a16:creationId xmlns:a16="http://schemas.microsoft.com/office/drawing/2014/main" id="{2EC2B52A-CAB8-BC01-0447-EA85B04AF55E}"/>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9079" name="7">
          <a:extLst>
            <a:ext uri="{FF2B5EF4-FFF2-40B4-BE49-F238E27FC236}">
              <a16:creationId xmlns:a16="http://schemas.microsoft.com/office/drawing/2014/main" id="{D749061A-6A80-D411-8C0A-1769A57D422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9080" name="6">
          <a:extLst>
            <a:ext uri="{FF2B5EF4-FFF2-40B4-BE49-F238E27FC236}">
              <a16:creationId xmlns:a16="http://schemas.microsoft.com/office/drawing/2014/main" id="{72E2349C-7F06-FB34-73F2-3BB0A713A8EC}"/>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9081" name="직선 화살표 연결선 49080">
          <a:extLst>
            <a:ext uri="{FF2B5EF4-FFF2-40B4-BE49-F238E27FC236}">
              <a16:creationId xmlns:a16="http://schemas.microsoft.com/office/drawing/2014/main" id="{C7F2478C-810E-F907-5510-BD62217EB306}"/>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9082" name="5">
          <a:extLst>
            <a:ext uri="{FF2B5EF4-FFF2-40B4-BE49-F238E27FC236}">
              <a16:creationId xmlns:a16="http://schemas.microsoft.com/office/drawing/2014/main" id="{072B981B-C916-7171-3CB8-29B8E0DA464B}"/>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9083" name="직선 화살표 연결선 49082">
          <a:extLst>
            <a:ext uri="{FF2B5EF4-FFF2-40B4-BE49-F238E27FC236}">
              <a16:creationId xmlns:a16="http://schemas.microsoft.com/office/drawing/2014/main" id="{C2BD2736-62A1-09A6-179B-F82BD175505B}"/>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9084" name="4">
          <a:extLst>
            <a:ext uri="{FF2B5EF4-FFF2-40B4-BE49-F238E27FC236}">
              <a16:creationId xmlns:a16="http://schemas.microsoft.com/office/drawing/2014/main" id="{83FE8C29-BE93-1168-9BF4-CE7BD4FA1A4D}"/>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9085" name="직선 화살표 연결선 49084">
          <a:extLst>
            <a:ext uri="{FF2B5EF4-FFF2-40B4-BE49-F238E27FC236}">
              <a16:creationId xmlns:a16="http://schemas.microsoft.com/office/drawing/2014/main" id="{16ED8F5A-A1D8-5CB0-31B7-68A0B6215B9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9086" name="3">
          <a:extLst>
            <a:ext uri="{FF2B5EF4-FFF2-40B4-BE49-F238E27FC236}">
              <a16:creationId xmlns:a16="http://schemas.microsoft.com/office/drawing/2014/main" id="{BE8CDC6B-D56D-9FF5-F602-606E092F119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9087" name="직선 화살표 연결선 49086">
          <a:extLst>
            <a:ext uri="{FF2B5EF4-FFF2-40B4-BE49-F238E27FC236}">
              <a16:creationId xmlns:a16="http://schemas.microsoft.com/office/drawing/2014/main" id="{ED7F60C2-90D1-D3AF-6763-FBC6F5626266}"/>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9088" name="2">
          <a:extLst>
            <a:ext uri="{FF2B5EF4-FFF2-40B4-BE49-F238E27FC236}">
              <a16:creationId xmlns:a16="http://schemas.microsoft.com/office/drawing/2014/main" id="{B9439A5C-1052-F1CC-BA85-D8A0E1E4945F}"/>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9089" name="직선 화살표 연결선 49088">
          <a:extLst>
            <a:ext uri="{FF2B5EF4-FFF2-40B4-BE49-F238E27FC236}">
              <a16:creationId xmlns:a16="http://schemas.microsoft.com/office/drawing/2014/main" id="{F62A278B-CDB3-70B7-8743-19C85B3AD55D}"/>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9090" name="1">
          <a:extLst>
            <a:ext uri="{FF2B5EF4-FFF2-40B4-BE49-F238E27FC236}">
              <a16:creationId xmlns:a16="http://schemas.microsoft.com/office/drawing/2014/main" id="{495CB994-B06C-D8EB-FD7B-3A717F09FBB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9091" name="직선 화살표 연결선 49090">
          <a:extLst>
            <a:ext uri="{FF2B5EF4-FFF2-40B4-BE49-F238E27FC236}">
              <a16:creationId xmlns:a16="http://schemas.microsoft.com/office/drawing/2014/main" id="{5A8FB00E-3FCA-0DBB-4DF5-1A463FD84406}"/>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9443" name="44">
          <a:extLst>
            <a:ext uri="{FF2B5EF4-FFF2-40B4-BE49-F238E27FC236}">
              <a16:creationId xmlns:a16="http://schemas.microsoft.com/office/drawing/2014/main" id="{0EB0AF77-115C-A1D0-0D76-6CA16D194E9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9444" name="직선 화살표 연결선 49443">
          <a:extLst>
            <a:ext uri="{FF2B5EF4-FFF2-40B4-BE49-F238E27FC236}">
              <a16:creationId xmlns:a16="http://schemas.microsoft.com/office/drawing/2014/main" id="{DA43B07E-40C6-2692-4055-193CBD687337}"/>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9445" name="43">
          <a:extLst>
            <a:ext uri="{FF2B5EF4-FFF2-40B4-BE49-F238E27FC236}">
              <a16:creationId xmlns:a16="http://schemas.microsoft.com/office/drawing/2014/main" id="{14BF0C5B-A4D7-4ABB-6D0E-56D25551C850}"/>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9446" name="직선 화살표 연결선 49445">
          <a:extLst>
            <a:ext uri="{FF2B5EF4-FFF2-40B4-BE49-F238E27FC236}">
              <a16:creationId xmlns:a16="http://schemas.microsoft.com/office/drawing/2014/main" id="{3EBD0EA0-7FFF-BBB6-83DE-35AA8AC91FF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9447" name="42">
          <a:extLst>
            <a:ext uri="{FF2B5EF4-FFF2-40B4-BE49-F238E27FC236}">
              <a16:creationId xmlns:a16="http://schemas.microsoft.com/office/drawing/2014/main" id="{23E8BA61-6B60-B9BA-102A-C32498D0E246}"/>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9448" name="직선 화살표 연결선 49447">
          <a:extLst>
            <a:ext uri="{FF2B5EF4-FFF2-40B4-BE49-F238E27FC236}">
              <a16:creationId xmlns:a16="http://schemas.microsoft.com/office/drawing/2014/main" id="{6E118485-9F4F-E3D0-0E8F-1DA07E43F7C5}"/>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9449" name="41">
          <a:extLst>
            <a:ext uri="{FF2B5EF4-FFF2-40B4-BE49-F238E27FC236}">
              <a16:creationId xmlns:a16="http://schemas.microsoft.com/office/drawing/2014/main" id="{760593AD-7343-3A23-683D-923497B2B17A}"/>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9450" name="직선 화살표 연결선 49449">
          <a:extLst>
            <a:ext uri="{FF2B5EF4-FFF2-40B4-BE49-F238E27FC236}">
              <a16:creationId xmlns:a16="http://schemas.microsoft.com/office/drawing/2014/main" id="{69518E11-2E1A-0DD3-242A-F41A71FC4B31}"/>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9510" name="10">
          <a:extLst>
            <a:ext uri="{FF2B5EF4-FFF2-40B4-BE49-F238E27FC236}">
              <a16:creationId xmlns:a16="http://schemas.microsoft.com/office/drawing/2014/main" id="{D5BE13D8-8E14-1EC4-131B-5C4E5AE27C83}"/>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9511" name="직선 화살표 연결선 49510">
          <a:extLst>
            <a:ext uri="{FF2B5EF4-FFF2-40B4-BE49-F238E27FC236}">
              <a16:creationId xmlns:a16="http://schemas.microsoft.com/office/drawing/2014/main" id="{FB32705A-1032-A349-496F-2B8936BD5B2C}"/>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9512" name="9">
          <a:extLst>
            <a:ext uri="{FF2B5EF4-FFF2-40B4-BE49-F238E27FC236}">
              <a16:creationId xmlns:a16="http://schemas.microsoft.com/office/drawing/2014/main" id="{BBB61C1B-3406-E4EC-A0B9-7AB16C1F9087}"/>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9513" name="직선 화살표 연결선 49512">
          <a:extLst>
            <a:ext uri="{FF2B5EF4-FFF2-40B4-BE49-F238E27FC236}">
              <a16:creationId xmlns:a16="http://schemas.microsoft.com/office/drawing/2014/main" id="{0D59C721-B3D7-C3B6-F210-1EA03FA508D3}"/>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9514" name="8">
          <a:extLst>
            <a:ext uri="{FF2B5EF4-FFF2-40B4-BE49-F238E27FC236}">
              <a16:creationId xmlns:a16="http://schemas.microsoft.com/office/drawing/2014/main" id="{EF967C44-CF55-BE13-159B-19EA0B57AC9B}"/>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9515" name="직선 화살표 연결선 49514">
          <a:extLst>
            <a:ext uri="{FF2B5EF4-FFF2-40B4-BE49-F238E27FC236}">
              <a16:creationId xmlns:a16="http://schemas.microsoft.com/office/drawing/2014/main" id="{25D66F6D-4487-3042-308D-13B821B9760F}"/>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9516" name="7">
          <a:extLst>
            <a:ext uri="{FF2B5EF4-FFF2-40B4-BE49-F238E27FC236}">
              <a16:creationId xmlns:a16="http://schemas.microsoft.com/office/drawing/2014/main" id="{C4888B45-E607-A091-0D5D-B4964332B7F3}"/>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9517" name="6">
          <a:extLst>
            <a:ext uri="{FF2B5EF4-FFF2-40B4-BE49-F238E27FC236}">
              <a16:creationId xmlns:a16="http://schemas.microsoft.com/office/drawing/2014/main" id="{E92FE749-2F0A-9EDE-9B63-892086BEC7FC}"/>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9518" name="직선 화살표 연결선 49517">
          <a:extLst>
            <a:ext uri="{FF2B5EF4-FFF2-40B4-BE49-F238E27FC236}">
              <a16:creationId xmlns:a16="http://schemas.microsoft.com/office/drawing/2014/main" id="{3FB5A0C0-D6C5-E405-55CE-50A106958A2C}"/>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9519" name="5">
          <a:extLst>
            <a:ext uri="{FF2B5EF4-FFF2-40B4-BE49-F238E27FC236}">
              <a16:creationId xmlns:a16="http://schemas.microsoft.com/office/drawing/2014/main" id="{48485824-3BDE-3E96-8C10-72948D7A071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9520" name="직선 화살표 연결선 49519">
          <a:extLst>
            <a:ext uri="{FF2B5EF4-FFF2-40B4-BE49-F238E27FC236}">
              <a16:creationId xmlns:a16="http://schemas.microsoft.com/office/drawing/2014/main" id="{408F635F-C669-3E34-F070-786A35D1E417}"/>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9521" name="4">
          <a:extLst>
            <a:ext uri="{FF2B5EF4-FFF2-40B4-BE49-F238E27FC236}">
              <a16:creationId xmlns:a16="http://schemas.microsoft.com/office/drawing/2014/main" id="{ADB50509-6BE7-A3D0-5516-54A649D51671}"/>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9522" name="직선 화살표 연결선 49521">
          <a:extLst>
            <a:ext uri="{FF2B5EF4-FFF2-40B4-BE49-F238E27FC236}">
              <a16:creationId xmlns:a16="http://schemas.microsoft.com/office/drawing/2014/main" id="{46E79C79-AC3C-BC6B-800B-7501EF89D4E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9523" name="3">
          <a:extLst>
            <a:ext uri="{FF2B5EF4-FFF2-40B4-BE49-F238E27FC236}">
              <a16:creationId xmlns:a16="http://schemas.microsoft.com/office/drawing/2014/main" id="{66F88D66-FDFA-10A8-0DA7-1D67594E5CF0}"/>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9524" name="직선 화살표 연결선 49523">
          <a:extLst>
            <a:ext uri="{FF2B5EF4-FFF2-40B4-BE49-F238E27FC236}">
              <a16:creationId xmlns:a16="http://schemas.microsoft.com/office/drawing/2014/main" id="{44CADCF4-F49A-2080-26AA-0AF8DD179975}"/>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9525" name="2">
          <a:extLst>
            <a:ext uri="{FF2B5EF4-FFF2-40B4-BE49-F238E27FC236}">
              <a16:creationId xmlns:a16="http://schemas.microsoft.com/office/drawing/2014/main" id="{A881865D-92F5-B256-49D3-2A69108F8DF0}"/>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9526" name="직선 화살표 연결선 49525">
          <a:extLst>
            <a:ext uri="{FF2B5EF4-FFF2-40B4-BE49-F238E27FC236}">
              <a16:creationId xmlns:a16="http://schemas.microsoft.com/office/drawing/2014/main" id="{F5831F4F-4CC1-5AAC-6170-A2EC3FF6BD62}"/>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9527" name="1">
          <a:extLst>
            <a:ext uri="{FF2B5EF4-FFF2-40B4-BE49-F238E27FC236}">
              <a16:creationId xmlns:a16="http://schemas.microsoft.com/office/drawing/2014/main" id="{1D130F7A-13A1-D220-D5BC-A4FFB2F3D60A}"/>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9528" name="직선 화살표 연결선 49527">
          <a:extLst>
            <a:ext uri="{FF2B5EF4-FFF2-40B4-BE49-F238E27FC236}">
              <a16:creationId xmlns:a16="http://schemas.microsoft.com/office/drawing/2014/main" id="{E8281077-FDFC-1434-3BFC-9B2F8AF2387A}"/>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49880" name="44">
          <a:extLst>
            <a:ext uri="{FF2B5EF4-FFF2-40B4-BE49-F238E27FC236}">
              <a16:creationId xmlns:a16="http://schemas.microsoft.com/office/drawing/2014/main" id="{BE7D009F-07A0-EE27-C7ED-4F3DAB36DA9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49881" name="직선 화살표 연결선 49880">
          <a:extLst>
            <a:ext uri="{FF2B5EF4-FFF2-40B4-BE49-F238E27FC236}">
              <a16:creationId xmlns:a16="http://schemas.microsoft.com/office/drawing/2014/main" id="{6AC9D3D4-FEE6-3F88-66C6-76711D59F439}"/>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49882" name="43">
          <a:extLst>
            <a:ext uri="{FF2B5EF4-FFF2-40B4-BE49-F238E27FC236}">
              <a16:creationId xmlns:a16="http://schemas.microsoft.com/office/drawing/2014/main" id="{C96294D4-5AC4-0B6D-E6AA-E6C5903ECEA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49883" name="직선 화살표 연결선 49882">
          <a:extLst>
            <a:ext uri="{FF2B5EF4-FFF2-40B4-BE49-F238E27FC236}">
              <a16:creationId xmlns:a16="http://schemas.microsoft.com/office/drawing/2014/main" id="{118C4FAF-A856-B47E-27C8-62441DFF7B93}"/>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49884" name="42">
          <a:extLst>
            <a:ext uri="{FF2B5EF4-FFF2-40B4-BE49-F238E27FC236}">
              <a16:creationId xmlns:a16="http://schemas.microsoft.com/office/drawing/2014/main" id="{59BBB19D-FB3E-6A17-717C-43A20460C30F}"/>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49885" name="직선 화살표 연결선 49884">
          <a:extLst>
            <a:ext uri="{FF2B5EF4-FFF2-40B4-BE49-F238E27FC236}">
              <a16:creationId xmlns:a16="http://schemas.microsoft.com/office/drawing/2014/main" id="{A3DAADB7-D222-7A0B-085C-1F655FAE679D}"/>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49886" name="41">
          <a:extLst>
            <a:ext uri="{FF2B5EF4-FFF2-40B4-BE49-F238E27FC236}">
              <a16:creationId xmlns:a16="http://schemas.microsoft.com/office/drawing/2014/main" id="{0D2C35E7-C995-4DD8-4AE8-65DAD474516E}"/>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49887" name="직선 화살표 연결선 49886">
          <a:extLst>
            <a:ext uri="{FF2B5EF4-FFF2-40B4-BE49-F238E27FC236}">
              <a16:creationId xmlns:a16="http://schemas.microsoft.com/office/drawing/2014/main" id="{F01F7535-5410-0C4C-FA03-3DF8597F9BAB}"/>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49947" name="10">
          <a:extLst>
            <a:ext uri="{FF2B5EF4-FFF2-40B4-BE49-F238E27FC236}">
              <a16:creationId xmlns:a16="http://schemas.microsoft.com/office/drawing/2014/main" id="{C47A15E2-DC6F-8786-6538-AD1748395805}"/>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49948" name="직선 화살표 연결선 49947">
          <a:extLst>
            <a:ext uri="{FF2B5EF4-FFF2-40B4-BE49-F238E27FC236}">
              <a16:creationId xmlns:a16="http://schemas.microsoft.com/office/drawing/2014/main" id="{1B3CC6D6-3635-304A-C29B-9336EC786E25}"/>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49949" name="9">
          <a:extLst>
            <a:ext uri="{FF2B5EF4-FFF2-40B4-BE49-F238E27FC236}">
              <a16:creationId xmlns:a16="http://schemas.microsoft.com/office/drawing/2014/main" id="{71752009-29B5-96D5-DC54-3F44280600C9}"/>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49950" name="직선 화살표 연결선 49949">
          <a:extLst>
            <a:ext uri="{FF2B5EF4-FFF2-40B4-BE49-F238E27FC236}">
              <a16:creationId xmlns:a16="http://schemas.microsoft.com/office/drawing/2014/main" id="{832D0E83-1F9E-96B2-F5F0-B24A2ABEF821}"/>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49951" name="8">
          <a:extLst>
            <a:ext uri="{FF2B5EF4-FFF2-40B4-BE49-F238E27FC236}">
              <a16:creationId xmlns:a16="http://schemas.microsoft.com/office/drawing/2014/main" id="{92E3DC1C-41F2-32F2-6894-101C2F4DBFEF}"/>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49952" name="직선 화살표 연결선 49951">
          <a:extLst>
            <a:ext uri="{FF2B5EF4-FFF2-40B4-BE49-F238E27FC236}">
              <a16:creationId xmlns:a16="http://schemas.microsoft.com/office/drawing/2014/main" id="{2B3C1526-6434-A58D-7073-1F750096C85A}"/>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49953" name="7">
          <a:extLst>
            <a:ext uri="{FF2B5EF4-FFF2-40B4-BE49-F238E27FC236}">
              <a16:creationId xmlns:a16="http://schemas.microsoft.com/office/drawing/2014/main" id="{ACB323E8-507C-2AEE-0EA5-B0BC9762F507}"/>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49954" name="6">
          <a:extLst>
            <a:ext uri="{FF2B5EF4-FFF2-40B4-BE49-F238E27FC236}">
              <a16:creationId xmlns:a16="http://schemas.microsoft.com/office/drawing/2014/main" id="{CED6BBEF-B488-2D8B-EB7E-801310733323}"/>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49955" name="직선 화살표 연결선 49954">
          <a:extLst>
            <a:ext uri="{FF2B5EF4-FFF2-40B4-BE49-F238E27FC236}">
              <a16:creationId xmlns:a16="http://schemas.microsoft.com/office/drawing/2014/main" id="{58C6712A-537D-09F6-E5A0-45874E860DF7}"/>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49956" name="5">
          <a:extLst>
            <a:ext uri="{FF2B5EF4-FFF2-40B4-BE49-F238E27FC236}">
              <a16:creationId xmlns:a16="http://schemas.microsoft.com/office/drawing/2014/main" id="{3A8FE922-815B-B2E1-5679-6EDCBBEEB1AC}"/>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49957" name="직선 화살표 연결선 49956">
          <a:extLst>
            <a:ext uri="{FF2B5EF4-FFF2-40B4-BE49-F238E27FC236}">
              <a16:creationId xmlns:a16="http://schemas.microsoft.com/office/drawing/2014/main" id="{39E3FB46-D8A1-A3B0-B618-1DB634343A79}"/>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49958" name="4">
          <a:extLst>
            <a:ext uri="{FF2B5EF4-FFF2-40B4-BE49-F238E27FC236}">
              <a16:creationId xmlns:a16="http://schemas.microsoft.com/office/drawing/2014/main" id="{03D4F1E2-801C-5F1C-570D-C82AF114F53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49959" name="직선 화살표 연결선 49958">
          <a:extLst>
            <a:ext uri="{FF2B5EF4-FFF2-40B4-BE49-F238E27FC236}">
              <a16:creationId xmlns:a16="http://schemas.microsoft.com/office/drawing/2014/main" id="{F0B7DAF1-C335-4EF9-8409-65D0FA07C9D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49960" name="3">
          <a:extLst>
            <a:ext uri="{FF2B5EF4-FFF2-40B4-BE49-F238E27FC236}">
              <a16:creationId xmlns:a16="http://schemas.microsoft.com/office/drawing/2014/main" id="{75117509-CEA2-821B-163F-CC1D08FE6B49}"/>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49961" name="직선 화살표 연결선 49960">
          <a:extLst>
            <a:ext uri="{FF2B5EF4-FFF2-40B4-BE49-F238E27FC236}">
              <a16:creationId xmlns:a16="http://schemas.microsoft.com/office/drawing/2014/main" id="{0C24067B-72B9-3175-7298-8454F9CE0038}"/>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49962" name="2">
          <a:extLst>
            <a:ext uri="{FF2B5EF4-FFF2-40B4-BE49-F238E27FC236}">
              <a16:creationId xmlns:a16="http://schemas.microsoft.com/office/drawing/2014/main" id="{D6C7BC65-66C7-BF31-0998-8F6F21F18E09}"/>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49963" name="직선 화살표 연결선 49962">
          <a:extLst>
            <a:ext uri="{FF2B5EF4-FFF2-40B4-BE49-F238E27FC236}">
              <a16:creationId xmlns:a16="http://schemas.microsoft.com/office/drawing/2014/main" id="{47A66747-EDB7-7DC0-4591-FB6014D0A390}"/>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49964" name="1">
          <a:extLst>
            <a:ext uri="{FF2B5EF4-FFF2-40B4-BE49-F238E27FC236}">
              <a16:creationId xmlns:a16="http://schemas.microsoft.com/office/drawing/2014/main" id="{CE2E2787-FC7F-DC22-1A73-25F70C804243}"/>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49965" name="직선 화살표 연결선 49964">
          <a:extLst>
            <a:ext uri="{FF2B5EF4-FFF2-40B4-BE49-F238E27FC236}">
              <a16:creationId xmlns:a16="http://schemas.microsoft.com/office/drawing/2014/main" id="{D373BDF4-09C9-EDDE-784E-1F53028890EA}"/>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0317" name="44">
          <a:extLst>
            <a:ext uri="{FF2B5EF4-FFF2-40B4-BE49-F238E27FC236}">
              <a16:creationId xmlns:a16="http://schemas.microsoft.com/office/drawing/2014/main" id="{9F7737F2-67BE-2F81-C520-05CFDE593E1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0318" name="직선 화살표 연결선 50317">
          <a:extLst>
            <a:ext uri="{FF2B5EF4-FFF2-40B4-BE49-F238E27FC236}">
              <a16:creationId xmlns:a16="http://schemas.microsoft.com/office/drawing/2014/main" id="{F6EBF755-2D1E-A9D7-B53A-FEA9E8F500D7}"/>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0319" name="43">
          <a:extLst>
            <a:ext uri="{FF2B5EF4-FFF2-40B4-BE49-F238E27FC236}">
              <a16:creationId xmlns:a16="http://schemas.microsoft.com/office/drawing/2014/main" id="{73821542-D32D-28CD-2823-8139FFA4C8F9}"/>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0320" name="직선 화살표 연결선 50319">
          <a:extLst>
            <a:ext uri="{FF2B5EF4-FFF2-40B4-BE49-F238E27FC236}">
              <a16:creationId xmlns:a16="http://schemas.microsoft.com/office/drawing/2014/main" id="{C3EF429C-F24C-2061-2FAC-58DBB52E8DFD}"/>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0321" name="42">
          <a:extLst>
            <a:ext uri="{FF2B5EF4-FFF2-40B4-BE49-F238E27FC236}">
              <a16:creationId xmlns:a16="http://schemas.microsoft.com/office/drawing/2014/main" id="{1742D594-81A3-73B4-108F-80EA7680EB1B}"/>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0322" name="직선 화살표 연결선 50321">
          <a:extLst>
            <a:ext uri="{FF2B5EF4-FFF2-40B4-BE49-F238E27FC236}">
              <a16:creationId xmlns:a16="http://schemas.microsoft.com/office/drawing/2014/main" id="{5EE3E5DB-0B97-E0B3-9BDB-3E71377CC8D5}"/>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0323" name="41">
          <a:extLst>
            <a:ext uri="{FF2B5EF4-FFF2-40B4-BE49-F238E27FC236}">
              <a16:creationId xmlns:a16="http://schemas.microsoft.com/office/drawing/2014/main" id="{FECE4F8F-8F60-E59A-3CFA-A34458FF29A1}"/>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0324" name="직선 화살표 연결선 50323">
          <a:extLst>
            <a:ext uri="{FF2B5EF4-FFF2-40B4-BE49-F238E27FC236}">
              <a16:creationId xmlns:a16="http://schemas.microsoft.com/office/drawing/2014/main" id="{D0A2536C-BB51-DFBC-6AB1-A538013F63B8}"/>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0384" name="10">
          <a:extLst>
            <a:ext uri="{FF2B5EF4-FFF2-40B4-BE49-F238E27FC236}">
              <a16:creationId xmlns:a16="http://schemas.microsoft.com/office/drawing/2014/main" id="{37B0002D-5305-6E07-68AF-EC504B53E69F}"/>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0385" name="직선 화살표 연결선 50384">
          <a:extLst>
            <a:ext uri="{FF2B5EF4-FFF2-40B4-BE49-F238E27FC236}">
              <a16:creationId xmlns:a16="http://schemas.microsoft.com/office/drawing/2014/main" id="{8964E45B-EADC-0F27-4764-143E997AE90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0386" name="9">
          <a:extLst>
            <a:ext uri="{FF2B5EF4-FFF2-40B4-BE49-F238E27FC236}">
              <a16:creationId xmlns:a16="http://schemas.microsoft.com/office/drawing/2014/main" id="{63F03024-A569-A0FC-02E4-AB933D918D21}"/>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0387" name="직선 화살표 연결선 50386">
          <a:extLst>
            <a:ext uri="{FF2B5EF4-FFF2-40B4-BE49-F238E27FC236}">
              <a16:creationId xmlns:a16="http://schemas.microsoft.com/office/drawing/2014/main" id="{FDAFDFF8-0AA4-8657-89BD-AAD97528585C}"/>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0388" name="8">
          <a:extLst>
            <a:ext uri="{FF2B5EF4-FFF2-40B4-BE49-F238E27FC236}">
              <a16:creationId xmlns:a16="http://schemas.microsoft.com/office/drawing/2014/main" id="{79F107B9-744E-3B49-CCD8-30DAD728952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0389" name="직선 화살표 연결선 50388">
          <a:extLst>
            <a:ext uri="{FF2B5EF4-FFF2-40B4-BE49-F238E27FC236}">
              <a16:creationId xmlns:a16="http://schemas.microsoft.com/office/drawing/2014/main" id="{3C70AC63-9534-A4FB-C7A4-40A83111A03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0390" name="7">
          <a:extLst>
            <a:ext uri="{FF2B5EF4-FFF2-40B4-BE49-F238E27FC236}">
              <a16:creationId xmlns:a16="http://schemas.microsoft.com/office/drawing/2014/main" id="{09CA1496-A202-E1D1-CC9E-B1E0C18645B4}"/>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0391" name="6">
          <a:extLst>
            <a:ext uri="{FF2B5EF4-FFF2-40B4-BE49-F238E27FC236}">
              <a16:creationId xmlns:a16="http://schemas.microsoft.com/office/drawing/2014/main" id="{328DEF2A-853A-BBBA-1D2D-EA1164CF4BF5}"/>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0392" name="직선 화살표 연결선 50391">
          <a:extLst>
            <a:ext uri="{FF2B5EF4-FFF2-40B4-BE49-F238E27FC236}">
              <a16:creationId xmlns:a16="http://schemas.microsoft.com/office/drawing/2014/main" id="{EE368638-E88A-7E7A-D201-D7A5310A7F52}"/>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0393" name="5">
          <a:extLst>
            <a:ext uri="{FF2B5EF4-FFF2-40B4-BE49-F238E27FC236}">
              <a16:creationId xmlns:a16="http://schemas.microsoft.com/office/drawing/2014/main" id="{24027DEB-247C-ED6B-1923-6C9345965097}"/>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0394" name="직선 화살표 연결선 50393">
          <a:extLst>
            <a:ext uri="{FF2B5EF4-FFF2-40B4-BE49-F238E27FC236}">
              <a16:creationId xmlns:a16="http://schemas.microsoft.com/office/drawing/2014/main" id="{3515B820-EA7E-B972-73DD-A99C0FCE9BB3}"/>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0395" name="4">
          <a:extLst>
            <a:ext uri="{FF2B5EF4-FFF2-40B4-BE49-F238E27FC236}">
              <a16:creationId xmlns:a16="http://schemas.microsoft.com/office/drawing/2014/main" id="{2308AA0F-F607-A0D7-4842-B7B4B47D52BF}"/>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0396" name="직선 화살표 연결선 50395">
          <a:extLst>
            <a:ext uri="{FF2B5EF4-FFF2-40B4-BE49-F238E27FC236}">
              <a16:creationId xmlns:a16="http://schemas.microsoft.com/office/drawing/2014/main" id="{F43CDC4F-DAD5-19A7-93E2-86703A94B4BA}"/>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0397" name="3">
          <a:extLst>
            <a:ext uri="{FF2B5EF4-FFF2-40B4-BE49-F238E27FC236}">
              <a16:creationId xmlns:a16="http://schemas.microsoft.com/office/drawing/2014/main" id="{DA325C6C-BB18-4190-603F-46EEE035FC5E}"/>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0398" name="직선 화살표 연결선 50397">
          <a:extLst>
            <a:ext uri="{FF2B5EF4-FFF2-40B4-BE49-F238E27FC236}">
              <a16:creationId xmlns:a16="http://schemas.microsoft.com/office/drawing/2014/main" id="{3B1634C1-0419-2B9B-2CD9-9EBBE6EEBFA5}"/>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0399" name="2">
          <a:extLst>
            <a:ext uri="{FF2B5EF4-FFF2-40B4-BE49-F238E27FC236}">
              <a16:creationId xmlns:a16="http://schemas.microsoft.com/office/drawing/2014/main" id="{4C7FF947-03FC-B7AA-607C-DD6CF1DF876D}"/>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0400" name="직선 화살표 연결선 50399">
          <a:extLst>
            <a:ext uri="{FF2B5EF4-FFF2-40B4-BE49-F238E27FC236}">
              <a16:creationId xmlns:a16="http://schemas.microsoft.com/office/drawing/2014/main" id="{900FD8EC-6C52-DDC6-BD21-522B6A07C7D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0401" name="1">
          <a:extLst>
            <a:ext uri="{FF2B5EF4-FFF2-40B4-BE49-F238E27FC236}">
              <a16:creationId xmlns:a16="http://schemas.microsoft.com/office/drawing/2014/main" id="{30E9CB7F-2F8D-E2E9-4777-CA03065CC0D8}"/>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0402" name="직선 화살표 연결선 50401">
          <a:extLst>
            <a:ext uri="{FF2B5EF4-FFF2-40B4-BE49-F238E27FC236}">
              <a16:creationId xmlns:a16="http://schemas.microsoft.com/office/drawing/2014/main" id="{5FF07779-9643-D70C-BCA8-43C4C8DAF2FA}"/>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0754" name="44">
          <a:extLst>
            <a:ext uri="{FF2B5EF4-FFF2-40B4-BE49-F238E27FC236}">
              <a16:creationId xmlns:a16="http://schemas.microsoft.com/office/drawing/2014/main" id="{4A075285-5C7A-857C-37E4-CB56361012C7}"/>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0755" name="직선 화살표 연결선 50754">
          <a:extLst>
            <a:ext uri="{FF2B5EF4-FFF2-40B4-BE49-F238E27FC236}">
              <a16:creationId xmlns:a16="http://schemas.microsoft.com/office/drawing/2014/main" id="{98A750F5-0DAD-25FB-F214-2608787E0E8A}"/>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0756" name="43">
          <a:extLst>
            <a:ext uri="{FF2B5EF4-FFF2-40B4-BE49-F238E27FC236}">
              <a16:creationId xmlns:a16="http://schemas.microsoft.com/office/drawing/2014/main" id="{0653D9C5-A392-6BB6-B1FA-529B1041581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0757" name="직선 화살표 연결선 50756">
          <a:extLst>
            <a:ext uri="{FF2B5EF4-FFF2-40B4-BE49-F238E27FC236}">
              <a16:creationId xmlns:a16="http://schemas.microsoft.com/office/drawing/2014/main" id="{2927298B-F758-19D7-E9A3-91FD70CCB782}"/>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0758" name="42">
          <a:extLst>
            <a:ext uri="{FF2B5EF4-FFF2-40B4-BE49-F238E27FC236}">
              <a16:creationId xmlns:a16="http://schemas.microsoft.com/office/drawing/2014/main" id="{3A2A4C5B-D129-A93C-77B7-B2F060DAD6D1}"/>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0759" name="직선 화살표 연결선 50758">
          <a:extLst>
            <a:ext uri="{FF2B5EF4-FFF2-40B4-BE49-F238E27FC236}">
              <a16:creationId xmlns:a16="http://schemas.microsoft.com/office/drawing/2014/main" id="{D9955185-E544-C536-EC3D-0485153A3258}"/>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0760" name="41">
          <a:extLst>
            <a:ext uri="{FF2B5EF4-FFF2-40B4-BE49-F238E27FC236}">
              <a16:creationId xmlns:a16="http://schemas.microsoft.com/office/drawing/2014/main" id="{02CACA77-BDB3-E25E-51C8-1F5EFADD937D}"/>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0761" name="직선 화살표 연결선 50760">
          <a:extLst>
            <a:ext uri="{FF2B5EF4-FFF2-40B4-BE49-F238E27FC236}">
              <a16:creationId xmlns:a16="http://schemas.microsoft.com/office/drawing/2014/main" id="{331BE94B-D36E-E139-BD3E-AE6BD705E9B0}"/>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0821" name="10">
          <a:extLst>
            <a:ext uri="{FF2B5EF4-FFF2-40B4-BE49-F238E27FC236}">
              <a16:creationId xmlns:a16="http://schemas.microsoft.com/office/drawing/2014/main" id="{188DBD99-2003-4E75-CA48-D6DCB42CBA0B}"/>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0822" name="직선 화살표 연결선 50821">
          <a:extLst>
            <a:ext uri="{FF2B5EF4-FFF2-40B4-BE49-F238E27FC236}">
              <a16:creationId xmlns:a16="http://schemas.microsoft.com/office/drawing/2014/main" id="{414F5B2D-A5FF-49E4-5B3A-053D3C2F15D2}"/>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0823" name="9">
          <a:extLst>
            <a:ext uri="{FF2B5EF4-FFF2-40B4-BE49-F238E27FC236}">
              <a16:creationId xmlns:a16="http://schemas.microsoft.com/office/drawing/2014/main" id="{CB745912-B64C-C799-57B1-F107AF40321D}"/>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0824" name="직선 화살표 연결선 50823">
          <a:extLst>
            <a:ext uri="{FF2B5EF4-FFF2-40B4-BE49-F238E27FC236}">
              <a16:creationId xmlns:a16="http://schemas.microsoft.com/office/drawing/2014/main" id="{6D36FEB8-9B52-6967-38EA-57612E98F453}"/>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0825" name="8">
          <a:extLst>
            <a:ext uri="{FF2B5EF4-FFF2-40B4-BE49-F238E27FC236}">
              <a16:creationId xmlns:a16="http://schemas.microsoft.com/office/drawing/2014/main" id="{E92FADFF-7BE4-1E80-5AFA-99D58087882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0826" name="직선 화살표 연결선 50825">
          <a:extLst>
            <a:ext uri="{FF2B5EF4-FFF2-40B4-BE49-F238E27FC236}">
              <a16:creationId xmlns:a16="http://schemas.microsoft.com/office/drawing/2014/main" id="{2C223323-D457-72E2-AFB3-D619BE1A8F92}"/>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0827" name="7">
          <a:extLst>
            <a:ext uri="{FF2B5EF4-FFF2-40B4-BE49-F238E27FC236}">
              <a16:creationId xmlns:a16="http://schemas.microsoft.com/office/drawing/2014/main" id="{41B7EEC3-A226-A050-8822-0061A7F65C7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0828" name="6">
          <a:extLst>
            <a:ext uri="{FF2B5EF4-FFF2-40B4-BE49-F238E27FC236}">
              <a16:creationId xmlns:a16="http://schemas.microsoft.com/office/drawing/2014/main" id="{CE3FE116-A1D1-7D14-3672-F5D8507D75EE}"/>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0829" name="직선 화살표 연결선 50828">
          <a:extLst>
            <a:ext uri="{FF2B5EF4-FFF2-40B4-BE49-F238E27FC236}">
              <a16:creationId xmlns:a16="http://schemas.microsoft.com/office/drawing/2014/main" id="{806BEC8A-B1E3-8207-2806-96648162FFDE}"/>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0830" name="5">
          <a:extLst>
            <a:ext uri="{FF2B5EF4-FFF2-40B4-BE49-F238E27FC236}">
              <a16:creationId xmlns:a16="http://schemas.microsoft.com/office/drawing/2014/main" id="{21B308EC-8F23-EB0F-F65F-F6B38CD86D0F}"/>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0831" name="직선 화살표 연결선 50830">
          <a:extLst>
            <a:ext uri="{FF2B5EF4-FFF2-40B4-BE49-F238E27FC236}">
              <a16:creationId xmlns:a16="http://schemas.microsoft.com/office/drawing/2014/main" id="{7EAE840D-58AC-D31A-BF0A-734879012C01}"/>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0832" name="4">
          <a:extLst>
            <a:ext uri="{FF2B5EF4-FFF2-40B4-BE49-F238E27FC236}">
              <a16:creationId xmlns:a16="http://schemas.microsoft.com/office/drawing/2014/main" id="{1FEBFDA0-4869-D4BB-4EDA-25F50DF669FD}"/>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0833" name="직선 화살표 연결선 50832">
          <a:extLst>
            <a:ext uri="{FF2B5EF4-FFF2-40B4-BE49-F238E27FC236}">
              <a16:creationId xmlns:a16="http://schemas.microsoft.com/office/drawing/2014/main" id="{FBCE44A0-2812-ED99-9BAF-9BE24BAB389F}"/>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0834" name="3">
          <a:extLst>
            <a:ext uri="{FF2B5EF4-FFF2-40B4-BE49-F238E27FC236}">
              <a16:creationId xmlns:a16="http://schemas.microsoft.com/office/drawing/2014/main" id="{A21AE377-9E72-DD48-624C-4B4E4EC73906}"/>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0835" name="직선 화살표 연결선 50834">
          <a:extLst>
            <a:ext uri="{FF2B5EF4-FFF2-40B4-BE49-F238E27FC236}">
              <a16:creationId xmlns:a16="http://schemas.microsoft.com/office/drawing/2014/main" id="{24CB51DE-131E-BA96-ABC3-F45FC0E9B7A6}"/>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0836" name="2">
          <a:extLst>
            <a:ext uri="{FF2B5EF4-FFF2-40B4-BE49-F238E27FC236}">
              <a16:creationId xmlns:a16="http://schemas.microsoft.com/office/drawing/2014/main" id="{E2BD4782-9A7F-BBE2-2928-AD5E906C0911}"/>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0837" name="직선 화살표 연결선 50836">
          <a:extLst>
            <a:ext uri="{FF2B5EF4-FFF2-40B4-BE49-F238E27FC236}">
              <a16:creationId xmlns:a16="http://schemas.microsoft.com/office/drawing/2014/main" id="{AF4DD082-C48E-F3F9-704E-713FCDAE6211}"/>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0838" name="1">
          <a:extLst>
            <a:ext uri="{FF2B5EF4-FFF2-40B4-BE49-F238E27FC236}">
              <a16:creationId xmlns:a16="http://schemas.microsoft.com/office/drawing/2014/main" id="{F8991317-42C8-22A0-F67E-763581AA8C7C}"/>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0839" name="직선 화살표 연결선 50838">
          <a:extLst>
            <a:ext uri="{FF2B5EF4-FFF2-40B4-BE49-F238E27FC236}">
              <a16:creationId xmlns:a16="http://schemas.microsoft.com/office/drawing/2014/main" id="{DDF72A25-BA64-FFCD-62DA-ACAE0EB60FB5}"/>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1191" name="44">
          <a:extLst>
            <a:ext uri="{FF2B5EF4-FFF2-40B4-BE49-F238E27FC236}">
              <a16:creationId xmlns:a16="http://schemas.microsoft.com/office/drawing/2014/main" id="{484A4FB3-E1A0-DB93-232C-26BA826EE18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1192" name="직선 화살표 연결선 51191">
          <a:extLst>
            <a:ext uri="{FF2B5EF4-FFF2-40B4-BE49-F238E27FC236}">
              <a16:creationId xmlns:a16="http://schemas.microsoft.com/office/drawing/2014/main" id="{A1533773-96B1-E87D-BD3D-CF08D184FDD1}"/>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1193" name="43">
          <a:extLst>
            <a:ext uri="{FF2B5EF4-FFF2-40B4-BE49-F238E27FC236}">
              <a16:creationId xmlns:a16="http://schemas.microsoft.com/office/drawing/2014/main" id="{891E9F85-2622-6C09-743D-AA801ACFCCA1}"/>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1194" name="직선 화살표 연결선 51193">
          <a:extLst>
            <a:ext uri="{FF2B5EF4-FFF2-40B4-BE49-F238E27FC236}">
              <a16:creationId xmlns:a16="http://schemas.microsoft.com/office/drawing/2014/main" id="{99025F4D-E995-2688-1664-0F09EDE67C60}"/>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1195" name="42">
          <a:extLst>
            <a:ext uri="{FF2B5EF4-FFF2-40B4-BE49-F238E27FC236}">
              <a16:creationId xmlns:a16="http://schemas.microsoft.com/office/drawing/2014/main" id="{E5C5B602-7C65-CAF9-806A-9E8F42AAF8D2}"/>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1196" name="직선 화살표 연결선 51195">
          <a:extLst>
            <a:ext uri="{FF2B5EF4-FFF2-40B4-BE49-F238E27FC236}">
              <a16:creationId xmlns:a16="http://schemas.microsoft.com/office/drawing/2014/main" id="{111DD8AA-ABDB-F821-D973-8215655AA454}"/>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1197" name="41">
          <a:extLst>
            <a:ext uri="{FF2B5EF4-FFF2-40B4-BE49-F238E27FC236}">
              <a16:creationId xmlns:a16="http://schemas.microsoft.com/office/drawing/2014/main" id="{20326BA4-E7AD-2B7C-1D16-40EA46DEF7C0}"/>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1198" name="직선 화살표 연결선 51197">
          <a:extLst>
            <a:ext uri="{FF2B5EF4-FFF2-40B4-BE49-F238E27FC236}">
              <a16:creationId xmlns:a16="http://schemas.microsoft.com/office/drawing/2014/main" id="{21991C88-B609-0EE2-51CB-EF544330354E}"/>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1258" name="10">
          <a:extLst>
            <a:ext uri="{FF2B5EF4-FFF2-40B4-BE49-F238E27FC236}">
              <a16:creationId xmlns:a16="http://schemas.microsoft.com/office/drawing/2014/main" id="{6BFCED36-BFBF-90E5-A32F-4745CBE781A9}"/>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1259" name="직선 화살표 연결선 51258">
          <a:extLst>
            <a:ext uri="{FF2B5EF4-FFF2-40B4-BE49-F238E27FC236}">
              <a16:creationId xmlns:a16="http://schemas.microsoft.com/office/drawing/2014/main" id="{8454F50D-241F-DE2B-ECE9-F64630F9E4A9}"/>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1260" name="9">
          <a:extLst>
            <a:ext uri="{FF2B5EF4-FFF2-40B4-BE49-F238E27FC236}">
              <a16:creationId xmlns:a16="http://schemas.microsoft.com/office/drawing/2014/main" id="{656C0271-06C6-133A-9B55-24C90BFC9564}"/>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1261" name="직선 화살표 연결선 51260">
          <a:extLst>
            <a:ext uri="{FF2B5EF4-FFF2-40B4-BE49-F238E27FC236}">
              <a16:creationId xmlns:a16="http://schemas.microsoft.com/office/drawing/2014/main" id="{5CD1FFA4-D17F-0357-42EF-6B1AC235B468}"/>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1262" name="8">
          <a:extLst>
            <a:ext uri="{FF2B5EF4-FFF2-40B4-BE49-F238E27FC236}">
              <a16:creationId xmlns:a16="http://schemas.microsoft.com/office/drawing/2014/main" id="{19E56A0D-ACD1-EC4D-4CC3-865D9955E171}"/>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1263" name="직선 화살표 연결선 51262">
          <a:extLst>
            <a:ext uri="{FF2B5EF4-FFF2-40B4-BE49-F238E27FC236}">
              <a16:creationId xmlns:a16="http://schemas.microsoft.com/office/drawing/2014/main" id="{B2CC0E8C-E4A9-2BEB-D2EA-2DB1823F509B}"/>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1264" name="7">
          <a:extLst>
            <a:ext uri="{FF2B5EF4-FFF2-40B4-BE49-F238E27FC236}">
              <a16:creationId xmlns:a16="http://schemas.microsoft.com/office/drawing/2014/main" id="{F7AF3CCA-B8A9-4233-B3FB-B60F96203AD5}"/>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1265" name="6">
          <a:extLst>
            <a:ext uri="{FF2B5EF4-FFF2-40B4-BE49-F238E27FC236}">
              <a16:creationId xmlns:a16="http://schemas.microsoft.com/office/drawing/2014/main" id="{C3A6F8AE-DA98-FCA5-2091-192F4A421C72}"/>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1266" name="직선 화살표 연결선 51265">
          <a:extLst>
            <a:ext uri="{FF2B5EF4-FFF2-40B4-BE49-F238E27FC236}">
              <a16:creationId xmlns:a16="http://schemas.microsoft.com/office/drawing/2014/main" id="{B635AC85-64C3-D7D3-AEDA-F40080153BA7}"/>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1267" name="5">
          <a:extLst>
            <a:ext uri="{FF2B5EF4-FFF2-40B4-BE49-F238E27FC236}">
              <a16:creationId xmlns:a16="http://schemas.microsoft.com/office/drawing/2014/main" id="{818BABD1-7209-522C-3DD6-924993087300}"/>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1268" name="직선 화살표 연결선 51267">
          <a:extLst>
            <a:ext uri="{FF2B5EF4-FFF2-40B4-BE49-F238E27FC236}">
              <a16:creationId xmlns:a16="http://schemas.microsoft.com/office/drawing/2014/main" id="{C6645DEB-386B-2E3D-BABC-EAAB574C29DD}"/>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1269" name="4">
          <a:extLst>
            <a:ext uri="{FF2B5EF4-FFF2-40B4-BE49-F238E27FC236}">
              <a16:creationId xmlns:a16="http://schemas.microsoft.com/office/drawing/2014/main" id="{FE5C3333-0553-2DF9-839C-426230218EF2}"/>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1270" name="직선 화살표 연결선 51269">
          <a:extLst>
            <a:ext uri="{FF2B5EF4-FFF2-40B4-BE49-F238E27FC236}">
              <a16:creationId xmlns:a16="http://schemas.microsoft.com/office/drawing/2014/main" id="{084A8DD3-B152-472C-C5C0-FD8BB2637503}"/>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1271" name="3">
          <a:extLst>
            <a:ext uri="{FF2B5EF4-FFF2-40B4-BE49-F238E27FC236}">
              <a16:creationId xmlns:a16="http://schemas.microsoft.com/office/drawing/2014/main" id="{81766C76-0318-AC68-54AB-203FA2A24D2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1272" name="직선 화살표 연결선 51271">
          <a:extLst>
            <a:ext uri="{FF2B5EF4-FFF2-40B4-BE49-F238E27FC236}">
              <a16:creationId xmlns:a16="http://schemas.microsoft.com/office/drawing/2014/main" id="{38552FCA-E511-0D42-B47F-578ADC7CB07D}"/>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1273" name="2">
          <a:extLst>
            <a:ext uri="{FF2B5EF4-FFF2-40B4-BE49-F238E27FC236}">
              <a16:creationId xmlns:a16="http://schemas.microsoft.com/office/drawing/2014/main" id="{2CF3DF4F-B626-1C35-9032-C79034EFD1A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1274" name="직선 화살표 연결선 51273">
          <a:extLst>
            <a:ext uri="{FF2B5EF4-FFF2-40B4-BE49-F238E27FC236}">
              <a16:creationId xmlns:a16="http://schemas.microsoft.com/office/drawing/2014/main" id="{412D26F3-E3BC-0970-006F-74D2324D92FA}"/>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1275" name="1">
          <a:extLst>
            <a:ext uri="{FF2B5EF4-FFF2-40B4-BE49-F238E27FC236}">
              <a16:creationId xmlns:a16="http://schemas.microsoft.com/office/drawing/2014/main" id="{46F827AD-8A94-27AC-FD9F-B24A6E22F6DA}"/>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1276" name="직선 화살표 연결선 51275">
          <a:extLst>
            <a:ext uri="{FF2B5EF4-FFF2-40B4-BE49-F238E27FC236}">
              <a16:creationId xmlns:a16="http://schemas.microsoft.com/office/drawing/2014/main" id="{CAA86425-52ED-6F90-50FD-2387BA54724E}"/>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1628" name="44">
          <a:extLst>
            <a:ext uri="{FF2B5EF4-FFF2-40B4-BE49-F238E27FC236}">
              <a16:creationId xmlns:a16="http://schemas.microsoft.com/office/drawing/2014/main" id="{F7D7E79D-47DE-9559-4C64-6E058A49F816}"/>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1629" name="직선 화살표 연결선 51628">
          <a:extLst>
            <a:ext uri="{FF2B5EF4-FFF2-40B4-BE49-F238E27FC236}">
              <a16:creationId xmlns:a16="http://schemas.microsoft.com/office/drawing/2014/main" id="{8C9BD443-16E8-51A3-95C8-CA845BADD3ED}"/>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1630" name="43">
          <a:extLst>
            <a:ext uri="{FF2B5EF4-FFF2-40B4-BE49-F238E27FC236}">
              <a16:creationId xmlns:a16="http://schemas.microsoft.com/office/drawing/2014/main" id="{2CE10388-B311-19A1-110E-E245718C7EC6}"/>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1631" name="직선 화살표 연결선 51630">
          <a:extLst>
            <a:ext uri="{FF2B5EF4-FFF2-40B4-BE49-F238E27FC236}">
              <a16:creationId xmlns:a16="http://schemas.microsoft.com/office/drawing/2014/main" id="{E729873D-9C78-3B6C-B78F-F8D163210EDC}"/>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1632" name="42">
          <a:extLst>
            <a:ext uri="{FF2B5EF4-FFF2-40B4-BE49-F238E27FC236}">
              <a16:creationId xmlns:a16="http://schemas.microsoft.com/office/drawing/2014/main" id="{18D6F90A-420C-94C2-C339-ACB5A9CA6E5D}"/>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1633" name="직선 화살표 연결선 51632">
          <a:extLst>
            <a:ext uri="{FF2B5EF4-FFF2-40B4-BE49-F238E27FC236}">
              <a16:creationId xmlns:a16="http://schemas.microsoft.com/office/drawing/2014/main" id="{1E936217-E0C0-24A9-7BB2-FCA4DF948B60}"/>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1634" name="41">
          <a:extLst>
            <a:ext uri="{FF2B5EF4-FFF2-40B4-BE49-F238E27FC236}">
              <a16:creationId xmlns:a16="http://schemas.microsoft.com/office/drawing/2014/main" id="{A855711B-1628-4C02-E34F-64AE470D8D91}"/>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1635" name="직선 화살표 연결선 51634">
          <a:extLst>
            <a:ext uri="{FF2B5EF4-FFF2-40B4-BE49-F238E27FC236}">
              <a16:creationId xmlns:a16="http://schemas.microsoft.com/office/drawing/2014/main" id="{29D090C1-556E-F4E7-9A64-E20982DC7F30}"/>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1695" name="10">
          <a:extLst>
            <a:ext uri="{FF2B5EF4-FFF2-40B4-BE49-F238E27FC236}">
              <a16:creationId xmlns:a16="http://schemas.microsoft.com/office/drawing/2014/main" id="{EECC2F20-23AA-9EE9-E827-FCAC7E4E0DD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1696" name="직선 화살표 연결선 51695">
          <a:extLst>
            <a:ext uri="{FF2B5EF4-FFF2-40B4-BE49-F238E27FC236}">
              <a16:creationId xmlns:a16="http://schemas.microsoft.com/office/drawing/2014/main" id="{2496D2D5-2401-4E90-E19B-5F56AF6DEC8B}"/>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1697" name="9">
          <a:extLst>
            <a:ext uri="{FF2B5EF4-FFF2-40B4-BE49-F238E27FC236}">
              <a16:creationId xmlns:a16="http://schemas.microsoft.com/office/drawing/2014/main" id="{AD89E74B-46E3-5C2B-A2EE-86A6F75D998E}"/>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1698" name="직선 화살표 연결선 51697">
          <a:extLst>
            <a:ext uri="{FF2B5EF4-FFF2-40B4-BE49-F238E27FC236}">
              <a16:creationId xmlns:a16="http://schemas.microsoft.com/office/drawing/2014/main" id="{A4AE659B-873F-33E5-FB21-FA2D92756FA0}"/>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1699" name="8">
          <a:extLst>
            <a:ext uri="{FF2B5EF4-FFF2-40B4-BE49-F238E27FC236}">
              <a16:creationId xmlns:a16="http://schemas.microsoft.com/office/drawing/2014/main" id="{A8E23032-D687-3B76-C491-6C2E99E1CDEF}"/>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1700" name="직선 화살표 연결선 51699">
          <a:extLst>
            <a:ext uri="{FF2B5EF4-FFF2-40B4-BE49-F238E27FC236}">
              <a16:creationId xmlns:a16="http://schemas.microsoft.com/office/drawing/2014/main" id="{2BF990D3-CB82-0793-2ED1-A8A1BEFD75C2}"/>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1701" name="7">
          <a:extLst>
            <a:ext uri="{FF2B5EF4-FFF2-40B4-BE49-F238E27FC236}">
              <a16:creationId xmlns:a16="http://schemas.microsoft.com/office/drawing/2014/main" id="{3E466EC7-6E17-C753-9708-B162316EAE4E}"/>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1702" name="6">
          <a:extLst>
            <a:ext uri="{FF2B5EF4-FFF2-40B4-BE49-F238E27FC236}">
              <a16:creationId xmlns:a16="http://schemas.microsoft.com/office/drawing/2014/main" id="{E878AB9F-3F8E-1B54-8698-B40DA200EE97}"/>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1703" name="직선 화살표 연결선 51702">
          <a:extLst>
            <a:ext uri="{FF2B5EF4-FFF2-40B4-BE49-F238E27FC236}">
              <a16:creationId xmlns:a16="http://schemas.microsoft.com/office/drawing/2014/main" id="{0B4426E7-C638-D9E7-A2DF-5E5FCF99FD3C}"/>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1704" name="5">
          <a:extLst>
            <a:ext uri="{FF2B5EF4-FFF2-40B4-BE49-F238E27FC236}">
              <a16:creationId xmlns:a16="http://schemas.microsoft.com/office/drawing/2014/main" id="{D332B6F8-EDFD-5216-DDC8-D17DA6D3FCED}"/>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1705" name="직선 화살표 연결선 51704">
          <a:extLst>
            <a:ext uri="{FF2B5EF4-FFF2-40B4-BE49-F238E27FC236}">
              <a16:creationId xmlns:a16="http://schemas.microsoft.com/office/drawing/2014/main" id="{108CB638-3211-0D3E-7CC2-49327BB9D9D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1706" name="4">
          <a:extLst>
            <a:ext uri="{FF2B5EF4-FFF2-40B4-BE49-F238E27FC236}">
              <a16:creationId xmlns:a16="http://schemas.microsoft.com/office/drawing/2014/main" id="{F7657EF3-7655-0C93-6B02-98ECC6EAFEE8}"/>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1707" name="직선 화살표 연결선 51706">
          <a:extLst>
            <a:ext uri="{FF2B5EF4-FFF2-40B4-BE49-F238E27FC236}">
              <a16:creationId xmlns:a16="http://schemas.microsoft.com/office/drawing/2014/main" id="{C9290CF2-F5B7-F75E-6668-9C2C0C57F468}"/>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1708" name="3">
          <a:extLst>
            <a:ext uri="{FF2B5EF4-FFF2-40B4-BE49-F238E27FC236}">
              <a16:creationId xmlns:a16="http://schemas.microsoft.com/office/drawing/2014/main" id="{D7A721BB-D5C5-AEBE-FE09-E09DD5609DA7}"/>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1709" name="직선 화살표 연결선 51708">
          <a:extLst>
            <a:ext uri="{FF2B5EF4-FFF2-40B4-BE49-F238E27FC236}">
              <a16:creationId xmlns:a16="http://schemas.microsoft.com/office/drawing/2014/main" id="{7A5DE701-ED5A-D713-02AF-32D244A9B0EB}"/>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1710" name="2">
          <a:extLst>
            <a:ext uri="{FF2B5EF4-FFF2-40B4-BE49-F238E27FC236}">
              <a16:creationId xmlns:a16="http://schemas.microsoft.com/office/drawing/2014/main" id="{C78A6F3A-470A-4F68-D2D8-D6D75A0E7223}"/>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1711" name="직선 화살표 연결선 51710">
          <a:extLst>
            <a:ext uri="{FF2B5EF4-FFF2-40B4-BE49-F238E27FC236}">
              <a16:creationId xmlns:a16="http://schemas.microsoft.com/office/drawing/2014/main" id="{F9C3901F-9141-87A5-BE37-EA16CDEECDF6}"/>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1712" name="1">
          <a:extLst>
            <a:ext uri="{FF2B5EF4-FFF2-40B4-BE49-F238E27FC236}">
              <a16:creationId xmlns:a16="http://schemas.microsoft.com/office/drawing/2014/main" id="{F23A406A-4617-F076-8786-C0607F0A06D6}"/>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1713" name="직선 화살표 연결선 51712">
          <a:extLst>
            <a:ext uri="{FF2B5EF4-FFF2-40B4-BE49-F238E27FC236}">
              <a16:creationId xmlns:a16="http://schemas.microsoft.com/office/drawing/2014/main" id="{C993953B-A44C-72AC-8DF1-00F817E04365}"/>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2065" name="44">
          <a:extLst>
            <a:ext uri="{FF2B5EF4-FFF2-40B4-BE49-F238E27FC236}">
              <a16:creationId xmlns:a16="http://schemas.microsoft.com/office/drawing/2014/main" id="{E5D77BFF-1D3D-254B-81E0-CB70DAAAE5E3}"/>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2066" name="직선 화살표 연결선 52065">
          <a:extLst>
            <a:ext uri="{FF2B5EF4-FFF2-40B4-BE49-F238E27FC236}">
              <a16:creationId xmlns:a16="http://schemas.microsoft.com/office/drawing/2014/main" id="{F9E2CA40-2415-30DA-F123-2CEEAD330DD8}"/>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2067" name="43">
          <a:extLst>
            <a:ext uri="{FF2B5EF4-FFF2-40B4-BE49-F238E27FC236}">
              <a16:creationId xmlns:a16="http://schemas.microsoft.com/office/drawing/2014/main" id="{1274A138-AFE6-9F54-FB20-0A6B57AB5F6F}"/>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2068" name="직선 화살표 연결선 52067">
          <a:extLst>
            <a:ext uri="{FF2B5EF4-FFF2-40B4-BE49-F238E27FC236}">
              <a16:creationId xmlns:a16="http://schemas.microsoft.com/office/drawing/2014/main" id="{58C45682-8672-7A8B-A8EC-F5A60871F775}"/>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2069" name="42">
          <a:extLst>
            <a:ext uri="{FF2B5EF4-FFF2-40B4-BE49-F238E27FC236}">
              <a16:creationId xmlns:a16="http://schemas.microsoft.com/office/drawing/2014/main" id="{AFA75EEC-8BA6-A911-20B0-1F24AE050C45}"/>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2070" name="직선 화살표 연결선 52069">
          <a:extLst>
            <a:ext uri="{FF2B5EF4-FFF2-40B4-BE49-F238E27FC236}">
              <a16:creationId xmlns:a16="http://schemas.microsoft.com/office/drawing/2014/main" id="{579EC0B2-7728-2E4D-D612-D8BE10A8E73E}"/>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2071" name="41">
          <a:extLst>
            <a:ext uri="{FF2B5EF4-FFF2-40B4-BE49-F238E27FC236}">
              <a16:creationId xmlns:a16="http://schemas.microsoft.com/office/drawing/2014/main" id="{AFA04F0D-B403-3F4F-C735-6C689595032A}"/>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2072" name="직선 화살표 연결선 52071">
          <a:extLst>
            <a:ext uri="{FF2B5EF4-FFF2-40B4-BE49-F238E27FC236}">
              <a16:creationId xmlns:a16="http://schemas.microsoft.com/office/drawing/2014/main" id="{CA758624-7F27-2DAB-7364-02EA25DD7729}"/>
            </a:ext>
          </a:extLst>
        </xdr:cNvPr>
        <xdr:cNvCxnSpPr/>
      </xdr:nvCxnSpPr>
      <xdr:spPr>
        <a:xfrm>
          <a:off x="12944475" y="6991350"/>
          <a:ext cx="496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2132" name="10">
          <a:extLst>
            <a:ext uri="{FF2B5EF4-FFF2-40B4-BE49-F238E27FC236}">
              <a16:creationId xmlns:a16="http://schemas.microsoft.com/office/drawing/2014/main" id="{3ABD87A9-4451-2C6B-7875-A2EDA3F25888}"/>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2133" name="직선 화살표 연결선 52132">
          <a:extLst>
            <a:ext uri="{FF2B5EF4-FFF2-40B4-BE49-F238E27FC236}">
              <a16:creationId xmlns:a16="http://schemas.microsoft.com/office/drawing/2014/main" id="{21606719-BF95-AF19-236D-E2BFF2B4169B}"/>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2134" name="9">
          <a:extLst>
            <a:ext uri="{FF2B5EF4-FFF2-40B4-BE49-F238E27FC236}">
              <a16:creationId xmlns:a16="http://schemas.microsoft.com/office/drawing/2014/main" id="{504D8603-F1AD-A220-EFB9-C6A3CB5B9280}"/>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2135" name="직선 화살표 연결선 52134">
          <a:extLst>
            <a:ext uri="{FF2B5EF4-FFF2-40B4-BE49-F238E27FC236}">
              <a16:creationId xmlns:a16="http://schemas.microsoft.com/office/drawing/2014/main" id="{6EDDC04D-ABFB-7166-0205-5890ACA54814}"/>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2136" name="8">
          <a:extLst>
            <a:ext uri="{FF2B5EF4-FFF2-40B4-BE49-F238E27FC236}">
              <a16:creationId xmlns:a16="http://schemas.microsoft.com/office/drawing/2014/main" id="{887603F2-9E6D-4CDE-12AF-1D83E2A2EB4D}"/>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2137" name="직선 화살표 연결선 52136">
          <a:extLst>
            <a:ext uri="{FF2B5EF4-FFF2-40B4-BE49-F238E27FC236}">
              <a16:creationId xmlns:a16="http://schemas.microsoft.com/office/drawing/2014/main" id="{5EDB094C-78BC-E7B2-7E6A-FF7F89E05D44}"/>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2138" name="7">
          <a:extLst>
            <a:ext uri="{FF2B5EF4-FFF2-40B4-BE49-F238E27FC236}">
              <a16:creationId xmlns:a16="http://schemas.microsoft.com/office/drawing/2014/main" id="{C779D5C7-A57E-CA88-31A2-8427CB1B720E}"/>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2139" name="6">
          <a:extLst>
            <a:ext uri="{FF2B5EF4-FFF2-40B4-BE49-F238E27FC236}">
              <a16:creationId xmlns:a16="http://schemas.microsoft.com/office/drawing/2014/main" id="{038B2732-F68E-A302-297A-8BA8215B047B}"/>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2140" name="직선 화살표 연결선 52139">
          <a:extLst>
            <a:ext uri="{FF2B5EF4-FFF2-40B4-BE49-F238E27FC236}">
              <a16:creationId xmlns:a16="http://schemas.microsoft.com/office/drawing/2014/main" id="{92E8E4DE-5F12-7158-2CC5-9E78C652C27C}"/>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2141" name="5">
          <a:extLst>
            <a:ext uri="{FF2B5EF4-FFF2-40B4-BE49-F238E27FC236}">
              <a16:creationId xmlns:a16="http://schemas.microsoft.com/office/drawing/2014/main" id="{34E81D03-E8F5-0F1B-79ED-83FCDE6E73F1}"/>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2142" name="직선 화살표 연결선 52141">
          <a:extLst>
            <a:ext uri="{FF2B5EF4-FFF2-40B4-BE49-F238E27FC236}">
              <a16:creationId xmlns:a16="http://schemas.microsoft.com/office/drawing/2014/main" id="{21C0E86C-C047-A0F3-EEB6-27129279EEA1}"/>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2143" name="4">
          <a:extLst>
            <a:ext uri="{FF2B5EF4-FFF2-40B4-BE49-F238E27FC236}">
              <a16:creationId xmlns:a16="http://schemas.microsoft.com/office/drawing/2014/main" id="{B612CF0C-92FC-5748-CF15-493D76CE014F}"/>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2144" name="직선 화살표 연결선 52143">
          <a:extLst>
            <a:ext uri="{FF2B5EF4-FFF2-40B4-BE49-F238E27FC236}">
              <a16:creationId xmlns:a16="http://schemas.microsoft.com/office/drawing/2014/main" id="{F389342C-0BE0-6370-A689-FBE3E9449505}"/>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2145" name="3">
          <a:extLst>
            <a:ext uri="{FF2B5EF4-FFF2-40B4-BE49-F238E27FC236}">
              <a16:creationId xmlns:a16="http://schemas.microsoft.com/office/drawing/2014/main" id="{B23D2801-3D82-A868-7385-9A8B8F0AFF94}"/>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2146" name="직선 화살표 연결선 52145">
          <a:extLst>
            <a:ext uri="{FF2B5EF4-FFF2-40B4-BE49-F238E27FC236}">
              <a16:creationId xmlns:a16="http://schemas.microsoft.com/office/drawing/2014/main" id="{3F346497-4FBE-6876-CAA3-0C56CDBF0C4F}"/>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2147" name="2">
          <a:extLst>
            <a:ext uri="{FF2B5EF4-FFF2-40B4-BE49-F238E27FC236}">
              <a16:creationId xmlns:a16="http://schemas.microsoft.com/office/drawing/2014/main" id="{021E7833-0EA7-FF03-48E4-DEED81A83661}"/>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2148" name="직선 화살표 연결선 52147">
          <a:extLst>
            <a:ext uri="{FF2B5EF4-FFF2-40B4-BE49-F238E27FC236}">
              <a16:creationId xmlns:a16="http://schemas.microsoft.com/office/drawing/2014/main" id="{85AED201-F924-1E65-E073-D54EFFFD7A4D}"/>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2149" name="1">
          <a:extLst>
            <a:ext uri="{FF2B5EF4-FFF2-40B4-BE49-F238E27FC236}">
              <a16:creationId xmlns:a16="http://schemas.microsoft.com/office/drawing/2014/main" id="{42886332-8C14-04C6-BEB4-813714F14558}"/>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2150" name="직선 화살표 연결선 52149">
          <a:extLst>
            <a:ext uri="{FF2B5EF4-FFF2-40B4-BE49-F238E27FC236}">
              <a16:creationId xmlns:a16="http://schemas.microsoft.com/office/drawing/2014/main" id="{B09210A0-DC89-DD7B-A089-C80DC79C2EB6}"/>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2500" name="44">
          <a:extLst>
            <a:ext uri="{FF2B5EF4-FFF2-40B4-BE49-F238E27FC236}">
              <a16:creationId xmlns:a16="http://schemas.microsoft.com/office/drawing/2014/main" id="{3B3B0A5E-5CC5-65AA-D632-08280EEE13F2}"/>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2501" name="직선 화살표 연결선 52500">
          <a:extLst>
            <a:ext uri="{FF2B5EF4-FFF2-40B4-BE49-F238E27FC236}">
              <a16:creationId xmlns:a16="http://schemas.microsoft.com/office/drawing/2014/main" id="{EBEC6E75-060D-2E57-5A42-83EBCFDCF635}"/>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2502" name="43">
          <a:extLst>
            <a:ext uri="{FF2B5EF4-FFF2-40B4-BE49-F238E27FC236}">
              <a16:creationId xmlns:a16="http://schemas.microsoft.com/office/drawing/2014/main" id="{334426D1-6B5A-1378-E4AD-3100354736DB}"/>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2503" name="직선 화살표 연결선 52502">
          <a:extLst>
            <a:ext uri="{FF2B5EF4-FFF2-40B4-BE49-F238E27FC236}">
              <a16:creationId xmlns:a16="http://schemas.microsoft.com/office/drawing/2014/main" id="{B20C0C63-8F2F-C53F-3DF7-2B6370445DE7}"/>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2504" name="42">
          <a:extLst>
            <a:ext uri="{FF2B5EF4-FFF2-40B4-BE49-F238E27FC236}">
              <a16:creationId xmlns:a16="http://schemas.microsoft.com/office/drawing/2014/main" id="{3ECDFC2B-9E04-67FF-D300-841C5D70C083}"/>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2505" name="직선 화살표 연결선 52504">
          <a:extLst>
            <a:ext uri="{FF2B5EF4-FFF2-40B4-BE49-F238E27FC236}">
              <a16:creationId xmlns:a16="http://schemas.microsoft.com/office/drawing/2014/main" id="{5C5F915A-4D9D-90BD-2A14-711EF524F61C}"/>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2506" name="41">
          <a:extLst>
            <a:ext uri="{FF2B5EF4-FFF2-40B4-BE49-F238E27FC236}">
              <a16:creationId xmlns:a16="http://schemas.microsoft.com/office/drawing/2014/main" id="{0793679B-5FB4-1783-4BA9-FFBB763F80AE}"/>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2507" name="직선 화살표 연결선 52506">
          <a:extLst>
            <a:ext uri="{FF2B5EF4-FFF2-40B4-BE49-F238E27FC236}">
              <a16:creationId xmlns:a16="http://schemas.microsoft.com/office/drawing/2014/main" id="{101DB228-29BC-1E88-7874-B5DBC5A31C20}"/>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2567" name="10">
          <a:extLst>
            <a:ext uri="{FF2B5EF4-FFF2-40B4-BE49-F238E27FC236}">
              <a16:creationId xmlns:a16="http://schemas.microsoft.com/office/drawing/2014/main" id="{0871B02A-6CB3-21CE-EAD1-B94F700B06AD}"/>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2568" name="직선 화살표 연결선 52567">
          <a:extLst>
            <a:ext uri="{FF2B5EF4-FFF2-40B4-BE49-F238E27FC236}">
              <a16:creationId xmlns:a16="http://schemas.microsoft.com/office/drawing/2014/main" id="{E62EA135-FC1B-3CEE-4B15-DC10E895A0F7}"/>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2569" name="9">
          <a:extLst>
            <a:ext uri="{FF2B5EF4-FFF2-40B4-BE49-F238E27FC236}">
              <a16:creationId xmlns:a16="http://schemas.microsoft.com/office/drawing/2014/main" id="{20C26416-8858-EA9C-F3D3-C5714471D458}"/>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2570" name="직선 화살표 연결선 52569">
          <a:extLst>
            <a:ext uri="{FF2B5EF4-FFF2-40B4-BE49-F238E27FC236}">
              <a16:creationId xmlns:a16="http://schemas.microsoft.com/office/drawing/2014/main" id="{E01E5E8C-4405-5126-81DE-4DA1433FA205}"/>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2571" name="8">
          <a:extLst>
            <a:ext uri="{FF2B5EF4-FFF2-40B4-BE49-F238E27FC236}">
              <a16:creationId xmlns:a16="http://schemas.microsoft.com/office/drawing/2014/main" id="{EE06D839-80A8-CA4D-6133-5B02597B67CC}"/>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2572" name="직선 화살표 연결선 52571">
          <a:extLst>
            <a:ext uri="{FF2B5EF4-FFF2-40B4-BE49-F238E27FC236}">
              <a16:creationId xmlns:a16="http://schemas.microsoft.com/office/drawing/2014/main" id="{5764D33D-D0A6-06B1-C793-95FEE9551459}"/>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2573" name="7">
          <a:extLst>
            <a:ext uri="{FF2B5EF4-FFF2-40B4-BE49-F238E27FC236}">
              <a16:creationId xmlns:a16="http://schemas.microsoft.com/office/drawing/2014/main" id="{B74213B5-E68C-9312-EB16-0C65A18C76FF}"/>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2574" name="6">
          <a:extLst>
            <a:ext uri="{FF2B5EF4-FFF2-40B4-BE49-F238E27FC236}">
              <a16:creationId xmlns:a16="http://schemas.microsoft.com/office/drawing/2014/main" id="{838BB55C-38C5-8487-861D-438BA96252A9}"/>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2575" name="직선 화살표 연결선 52574">
          <a:extLst>
            <a:ext uri="{FF2B5EF4-FFF2-40B4-BE49-F238E27FC236}">
              <a16:creationId xmlns:a16="http://schemas.microsoft.com/office/drawing/2014/main" id="{5B5BBE50-42E5-3757-38CE-2B517361FEEE}"/>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2576" name="5">
          <a:extLst>
            <a:ext uri="{FF2B5EF4-FFF2-40B4-BE49-F238E27FC236}">
              <a16:creationId xmlns:a16="http://schemas.microsoft.com/office/drawing/2014/main" id="{E292D6E9-8617-2D44-2198-40A86360F678}"/>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2577" name="직선 화살표 연결선 52576">
          <a:extLst>
            <a:ext uri="{FF2B5EF4-FFF2-40B4-BE49-F238E27FC236}">
              <a16:creationId xmlns:a16="http://schemas.microsoft.com/office/drawing/2014/main" id="{4A4E9E64-3775-7BF3-B70B-A99765C421A7}"/>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2578" name="4">
          <a:extLst>
            <a:ext uri="{FF2B5EF4-FFF2-40B4-BE49-F238E27FC236}">
              <a16:creationId xmlns:a16="http://schemas.microsoft.com/office/drawing/2014/main" id="{9A4D6885-BDC3-2724-FC27-0BB9CEDDA1FB}"/>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2579" name="직선 화살표 연결선 52578">
          <a:extLst>
            <a:ext uri="{FF2B5EF4-FFF2-40B4-BE49-F238E27FC236}">
              <a16:creationId xmlns:a16="http://schemas.microsoft.com/office/drawing/2014/main" id="{B37FEF85-C39E-1EE1-8DEA-109C0A510420}"/>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2580" name="3">
          <a:extLst>
            <a:ext uri="{FF2B5EF4-FFF2-40B4-BE49-F238E27FC236}">
              <a16:creationId xmlns:a16="http://schemas.microsoft.com/office/drawing/2014/main" id="{7EC0869B-2664-904F-12D3-6EA8F2EC314A}"/>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2581" name="직선 화살표 연결선 52580">
          <a:extLst>
            <a:ext uri="{FF2B5EF4-FFF2-40B4-BE49-F238E27FC236}">
              <a16:creationId xmlns:a16="http://schemas.microsoft.com/office/drawing/2014/main" id="{82EC3FBC-7351-AD88-DC64-1DB82C1D70C0}"/>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2582" name="2">
          <a:extLst>
            <a:ext uri="{FF2B5EF4-FFF2-40B4-BE49-F238E27FC236}">
              <a16:creationId xmlns:a16="http://schemas.microsoft.com/office/drawing/2014/main" id="{33DA2741-9F4E-5783-F2DF-E3FFE880FF3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2583" name="직선 화살표 연결선 52582">
          <a:extLst>
            <a:ext uri="{FF2B5EF4-FFF2-40B4-BE49-F238E27FC236}">
              <a16:creationId xmlns:a16="http://schemas.microsoft.com/office/drawing/2014/main" id="{43522BBA-CD6B-2381-8BAC-F23B82D468BE}"/>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2584" name="1">
          <a:extLst>
            <a:ext uri="{FF2B5EF4-FFF2-40B4-BE49-F238E27FC236}">
              <a16:creationId xmlns:a16="http://schemas.microsoft.com/office/drawing/2014/main" id="{18C271B0-ADF2-83E2-3290-C562910CD7F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2585" name="직선 화살표 연결선 52584">
          <a:extLst>
            <a:ext uri="{FF2B5EF4-FFF2-40B4-BE49-F238E27FC236}">
              <a16:creationId xmlns:a16="http://schemas.microsoft.com/office/drawing/2014/main" id="{50C53FAC-C907-1797-B7B7-27B3B0D45916}"/>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2935" name="44">
          <a:extLst>
            <a:ext uri="{FF2B5EF4-FFF2-40B4-BE49-F238E27FC236}">
              <a16:creationId xmlns:a16="http://schemas.microsoft.com/office/drawing/2014/main" id="{2959CAD2-1030-F22D-A61B-7D0DAB282820}"/>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2936" name="직선 화살표 연결선 52935">
          <a:extLst>
            <a:ext uri="{FF2B5EF4-FFF2-40B4-BE49-F238E27FC236}">
              <a16:creationId xmlns:a16="http://schemas.microsoft.com/office/drawing/2014/main" id="{7F9DB27C-CCD5-9FFC-9A1F-2EE578979ACB}"/>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2937" name="43">
          <a:extLst>
            <a:ext uri="{FF2B5EF4-FFF2-40B4-BE49-F238E27FC236}">
              <a16:creationId xmlns:a16="http://schemas.microsoft.com/office/drawing/2014/main" id="{04E2DA14-BBD4-4A00-585D-C719910D7C87}"/>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2938" name="직선 화살표 연결선 52937">
          <a:extLst>
            <a:ext uri="{FF2B5EF4-FFF2-40B4-BE49-F238E27FC236}">
              <a16:creationId xmlns:a16="http://schemas.microsoft.com/office/drawing/2014/main" id="{3A7B21A0-291E-FDF0-E2EC-C4B538628D5A}"/>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2939" name="42">
          <a:extLst>
            <a:ext uri="{FF2B5EF4-FFF2-40B4-BE49-F238E27FC236}">
              <a16:creationId xmlns:a16="http://schemas.microsoft.com/office/drawing/2014/main" id="{56462978-DF4C-0A29-315B-43C6F3F5AEF3}"/>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2940" name="직선 화살표 연결선 52939">
          <a:extLst>
            <a:ext uri="{FF2B5EF4-FFF2-40B4-BE49-F238E27FC236}">
              <a16:creationId xmlns:a16="http://schemas.microsoft.com/office/drawing/2014/main" id="{8B91B9BD-F416-2D6D-F566-3468C117A4CE}"/>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2941" name="41">
          <a:extLst>
            <a:ext uri="{FF2B5EF4-FFF2-40B4-BE49-F238E27FC236}">
              <a16:creationId xmlns:a16="http://schemas.microsoft.com/office/drawing/2014/main" id="{1C62050F-E94C-4DC4-5162-5B36C0F27AC6}"/>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2942" name="직선 화살표 연결선 52941">
          <a:extLst>
            <a:ext uri="{FF2B5EF4-FFF2-40B4-BE49-F238E27FC236}">
              <a16:creationId xmlns:a16="http://schemas.microsoft.com/office/drawing/2014/main" id="{4509265C-F026-0C3D-ECA1-BAE37D83CAB7}"/>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3002" name="10">
          <a:extLst>
            <a:ext uri="{FF2B5EF4-FFF2-40B4-BE49-F238E27FC236}">
              <a16:creationId xmlns:a16="http://schemas.microsoft.com/office/drawing/2014/main" id="{A0AD7C3A-D029-244F-CBB5-0B250DFEB82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3003" name="직선 화살표 연결선 53002">
          <a:extLst>
            <a:ext uri="{FF2B5EF4-FFF2-40B4-BE49-F238E27FC236}">
              <a16:creationId xmlns:a16="http://schemas.microsoft.com/office/drawing/2014/main" id="{DA62BD8A-9FD4-948E-8A68-516296B71828}"/>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3004" name="9">
          <a:extLst>
            <a:ext uri="{FF2B5EF4-FFF2-40B4-BE49-F238E27FC236}">
              <a16:creationId xmlns:a16="http://schemas.microsoft.com/office/drawing/2014/main" id="{EEE02791-C330-79A7-E493-92419A03DF35}"/>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3005" name="직선 화살표 연결선 53004">
          <a:extLst>
            <a:ext uri="{FF2B5EF4-FFF2-40B4-BE49-F238E27FC236}">
              <a16:creationId xmlns:a16="http://schemas.microsoft.com/office/drawing/2014/main" id="{D43ECED8-D9FB-4298-9160-8D4D76456EA7}"/>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3006" name="8">
          <a:extLst>
            <a:ext uri="{FF2B5EF4-FFF2-40B4-BE49-F238E27FC236}">
              <a16:creationId xmlns:a16="http://schemas.microsoft.com/office/drawing/2014/main" id="{9B279CF0-350B-EA2F-76D0-B607C95B49DC}"/>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3007" name="직선 화살표 연결선 53006">
          <a:extLst>
            <a:ext uri="{FF2B5EF4-FFF2-40B4-BE49-F238E27FC236}">
              <a16:creationId xmlns:a16="http://schemas.microsoft.com/office/drawing/2014/main" id="{7E15DFE5-3668-82BF-9C15-0A4391DECE6E}"/>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3008" name="7">
          <a:extLst>
            <a:ext uri="{FF2B5EF4-FFF2-40B4-BE49-F238E27FC236}">
              <a16:creationId xmlns:a16="http://schemas.microsoft.com/office/drawing/2014/main" id="{83F5B7D2-B0A1-F499-7A68-FE3B55EA9D97}"/>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3009" name="6">
          <a:extLst>
            <a:ext uri="{FF2B5EF4-FFF2-40B4-BE49-F238E27FC236}">
              <a16:creationId xmlns:a16="http://schemas.microsoft.com/office/drawing/2014/main" id="{278E132D-F94A-07B4-013F-C2D164CF547A}"/>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3010" name="직선 화살표 연결선 53009">
          <a:extLst>
            <a:ext uri="{FF2B5EF4-FFF2-40B4-BE49-F238E27FC236}">
              <a16:creationId xmlns:a16="http://schemas.microsoft.com/office/drawing/2014/main" id="{16428BC7-6686-6499-DB67-45EFB4E09E73}"/>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3011" name="5">
          <a:extLst>
            <a:ext uri="{FF2B5EF4-FFF2-40B4-BE49-F238E27FC236}">
              <a16:creationId xmlns:a16="http://schemas.microsoft.com/office/drawing/2014/main" id="{74BECFE0-4F01-4500-1E44-1CD9BB8235A4}"/>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3012" name="직선 화살표 연결선 53011">
          <a:extLst>
            <a:ext uri="{FF2B5EF4-FFF2-40B4-BE49-F238E27FC236}">
              <a16:creationId xmlns:a16="http://schemas.microsoft.com/office/drawing/2014/main" id="{209577E4-7915-F81B-9220-A7641DA99156}"/>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3013" name="4">
          <a:extLst>
            <a:ext uri="{FF2B5EF4-FFF2-40B4-BE49-F238E27FC236}">
              <a16:creationId xmlns:a16="http://schemas.microsoft.com/office/drawing/2014/main" id="{D22DC07D-2183-6D6D-FEA2-C3A6217E1A6F}"/>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3014" name="직선 화살표 연결선 53013">
          <a:extLst>
            <a:ext uri="{FF2B5EF4-FFF2-40B4-BE49-F238E27FC236}">
              <a16:creationId xmlns:a16="http://schemas.microsoft.com/office/drawing/2014/main" id="{102B9969-6164-A316-82AC-097E6CEC7256}"/>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3015" name="3">
          <a:extLst>
            <a:ext uri="{FF2B5EF4-FFF2-40B4-BE49-F238E27FC236}">
              <a16:creationId xmlns:a16="http://schemas.microsoft.com/office/drawing/2014/main" id="{558E2832-03D4-CBE2-0E39-86EFED189EC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3016" name="직선 화살표 연결선 53015">
          <a:extLst>
            <a:ext uri="{FF2B5EF4-FFF2-40B4-BE49-F238E27FC236}">
              <a16:creationId xmlns:a16="http://schemas.microsoft.com/office/drawing/2014/main" id="{1FAE3FDE-8357-8D58-C152-FC47EF95A86C}"/>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3017" name="2">
          <a:extLst>
            <a:ext uri="{FF2B5EF4-FFF2-40B4-BE49-F238E27FC236}">
              <a16:creationId xmlns:a16="http://schemas.microsoft.com/office/drawing/2014/main" id="{E5ED7ADD-0983-3141-91AE-620062927623}"/>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3018" name="직선 화살표 연결선 53017">
          <a:extLst>
            <a:ext uri="{FF2B5EF4-FFF2-40B4-BE49-F238E27FC236}">
              <a16:creationId xmlns:a16="http://schemas.microsoft.com/office/drawing/2014/main" id="{FEAA91FA-0935-3676-A9FA-9820B25662D0}"/>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3019" name="1">
          <a:extLst>
            <a:ext uri="{FF2B5EF4-FFF2-40B4-BE49-F238E27FC236}">
              <a16:creationId xmlns:a16="http://schemas.microsoft.com/office/drawing/2014/main" id="{6775C425-E4F1-9A6C-E30F-1E264B2DE0CC}"/>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3020" name="직선 화살표 연결선 53019">
          <a:extLst>
            <a:ext uri="{FF2B5EF4-FFF2-40B4-BE49-F238E27FC236}">
              <a16:creationId xmlns:a16="http://schemas.microsoft.com/office/drawing/2014/main" id="{95782B85-25BA-ECFE-A3BE-3626F1378E08}"/>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3370" name="44">
          <a:extLst>
            <a:ext uri="{FF2B5EF4-FFF2-40B4-BE49-F238E27FC236}">
              <a16:creationId xmlns:a16="http://schemas.microsoft.com/office/drawing/2014/main" id="{D6EEF6D7-8D78-7A41-C62D-BCFAD1BF218D}"/>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3371" name="직선 화살표 연결선 53370">
          <a:extLst>
            <a:ext uri="{FF2B5EF4-FFF2-40B4-BE49-F238E27FC236}">
              <a16:creationId xmlns:a16="http://schemas.microsoft.com/office/drawing/2014/main" id="{991C49EF-B917-F2DC-FF13-300191D6A94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3372" name="43">
          <a:extLst>
            <a:ext uri="{FF2B5EF4-FFF2-40B4-BE49-F238E27FC236}">
              <a16:creationId xmlns:a16="http://schemas.microsoft.com/office/drawing/2014/main" id="{A9B67D94-21B3-2251-C27C-7DCCC9DDDA47}"/>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3373" name="직선 화살표 연결선 53372">
          <a:extLst>
            <a:ext uri="{FF2B5EF4-FFF2-40B4-BE49-F238E27FC236}">
              <a16:creationId xmlns:a16="http://schemas.microsoft.com/office/drawing/2014/main" id="{2AE55B7B-B057-1798-E034-3D0A987C7E63}"/>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3374" name="42">
          <a:extLst>
            <a:ext uri="{FF2B5EF4-FFF2-40B4-BE49-F238E27FC236}">
              <a16:creationId xmlns:a16="http://schemas.microsoft.com/office/drawing/2014/main" id="{14662045-F278-4BA4-9BA7-6ADA53A189A7}"/>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3375" name="직선 화살표 연결선 53374">
          <a:extLst>
            <a:ext uri="{FF2B5EF4-FFF2-40B4-BE49-F238E27FC236}">
              <a16:creationId xmlns:a16="http://schemas.microsoft.com/office/drawing/2014/main" id="{457C205F-5C57-F256-9BE9-95C49C189790}"/>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3376" name="41">
          <a:extLst>
            <a:ext uri="{FF2B5EF4-FFF2-40B4-BE49-F238E27FC236}">
              <a16:creationId xmlns:a16="http://schemas.microsoft.com/office/drawing/2014/main" id="{E5B0CF71-1399-ADDB-8129-4847B3E01363}"/>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3377" name="직선 화살표 연결선 53376">
          <a:extLst>
            <a:ext uri="{FF2B5EF4-FFF2-40B4-BE49-F238E27FC236}">
              <a16:creationId xmlns:a16="http://schemas.microsoft.com/office/drawing/2014/main" id="{A9A2DF2A-A1DB-011C-70CF-6F51CC9CEC51}"/>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3437" name="10">
          <a:extLst>
            <a:ext uri="{FF2B5EF4-FFF2-40B4-BE49-F238E27FC236}">
              <a16:creationId xmlns:a16="http://schemas.microsoft.com/office/drawing/2014/main" id="{17404D6C-1D86-5330-5F7D-70A599501667}"/>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3438" name="직선 화살표 연결선 53437">
          <a:extLst>
            <a:ext uri="{FF2B5EF4-FFF2-40B4-BE49-F238E27FC236}">
              <a16:creationId xmlns:a16="http://schemas.microsoft.com/office/drawing/2014/main" id="{BBD3D80D-92C4-BD36-C14E-5B69ED356EA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3439" name="9">
          <a:extLst>
            <a:ext uri="{FF2B5EF4-FFF2-40B4-BE49-F238E27FC236}">
              <a16:creationId xmlns:a16="http://schemas.microsoft.com/office/drawing/2014/main" id="{15AB9D39-A5FF-0550-E5EA-AB6D60FC3FB8}"/>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3440" name="직선 화살표 연결선 53439">
          <a:extLst>
            <a:ext uri="{FF2B5EF4-FFF2-40B4-BE49-F238E27FC236}">
              <a16:creationId xmlns:a16="http://schemas.microsoft.com/office/drawing/2014/main" id="{F1D91659-5ED1-91EC-70A4-7A06AD86AAB0}"/>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3441" name="8">
          <a:extLst>
            <a:ext uri="{FF2B5EF4-FFF2-40B4-BE49-F238E27FC236}">
              <a16:creationId xmlns:a16="http://schemas.microsoft.com/office/drawing/2014/main" id="{B003C788-0F73-4B80-FCB2-C2869066C7F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3442" name="직선 화살표 연결선 53441">
          <a:extLst>
            <a:ext uri="{FF2B5EF4-FFF2-40B4-BE49-F238E27FC236}">
              <a16:creationId xmlns:a16="http://schemas.microsoft.com/office/drawing/2014/main" id="{B793151C-0D2B-87BB-6A5E-E78170F4324F}"/>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3443" name="7">
          <a:extLst>
            <a:ext uri="{FF2B5EF4-FFF2-40B4-BE49-F238E27FC236}">
              <a16:creationId xmlns:a16="http://schemas.microsoft.com/office/drawing/2014/main" id="{B167BC4C-EC41-49D4-A3A5-293D4334BE0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3444" name="6">
          <a:extLst>
            <a:ext uri="{FF2B5EF4-FFF2-40B4-BE49-F238E27FC236}">
              <a16:creationId xmlns:a16="http://schemas.microsoft.com/office/drawing/2014/main" id="{75011019-FA52-0A75-9BCF-061545DBD2E0}"/>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3445" name="직선 화살표 연결선 53444">
          <a:extLst>
            <a:ext uri="{FF2B5EF4-FFF2-40B4-BE49-F238E27FC236}">
              <a16:creationId xmlns:a16="http://schemas.microsoft.com/office/drawing/2014/main" id="{84BE1F70-8A6E-144D-9AB5-D69FB1327F89}"/>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3446" name="5">
          <a:extLst>
            <a:ext uri="{FF2B5EF4-FFF2-40B4-BE49-F238E27FC236}">
              <a16:creationId xmlns:a16="http://schemas.microsoft.com/office/drawing/2014/main" id="{B14830FD-28CD-FC33-C174-786ABCF7D4AF}"/>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3447" name="직선 화살표 연결선 53446">
          <a:extLst>
            <a:ext uri="{FF2B5EF4-FFF2-40B4-BE49-F238E27FC236}">
              <a16:creationId xmlns:a16="http://schemas.microsoft.com/office/drawing/2014/main" id="{554748D1-170A-3BE0-E19F-8AF92734383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3448" name="4">
          <a:extLst>
            <a:ext uri="{FF2B5EF4-FFF2-40B4-BE49-F238E27FC236}">
              <a16:creationId xmlns:a16="http://schemas.microsoft.com/office/drawing/2014/main" id="{1F83966B-DB0D-E530-5974-0A15272D3FE6}"/>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3449" name="직선 화살표 연결선 53448">
          <a:extLst>
            <a:ext uri="{FF2B5EF4-FFF2-40B4-BE49-F238E27FC236}">
              <a16:creationId xmlns:a16="http://schemas.microsoft.com/office/drawing/2014/main" id="{24EC00B9-351C-4F5F-D9C3-0FEFC8D634F1}"/>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3450" name="3">
          <a:extLst>
            <a:ext uri="{FF2B5EF4-FFF2-40B4-BE49-F238E27FC236}">
              <a16:creationId xmlns:a16="http://schemas.microsoft.com/office/drawing/2014/main" id="{8933E228-28D9-423E-1855-2A2852D405F3}"/>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3451" name="직선 화살표 연결선 53450">
          <a:extLst>
            <a:ext uri="{FF2B5EF4-FFF2-40B4-BE49-F238E27FC236}">
              <a16:creationId xmlns:a16="http://schemas.microsoft.com/office/drawing/2014/main" id="{3FE9A953-BD51-CEBC-81BB-1A65ECE0F9F9}"/>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3452" name="2">
          <a:extLst>
            <a:ext uri="{FF2B5EF4-FFF2-40B4-BE49-F238E27FC236}">
              <a16:creationId xmlns:a16="http://schemas.microsoft.com/office/drawing/2014/main" id="{C6F52A91-8CE5-64F6-0369-52D9383C71BE}"/>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3453" name="직선 화살표 연결선 53452">
          <a:extLst>
            <a:ext uri="{FF2B5EF4-FFF2-40B4-BE49-F238E27FC236}">
              <a16:creationId xmlns:a16="http://schemas.microsoft.com/office/drawing/2014/main" id="{64E94188-851F-C820-C510-18077516D60F}"/>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3454" name="1">
          <a:extLst>
            <a:ext uri="{FF2B5EF4-FFF2-40B4-BE49-F238E27FC236}">
              <a16:creationId xmlns:a16="http://schemas.microsoft.com/office/drawing/2014/main" id="{9CABFC5B-0DF7-53CC-BACB-8F6556C1E792}"/>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3455" name="직선 화살표 연결선 53454">
          <a:extLst>
            <a:ext uri="{FF2B5EF4-FFF2-40B4-BE49-F238E27FC236}">
              <a16:creationId xmlns:a16="http://schemas.microsoft.com/office/drawing/2014/main" id="{8EB6B1DC-DBE7-489A-149C-DEEE517A028D}"/>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3805" name="44">
          <a:extLst>
            <a:ext uri="{FF2B5EF4-FFF2-40B4-BE49-F238E27FC236}">
              <a16:creationId xmlns:a16="http://schemas.microsoft.com/office/drawing/2014/main" id="{02D05B40-8F9A-7E71-EE07-6536E8C65DF4}"/>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3806" name="직선 화살표 연결선 53805">
          <a:extLst>
            <a:ext uri="{FF2B5EF4-FFF2-40B4-BE49-F238E27FC236}">
              <a16:creationId xmlns:a16="http://schemas.microsoft.com/office/drawing/2014/main" id="{79E79ACE-2560-84C4-2A5B-13C59A6344AB}"/>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3807" name="43">
          <a:extLst>
            <a:ext uri="{FF2B5EF4-FFF2-40B4-BE49-F238E27FC236}">
              <a16:creationId xmlns:a16="http://schemas.microsoft.com/office/drawing/2014/main" id="{2858BFF4-727E-200C-C442-A9A32368F656}"/>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3808" name="직선 화살표 연결선 53807">
          <a:extLst>
            <a:ext uri="{FF2B5EF4-FFF2-40B4-BE49-F238E27FC236}">
              <a16:creationId xmlns:a16="http://schemas.microsoft.com/office/drawing/2014/main" id="{BB171CEE-9538-3A5C-1F34-7890538E1405}"/>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3809" name="42">
          <a:extLst>
            <a:ext uri="{FF2B5EF4-FFF2-40B4-BE49-F238E27FC236}">
              <a16:creationId xmlns:a16="http://schemas.microsoft.com/office/drawing/2014/main" id="{E4D9F20C-0826-F352-FB64-289192CD8D04}"/>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3810" name="직선 화살표 연결선 53809">
          <a:extLst>
            <a:ext uri="{FF2B5EF4-FFF2-40B4-BE49-F238E27FC236}">
              <a16:creationId xmlns:a16="http://schemas.microsoft.com/office/drawing/2014/main" id="{90F1794F-9DF6-316A-2D4D-0E543F64CF8C}"/>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3811" name="41">
          <a:extLst>
            <a:ext uri="{FF2B5EF4-FFF2-40B4-BE49-F238E27FC236}">
              <a16:creationId xmlns:a16="http://schemas.microsoft.com/office/drawing/2014/main" id="{489A54EA-3AD6-B506-709B-68F6E50491E3}"/>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3812" name="직선 화살표 연결선 53811">
          <a:extLst>
            <a:ext uri="{FF2B5EF4-FFF2-40B4-BE49-F238E27FC236}">
              <a16:creationId xmlns:a16="http://schemas.microsoft.com/office/drawing/2014/main" id="{C3C79DED-851A-E6A1-ECE1-D148AEC95D94}"/>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3872" name="10">
          <a:extLst>
            <a:ext uri="{FF2B5EF4-FFF2-40B4-BE49-F238E27FC236}">
              <a16:creationId xmlns:a16="http://schemas.microsoft.com/office/drawing/2014/main" id="{E15F9263-5F01-1CAD-CE03-ECB288B7B71D}"/>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3873" name="직선 화살표 연결선 53872">
          <a:extLst>
            <a:ext uri="{FF2B5EF4-FFF2-40B4-BE49-F238E27FC236}">
              <a16:creationId xmlns:a16="http://schemas.microsoft.com/office/drawing/2014/main" id="{29740C78-0D3F-1D85-145A-C7B084638FC9}"/>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3874" name="9">
          <a:extLst>
            <a:ext uri="{FF2B5EF4-FFF2-40B4-BE49-F238E27FC236}">
              <a16:creationId xmlns:a16="http://schemas.microsoft.com/office/drawing/2014/main" id="{23F12E00-D720-6F65-70A6-1DA136EDCA39}"/>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3875" name="직선 화살표 연결선 53874">
          <a:extLst>
            <a:ext uri="{FF2B5EF4-FFF2-40B4-BE49-F238E27FC236}">
              <a16:creationId xmlns:a16="http://schemas.microsoft.com/office/drawing/2014/main" id="{2A6ED957-E9EA-7498-40C8-A6CDD64DB007}"/>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3876" name="8">
          <a:extLst>
            <a:ext uri="{FF2B5EF4-FFF2-40B4-BE49-F238E27FC236}">
              <a16:creationId xmlns:a16="http://schemas.microsoft.com/office/drawing/2014/main" id="{66DE0A76-7DA1-6070-2A37-CCFFFFDF239C}"/>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3877" name="직선 화살표 연결선 53876">
          <a:extLst>
            <a:ext uri="{FF2B5EF4-FFF2-40B4-BE49-F238E27FC236}">
              <a16:creationId xmlns:a16="http://schemas.microsoft.com/office/drawing/2014/main" id="{4EC9A768-D39E-B694-5F63-6CC4A3682918}"/>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3878" name="7">
          <a:extLst>
            <a:ext uri="{FF2B5EF4-FFF2-40B4-BE49-F238E27FC236}">
              <a16:creationId xmlns:a16="http://schemas.microsoft.com/office/drawing/2014/main" id="{B3989DE8-1E9A-4465-860B-EA85EC8CB13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3879" name="6">
          <a:extLst>
            <a:ext uri="{FF2B5EF4-FFF2-40B4-BE49-F238E27FC236}">
              <a16:creationId xmlns:a16="http://schemas.microsoft.com/office/drawing/2014/main" id="{EF0E0248-51E8-5C32-0C1D-F0E373183DBA}"/>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3880" name="직선 화살표 연결선 53879">
          <a:extLst>
            <a:ext uri="{FF2B5EF4-FFF2-40B4-BE49-F238E27FC236}">
              <a16:creationId xmlns:a16="http://schemas.microsoft.com/office/drawing/2014/main" id="{8B610A65-20B2-6487-843D-9A7B3B7F2726}"/>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3881" name="5">
          <a:extLst>
            <a:ext uri="{FF2B5EF4-FFF2-40B4-BE49-F238E27FC236}">
              <a16:creationId xmlns:a16="http://schemas.microsoft.com/office/drawing/2014/main" id="{3C93D168-2099-FCC0-7CB1-0E6855AD4BF1}"/>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3882" name="직선 화살표 연결선 53881">
          <a:extLst>
            <a:ext uri="{FF2B5EF4-FFF2-40B4-BE49-F238E27FC236}">
              <a16:creationId xmlns:a16="http://schemas.microsoft.com/office/drawing/2014/main" id="{F65ABCCF-974D-119C-0E16-7767742E0DCC}"/>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3883" name="4">
          <a:extLst>
            <a:ext uri="{FF2B5EF4-FFF2-40B4-BE49-F238E27FC236}">
              <a16:creationId xmlns:a16="http://schemas.microsoft.com/office/drawing/2014/main" id="{EBE9A5AA-ECD7-4D0C-DA68-033D3C2CE44C}"/>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3884" name="직선 화살표 연결선 53883">
          <a:extLst>
            <a:ext uri="{FF2B5EF4-FFF2-40B4-BE49-F238E27FC236}">
              <a16:creationId xmlns:a16="http://schemas.microsoft.com/office/drawing/2014/main" id="{A55CD1FF-7D30-17F4-C042-4839EE84A2D9}"/>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3885" name="3">
          <a:extLst>
            <a:ext uri="{FF2B5EF4-FFF2-40B4-BE49-F238E27FC236}">
              <a16:creationId xmlns:a16="http://schemas.microsoft.com/office/drawing/2014/main" id="{7B01BB12-2D1D-92D2-F0A7-97E6695B03E1}"/>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3886" name="직선 화살표 연결선 53885">
          <a:extLst>
            <a:ext uri="{FF2B5EF4-FFF2-40B4-BE49-F238E27FC236}">
              <a16:creationId xmlns:a16="http://schemas.microsoft.com/office/drawing/2014/main" id="{FAEA586E-03F8-621F-BE61-9434265DA9DB}"/>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3887" name="2">
          <a:extLst>
            <a:ext uri="{FF2B5EF4-FFF2-40B4-BE49-F238E27FC236}">
              <a16:creationId xmlns:a16="http://schemas.microsoft.com/office/drawing/2014/main" id="{2BB1664F-862A-8A55-8A52-657158860FE9}"/>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3888" name="직선 화살표 연결선 53887">
          <a:extLst>
            <a:ext uri="{FF2B5EF4-FFF2-40B4-BE49-F238E27FC236}">
              <a16:creationId xmlns:a16="http://schemas.microsoft.com/office/drawing/2014/main" id="{DA2F2E31-8DB7-C07C-7C3A-C5FC09335DB5}"/>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3889" name="1">
          <a:extLst>
            <a:ext uri="{FF2B5EF4-FFF2-40B4-BE49-F238E27FC236}">
              <a16:creationId xmlns:a16="http://schemas.microsoft.com/office/drawing/2014/main" id="{F777CEA0-4395-8546-D8C6-644A77678117}"/>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3890" name="직선 화살표 연결선 53889">
          <a:extLst>
            <a:ext uri="{FF2B5EF4-FFF2-40B4-BE49-F238E27FC236}">
              <a16:creationId xmlns:a16="http://schemas.microsoft.com/office/drawing/2014/main" id="{27BC464A-91CE-40AA-B2AB-C11F686D72A3}"/>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0</xdr:colOff>
      <xdr:row>47</xdr:row>
      <xdr:rowOff>133350</xdr:rowOff>
    </xdr:to>
    <xdr:sp macro="" textlink="">
      <xdr:nvSpPr>
        <xdr:cNvPr id="54240" name="44">
          <a:extLst>
            <a:ext uri="{FF2B5EF4-FFF2-40B4-BE49-F238E27FC236}">
              <a16:creationId xmlns:a16="http://schemas.microsoft.com/office/drawing/2014/main" id="{F5015D92-6BDC-13B3-0DCA-35632B815FD9}"/>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0</xdr:colOff>
      <xdr:row>47</xdr:row>
      <xdr:rowOff>76200</xdr:rowOff>
    </xdr:to>
    <xdr:cxnSp macro="">
      <xdr:nvCxnSpPr>
        <xdr:cNvPr id="54241" name="직선 화살표 연결선 54240">
          <a:extLst>
            <a:ext uri="{FF2B5EF4-FFF2-40B4-BE49-F238E27FC236}">
              <a16:creationId xmlns:a16="http://schemas.microsoft.com/office/drawing/2014/main" id="{AB142425-281A-96EF-D987-E21DA9EB7B76}"/>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31</xdr:col>
      <xdr:colOff>0</xdr:colOff>
      <xdr:row>46</xdr:row>
      <xdr:rowOff>133350</xdr:rowOff>
    </xdr:to>
    <xdr:sp macro="" textlink="">
      <xdr:nvSpPr>
        <xdr:cNvPr id="54242" name="43">
          <a:extLst>
            <a:ext uri="{FF2B5EF4-FFF2-40B4-BE49-F238E27FC236}">
              <a16:creationId xmlns:a16="http://schemas.microsoft.com/office/drawing/2014/main" id="{85D3D85F-65CF-D78E-C0FC-1A605C14782F}"/>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31</xdr:col>
      <xdr:colOff>0</xdr:colOff>
      <xdr:row>46</xdr:row>
      <xdr:rowOff>76200</xdr:rowOff>
    </xdr:to>
    <xdr:cxnSp macro="">
      <xdr:nvCxnSpPr>
        <xdr:cNvPr id="54243" name="직선 화살표 연결선 54242">
          <a:extLst>
            <a:ext uri="{FF2B5EF4-FFF2-40B4-BE49-F238E27FC236}">
              <a16:creationId xmlns:a16="http://schemas.microsoft.com/office/drawing/2014/main" id="{2D617CD2-DF7F-3DA5-A026-E92C1674AF14}"/>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31</xdr:col>
      <xdr:colOff>0</xdr:colOff>
      <xdr:row>45</xdr:row>
      <xdr:rowOff>133350</xdr:rowOff>
    </xdr:to>
    <xdr:sp macro="" textlink="">
      <xdr:nvSpPr>
        <xdr:cNvPr id="54244" name="42">
          <a:extLst>
            <a:ext uri="{FF2B5EF4-FFF2-40B4-BE49-F238E27FC236}">
              <a16:creationId xmlns:a16="http://schemas.microsoft.com/office/drawing/2014/main" id="{0D726A8F-80DB-084C-599D-161D96A16DC2}"/>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31</xdr:col>
      <xdr:colOff>0</xdr:colOff>
      <xdr:row>45</xdr:row>
      <xdr:rowOff>76200</xdr:rowOff>
    </xdr:to>
    <xdr:cxnSp macro="">
      <xdr:nvCxnSpPr>
        <xdr:cNvPr id="54245" name="직선 화살표 연결선 54244">
          <a:extLst>
            <a:ext uri="{FF2B5EF4-FFF2-40B4-BE49-F238E27FC236}">
              <a16:creationId xmlns:a16="http://schemas.microsoft.com/office/drawing/2014/main" id="{055EB275-AB9F-3738-13DC-5E2EC35D58C3}"/>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31</xdr:col>
      <xdr:colOff>0</xdr:colOff>
      <xdr:row>44</xdr:row>
      <xdr:rowOff>133350</xdr:rowOff>
    </xdr:to>
    <xdr:sp macro="" textlink="">
      <xdr:nvSpPr>
        <xdr:cNvPr id="54246" name="41">
          <a:extLst>
            <a:ext uri="{FF2B5EF4-FFF2-40B4-BE49-F238E27FC236}">
              <a16:creationId xmlns:a16="http://schemas.microsoft.com/office/drawing/2014/main" id="{197D878F-C225-DC49-3C3D-B98A2F556174}"/>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31</xdr:col>
      <xdr:colOff>0</xdr:colOff>
      <xdr:row>44</xdr:row>
      <xdr:rowOff>76200</xdr:rowOff>
    </xdr:to>
    <xdr:cxnSp macro="">
      <xdr:nvCxnSpPr>
        <xdr:cNvPr id="54247" name="직선 화살표 연결선 54246">
          <a:extLst>
            <a:ext uri="{FF2B5EF4-FFF2-40B4-BE49-F238E27FC236}">
              <a16:creationId xmlns:a16="http://schemas.microsoft.com/office/drawing/2014/main" id="{50AD2384-F8C4-92F9-EC59-3F9CEE4D4F17}"/>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31</xdr:col>
      <xdr:colOff>0</xdr:colOff>
      <xdr:row>13</xdr:row>
      <xdr:rowOff>133350</xdr:rowOff>
    </xdr:to>
    <xdr:sp macro="" textlink="">
      <xdr:nvSpPr>
        <xdr:cNvPr id="54307" name="10">
          <a:extLst>
            <a:ext uri="{FF2B5EF4-FFF2-40B4-BE49-F238E27FC236}">
              <a16:creationId xmlns:a16="http://schemas.microsoft.com/office/drawing/2014/main" id="{82778F00-A7D4-7598-9DCC-DF2D09C62E8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31</xdr:col>
      <xdr:colOff>0</xdr:colOff>
      <xdr:row>13</xdr:row>
      <xdr:rowOff>76200</xdr:rowOff>
    </xdr:to>
    <xdr:cxnSp macro="">
      <xdr:nvCxnSpPr>
        <xdr:cNvPr id="54308" name="직선 화살표 연결선 54307">
          <a:extLst>
            <a:ext uri="{FF2B5EF4-FFF2-40B4-BE49-F238E27FC236}">
              <a16:creationId xmlns:a16="http://schemas.microsoft.com/office/drawing/2014/main" id="{2D34854E-F443-7BCE-340B-DC02CD36AB70}"/>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31</xdr:col>
      <xdr:colOff>0</xdr:colOff>
      <xdr:row>12</xdr:row>
      <xdr:rowOff>133350</xdr:rowOff>
    </xdr:to>
    <xdr:sp macro="" textlink="">
      <xdr:nvSpPr>
        <xdr:cNvPr id="54309" name="9">
          <a:extLst>
            <a:ext uri="{FF2B5EF4-FFF2-40B4-BE49-F238E27FC236}">
              <a16:creationId xmlns:a16="http://schemas.microsoft.com/office/drawing/2014/main" id="{F9D33D85-4FBD-E6BA-0BBB-CB8B6E946036}"/>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31</xdr:col>
      <xdr:colOff>0</xdr:colOff>
      <xdr:row>12</xdr:row>
      <xdr:rowOff>76200</xdr:rowOff>
    </xdr:to>
    <xdr:cxnSp macro="">
      <xdr:nvCxnSpPr>
        <xdr:cNvPr id="54310" name="직선 화살표 연결선 54309">
          <a:extLst>
            <a:ext uri="{FF2B5EF4-FFF2-40B4-BE49-F238E27FC236}">
              <a16:creationId xmlns:a16="http://schemas.microsoft.com/office/drawing/2014/main" id="{30596DE1-B7BB-631B-2BBA-82AD81637005}"/>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31</xdr:col>
      <xdr:colOff>0</xdr:colOff>
      <xdr:row>11</xdr:row>
      <xdr:rowOff>133350</xdr:rowOff>
    </xdr:to>
    <xdr:sp macro="" textlink="">
      <xdr:nvSpPr>
        <xdr:cNvPr id="54311" name="8">
          <a:extLst>
            <a:ext uri="{FF2B5EF4-FFF2-40B4-BE49-F238E27FC236}">
              <a16:creationId xmlns:a16="http://schemas.microsoft.com/office/drawing/2014/main" id="{1EA400BF-5F4F-269B-9790-45BD450F6D62}"/>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31</xdr:col>
      <xdr:colOff>0</xdr:colOff>
      <xdr:row>11</xdr:row>
      <xdr:rowOff>76200</xdr:rowOff>
    </xdr:to>
    <xdr:cxnSp macro="">
      <xdr:nvCxnSpPr>
        <xdr:cNvPr id="54312" name="직선 화살표 연결선 54311">
          <a:extLst>
            <a:ext uri="{FF2B5EF4-FFF2-40B4-BE49-F238E27FC236}">
              <a16:creationId xmlns:a16="http://schemas.microsoft.com/office/drawing/2014/main" id="{98951277-680C-2572-B8A4-D7CBCEA1DFB5}"/>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0</xdr:colOff>
      <xdr:row>10</xdr:row>
      <xdr:rowOff>146050</xdr:rowOff>
    </xdr:to>
    <xdr:sp macro="" textlink="">
      <xdr:nvSpPr>
        <xdr:cNvPr id="54313" name="7">
          <a:extLst>
            <a:ext uri="{FF2B5EF4-FFF2-40B4-BE49-F238E27FC236}">
              <a16:creationId xmlns:a16="http://schemas.microsoft.com/office/drawing/2014/main" id="{DF55F7D5-702B-9A03-D4FF-FB9C2BADB00A}"/>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31</xdr:col>
      <xdr:colOff>0</xdr:colOff>
      <xdr:row>9</xdr:row>
      <xdr:rowOff>133350</xdr:rowOff>
    </xdr:to>
    <xdr:sp macro="" textlink="">
      <xdr:nvSpPr>
        <xdr:cNvPr id="54314" name="6">
          <a:extLst>
            <a:ext uri="{FF2B5EF4-FFF2-40B4-BE49-F238E27FC236}">
              <a16:creationId xmlns:a16="http://schemas.microsoft.com/office/drawing/2014/main" id="{A8071DE3-BA1A-F52D-41E7-CC212D600EE9}"/>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31</xdr:col>
      <xdr:colOff>0</xdr:colOff>
      <xdr:row>9</xdr:row>
      <xdr:rowOff>76200</xdr:rowOff>
    </xdr:to>
    <xdr:cxnSp macro="">
      <xdr:nvCxnSpPr>
        <xdr:cNvPr id="54315" name="직선 화살표 연결선 54314">
          <a:extLst>
            <a:ext uri="{FF2B5EF4-FFF2-40B4-BE49-F238E27FC236}">
              <a16:creationId xmlns:a16="http://schemas.microsoft.com/office/drawing/2014/main" id="{101550D5-981F-6744-C57A-85C598D52984}"/>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31</xdr:col>
      <xdr:colOff>0</xdr:colOff>
      <xdr:row>8</xdr:row>
      <xdr:rowOff>133350</xdr:rowOff>
    </xdr:to>
    <xdr:sp macro="" textlink="">
      <xdr:nvSpPr>
        <xdr:cNvPr id="54316" name="5">
          <a:extLst>
            <a:ext uri="{FF2B5EF4-FFF2-40B4-BE49-F238E27FC236}">
              <a16:creationId xmlns:a16="http://schemas.microsoft.com/office/drawing/2014/main" id="{D5D8329C-95B4-D2FF-1348-DDEE347C5216}"/>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31</xdr:col>
      <xdr:colOff>0</xdr:colOff>
      <xdr:row>8</xdr:row>
      <xdr:rowOff>76200</xdr:rowOff>
    </xdr:to>
    <xdr:cxnSp macro="">
      <xdr:nvCxnSpPr>
        <xdr:cNvPr id="54317" name="직선 화살표 연결선 54316">
          <a:extLst>
            <a:ext uri="{FF2B5EF4-FFF2-40B4-BE49-F238E27FC236}">
              <a16:creationId xmlns:a16="http://schemas.microsoft.com/office/drawing/2014/main" id="{41677814-A594-C44A-6ACE-F8FB8D568515}"/>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31</xdr:col>
      <xdr:colOff>0</xdr:colOff>
      <xdr:row>7</xdr:row>
      <xdr:rowOff>133350</xdr:rowOff>
    </xdr:to>
    <xdr:sp macro="" textlink="">
      <xdr:nvSpPr>
        <xdr:cNvPr id="54318" name="4">
          <a:extLst>
            <a:ext uri="{FF2B5EF4-FFF2-40B4-BE49-F238E27FC236}">
              <a16:creationId xmlns:a16="http://schemas.microsoft.com/office/drawing/2014/main" id="{D7FAF399-44C1-07B4-A8DF-A6C6B7139C5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31</xdr:col>
      <xdr:colOff>0</xdr:colOff>
      <xdr:row>7</xdr:row>
      <xdr:rowOff>76200</xdr:rowOff>
    </xdr:to>
    <xdr:cxnSp macro="">
      <xdr:nvCxnSpPr>
        <xdr:cNvPr id="54319" name="직선 화살표 연결선 54318">
          <a:extLst>
            <a:ext uri="{FF2B5EF4-FFF2-40B4-BE49-F238E27FC236}">
              <a16:creationId xmlns:a16="http://schemas.microsoft.com/office/drawing/2014/main" id="{AA726D7E-F86F-D3D7-CF48-69F9F2EAE5E1}"/>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31</xdr:col>
      <xdr:colOff>0</xdr:colOff>
      <xdr:row>6</xdr:row>
      <xdr:rowOff>133350</xdr:rowOff>
    </xdr:to>
    <xdr:sp macro="" textlink="">
      <xdr:nvSpPr>
        <xdr:cNvPr id="54320" name="3">
          <a:extLst>
            <a:ext uri="{FF2B5EF4-FFF2-40B4-BE49-F238E27FC236}">
              <a16:creationId xmlns:a16="http://schemas.microsoft.com/office/drawing/2014/main" id="{70C3FAA0-F27F-07CA-80A4-51C266B799A5}"/>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31</xdr:col>
      <xdr:colOff>0</xdr:colOff>
      <xdr:row>6</xdr:row>
      <xdr:rowOff>76200</xdr:rowOff>
    </xdr:to>
    <xdr:cxnSp macro="">
      <xdr:nvCxnSpPr>
        <xdr:cNvPr id="54321" name="직선 화살표 연결선 54320">
          <a:extLst>
            <a:ext uri="{FF2B5EF4-FFF2-40B4-BE49-F238E27FC236}">
              <a16:creationId xmlns:a16="http://schemas.microsoft.com/office/drawing/2014/main" id="{8CD24DD1-7970-3AA1-EF7A-1AEA9F684932}"/>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31</xdr:col>
      <xdr:colOff>0</xdr:colOff>
      <xdr:row>5</xdr:row>
      <xdr:rowOff>133350</xdr:rowOff>
    </xdr:to>
    <xdr:sp macro="" textlink="">
      <xdr:nvSpPr>
        <xdr:cNvPr id="54322" name="2">
          <a:extLst>
            <a:ext uri="{FF2B5EF4-FFF2-40B4-BE49-F238E27FC236}">
              <a16:creationId xmlns:a16="http://schemas.microsoft.com/office/drawing/2014/main" id="{FB8FDFD1-AA0C-36A5-7914-83819349067B}"/>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31</xdr:col>
      <xdr:colOff>0</xdr:colOff>
      <xdr:row>5</xdr:row>
      <xdr:rowOff>76200</xdr:rowOff>
    </xdr:to>
    <xdr:cxnSp macro="">
      <xdr:nvCxnSpPr>
        <xdr:cNvPr id="54323" name="직선 화살표 연결선 54322">
          <a:extLst>
            <a:ext uri="{FF2B5EF4-FFF2-40B4-BE49-F238E27FC236}">
              <a16:creationId xmlns:a16="http://schemas.microsoft.com/office/drawing/2014/main" id="{EC16A543-7E5B-05D1-C499-E1EB290FC4CB}"/>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31</xdr:col>
      <xdr:colOff>0</xdr:colOff>
      <xdr:row>4</xdr:row>
      <xdr:rowOff>133350</xdr:rowOff>
    </xdr:to>
    <xdr:sp macro="" textlink="">
      <xdr:nvSpPr>
        <xdr:cNvPr id="54324" name="1">
          <a:extLst>
            <a:ext uri="{FF2B5EF4-FFF2-40B4-BE49-F238E27FC236}">
              <a16:creationId xmlns:a16="http://schemas.microsoft.com/office/drawing/2014/main" id="{7204BB9D-141B-E781-C35E-4335957EFD5E}"/>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31</xdr:col>
      <xdr:colOff>0</xdr:colOff>
      <xdr:row>4</xdr:row>
      <xdr:rowOff>76200</xdr:rowOff>
    </xdr:to>
    <xdr:cxnSp macro="">
      <xdr:nvCxnSpPr>
        <xdr:cNvPr id="54325" name="직선 화살표 연결선 54324">
          <a:extLst>
            <a:ext uri="{FF2B5EF4-FFF2-40B4-BE49-F238E27FC236}">
              <a16:creationId xmlns:a16="http://schemas.microsoft.com/office/drawing/2014/main" id="{D58ED7C2-B405-50C0-4EB2-320A65A89EA4}"/>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714375</xdr:colOff>
      <xdr:row>3</xdr:row>
      <xdr:rowOff>76073</xdr:rowOff>
    </xdr:from>
    <xdr:to>
      <xdr:col>46</xdr:col>
      <xdr:colOff>714375</xdr:colOff>
      <xdr:row>306</xdr:row>
      <xdr:rowOff>0</xdr:rowOff>
    </xdr:to>
    <xdr:cxnSp macro="">
      <xdr:nvCxnSpPr>
        <xdr:cNvPr id="54330" name="직선 화살표 연결선 54329">
          <a:extLst>
            <a:ext uri="{FF2B5EF4-FFF2-40B4-BE49-F238E27FC236}">
              <a16:creationId xmlns:a16="http://schemas.microsoft.com/office/drawing/2014/main" id="{09E99ACE-3AAF-DF09-4352-76A5CAFCB331}"/>
            </a:ext>
          </a:extLst>
        </xdr:cNvPr>
        <xdr:cNvCxnSpPr/>
      </xdr:nvCxnSpPr>
      <xdr:spPr>
        <a:xfrm>
          <a:off x="25117425" y="819023"/>
          <a:ext cx="0" cy="461678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714375</xdr:colOff>
      <xdr:row>3</xdr:row>
      <xdr:rowOff>76073</xdr:rowOff>
    </xdr:from>
    <xdr:to>
      <xdr:col>62</xdr:col>
      <xdr:colOff>714375</xdr:colOff>
      <xdr:row>306</xdr:row>
      <xdr:rowOff>0</xdr:rowOff>
    </xdr:to>
    <xdr:cxnSp macro="">
      <xdr:nvCxnSpPr>
        <xdr:cNvPr id="54331" name="직선 화살표 연결선 54330">
          <a:extLst>
            <a:ext uri="{FF2B5EF4-FFF2-40B4-BE49-F238E27FC236}">
              <a16:creationId xmlns:a16="http://schemas.microsoft.com/office/drawing/2014/main" id="{402ED02C-E64C-BD0D-891B-6B7BE9B3D7B9}"/>
            </a:ext>
          </a:extLst>
        </xdr:cNvPr>
        <xdr:cNvCxnSpPr/>
      </xdr:nvCxnSpPr>
      <xdr:spPr>
        <a:xfrm>
          <a:off x="37309425" y="819023"/>
          <a:ext cx="0" cy="461678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714375</xdr:colOff>
      <xdr:row>3</xdr:row>
      <xdr:rowOff>76073</xdr:rowOff>
    </xdr:from>
    <xdr:to>
      <xdr:col>78</xdr:col>
      <xdr:colOff>714375</xdr:colOff>
      <xdr:row>306</xdr:row>
      <xdr:rowOff>0</xdr:rowOff>
    </xdr:to>
    <xdr:cxnSp macro="">
      <xdr:nvCxnSpPr>
        <xdr:cNvPr id="54332" name="직선 화살표 연결선 54331">
          <a:extLst>
            <a:ext uri="{FF2B5EF4-FFF2-40B4-BE49-F238E27FC236}">
              <a16:creationId xmlns:a16="http://schemas.microsoft.com/office/drawing/2014/main" id="{EF5CFC8D-9037-547D-83A6-3147BA68FC07}"/>
            </a:ext>
          </a:extLst>
        </xdr:cNvPr>
        <xdr:cNvCxnSpPr/>
      </xdr:nvCxnSpPr>
      <xdr:spPr>
        <a:xfrm>
          <a:off x="49501425" y="819023"/>
          <a:ext cx="0" cy="4616780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123825</xdr:colOff>
      <xdr:row>3</xdr:row>
      <xdr:rowOff>76073</xdr:rowOff>
    </xdr:from>
    <xdr:to>
      <xdr:col>50</xdr:col>
      <xdr:colOff>123825</xdr:colOff>
      <xdr:row>306</xdr:row>
      <xdr:rowOff>0</xdr:rowOff>
    </xdr:to>
    <xdr:cxnSp macro="">
      <xdr:nvCxnSpPr>
        <xdr:cNvPr id="54333" name="직선 화살표 연결선 54332">
          <a:extLst>
            <a:ext uri="{FF2B5EF4-FFF2-40B4-BE49-F238E27FC236}">
              <a16:creationId xmlns:a16="http://schemas.microsoft.com/office/drawing/2014/main" id="{1B49FCCB-489F-4CA4-F1CC-6AF00FD26A92}"/>
            </a:ext>
          </a:extLst>
        </xdr:cNvPr>
        <xdr:cNvCxnSpPr/>
      </xdr:nvCxnSpPr>
      <xdr:spPr>
        <a:xfrm>
          <a:off x="15630525" y="819023"/>
          <a:ext cx="0" cy="46167802"/>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85725</xdr:colOff>
      <xdr:row>305</xdr:row>
      <xdr:rowOff>19050</xdr:rowOff>
    </xdr:from>
    <xdr:to>
      <xdr:col>84</xdr:col>
      <xdr:colOff>48895</xdr:colOff>
      <xdr:row>305</xdr:row>
      <xdr:rowOff>133350</xdr:rowOff>
    </xdr:to>
    <xdr:sp macro="" textlink="">
      <xdr:nvSpPr>
        <xdr:cNvPr id="54334" name="302">
          <a:extLst>
            <a:ext uri="{FF2B5EF4-FFF2-40B4-BE49-F238E27FC236}">
              <a16:creationId xmlns:a16="http://schemas.microsoft.com/office/drawing/2014/main" id="{7633EDB7-59E1-6502-0231-DCCC84D85A1B}"/>
            </a:ext>
          </a:extLst>
        </xdr:cNvPr>
        <xdr:cNvSpPr/>
      </xdr:nvSpPr>
      <xdr:spPr>
        <a:xfrm>
          <a:off x="19726275" y="46853475"/>
          <a:ext cx="363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85725</xdr:colOff>
      <xdr:row>305</xdr:row>
      <xdr:rowOff>76200</xdr:rowOff>
    </xdr:from>
    <xdr:to>
      <xdr:col>81</xdr:col>
      <xdr:colOff>85725</xdr:colOff>
      <xdr:row>305</xdr:row>
      <xdr:rowOff>76200</xdr:rowOff>
    </xdr:to>
    <xdr:cxnSp macro="">
      <xdr:nvCxnSpPr>
        <xdr:cNvPr id="54335" name="직선 화살표 연결선 54334">
          <a:extLst>
            <a:ext uri="{FF2B5EF4-FFF2-40B4-BE49-F238E27FC236}">
              <a16:creationId xmlns:a16="http://schemas.microsoft.com/office/drawing/2014/main" id="{0A5631F7-4E24-E8E7-865E-CF83D8D7747D}"/>
            </a:ext>
          </a:extLst>
        </xdr:cNvPr>
        <xdr:cNvCxnSpPr/>
      </xdr:nvCxnSpPr>
      <xdr:spPr>
        <a:xfrm>
          <a:off x="19726275" y="46910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304</xdr:row>
      <xdr:rowOff>19050</xdr:rowOff>
    </xdr:from>
    <xdr:to>
      <xdr:col>81</xdr:col>
      <xdr:colOff>67945</xdr:colOff>
      <xdr:row>304</xdr:row>
      <xdr:rowOff>133350</xdr:rowOff>
    </xdr:to>
    <xdr:sp macro="" textlink="">
      <xdr:nvSpPr>
        <xdr:cNvPr id="54336" name="301">
          <a:extLst>
            <a:ext uri="{FF2B5EF4-FFF2-40B4-BE49-F238E27FC236}">
              <a16:creationId xmlns:a16="http://schemas.microsoft.com/office/drawing/2014/main" id="{5FD157D4-3DC8-64FA-26AA-6D57E2D95FFC}"/>
            </a:ext>
          </a:extLst>
        </xdr:cNvPr>
        <xdr:cNvSpPr/>
      </xdr:nvSpPr>
      <xdr:spPr>
        <a:xfrm>
          <a:off x="19135725" y="46701075"/>
          <a:ext cx="572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304</xdr:row>
      <xdr:rowOff>76200</xdr:rowOff>
    </xdr:from>
    <xdr:to>
      <xdr:col>77</xdr:col>
      <xdr:colOff>28575</xdr:colOff>
      <xdr:row>304</xdr:row>
      <xdr:rowOff>76200</xdr:rowOff>
    </xdr:to>
    <xdr:cxnSp macro="">
      <xdr:nvCxnSpPr>
        <xdr:cNvPr id="54337" name="직선 화살표 연결선 54336">
          <a:extLst>
            <a:ext uri="{FF2B5EF4-FFF2-40B4-BE49-F238E27FC236}">
              <a16:creationId xmlns:a16="http://schemas.microsoft.com/office/drawing/2014/main" id="{F574A1CE-FC4C-70E7-D233-C29C75176B3D}"/>
            </a:ext>
          </a:extLst>
        </xdr:cNvPr>
        <xdr:cNvCxnSpPr/>
      </xdr:nvCxnSpPr>
      <xdr:spPr>
        <a:xfrm>
          <a:off x="19135725" y="46758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303</xdr:row>
      <xdr:rowOff>19050</xdr:rowOff>
    </xdr:from>
    <xdr:to>
      <xdr:col>81</xdr:col>
      <xdr:colOff>67945</xdr:colOff>
      <xdr:row>303</xdr:row>
      <xdr:rowOff>133350</xdr:rowOff>
    </xdr:to>
    <xdr:sp macro="" textlink="">
      <xdr:nvSpPr>
        <xdr:cNvPr id="54338" name="300">
          <a:extLst>
            <a:ext uri="{FF2B5EF4-FFF2-40B4-BE49-F238E27FC236}">
              <a16:creationId xmlns:a16="http://schemas.microsoft.com/office/drawing/2014/main" id="{F0ED8EC5-7AE1-1A62-97BD-8C6EB086D617}"/>
            </a:ext>
          </a:extLst>
        </xdr:cNvPr>
        <xdr:cNvSpPr/>
      </xdr:nvSpPr>
      <xdr:spPr>
        <a:xfrm>
          <a:off x="19135725" y="46548675"/>
          <a:ext cx="572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303</xdr:row>
      <xdr:rowOff>76200</xdr:rowOff>
    </xdr:from>
    <xdr:to>
      <xdr:col>77</xdr:col>
      <xdr:colOff>28575</xdr:colOff>
      <xdr:row>303</xdr:row>
      <xdr:rowOff>76200</xdr:rowOff>
    </xdr:to>
    <xdr:cxnSp macro="">
      <xdr:nvCxnSpPr>
        <xdr:cNvPr id="54339" name="직선 화살표 연결선 54338">
          <a:extLst>
            <a:ext uri="{FF2B5EF4-FFF2-40B4-BE49-F238E27FC236}">
              <a16:creationId xmlns:a16="http://schemas.microsoft.com/office/drawing/2014/main" id="{266557E7-12FB-BEC7-09EE-34AD0F8864E0}"/>
            </a:ext>
          </a:extLst>
        </xdr:cNvPr>
        <xdr:cNvCxnSpPr/>
      </xdr:nvCxnSpPr>
      <xdr:spPr>
        <a:xfrm>
          <a:off x="19135725" y="46605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302</xdr:row>
      <xdr:rowOff>19050</xdr:rowOff>
    </xdr:from>
    <xdr:to>
      <xdr:col>81</xdr:col>
      <xdr:colOff>67945</xdr:colOff>
      <xdr:row>302</xdr:row>
      <xdr:rowOff>133350</xdr:rowOff>
    </xdr:to>
    <xdr:sp macro="" textlink="">
      <xdr:nvSpPr>
        <xdr:cNvPr id="54340" name="299">
          <a:extLst>
            <a:ext uri="{FF2B5EF4-FFF2-40B4-BE49-F238E27FC236}">
              <a16:creationId xmlns:a16="http://schemas.microsoft.com/office/drawing/2014/main" id="{5C802932-15A8-DAF3-5DF8-64939EC6D491}"/>
            </a:ext>
          </a:extLst>
        </xdr:cNvPr>
        <xdr:cNvSpPr/>
      </xdr:nvSpPr>
      <xdr:spPr>
        <a:xfrm>
          <a:off x="19135725" y="46396275"/>
          <a:ext cx="572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302</xdr:row>
      <xdr:rowOff>76200</xdr:rowOff>
    </xdr:from>
    <xdr:to>
      <xdr:col>77</xdr:col>
      <xdr:colOff>28575</xdr:colOff>
      <xdr:row>302</xdr:row>
      <xdr:rowOff>76200</xdr:rowOff>
    </xdr:to>
    <xdr:cxnSp macro="">
      <xdr:nvCxnSpPr>
        <xdr:cNvPr id="54341" name="직선 화살표 연결선 54340">
          <a:extLst>
            <a:ext uri="{FF2B5EF4-FFF2-40B4-BE49-F238E27FC236}">
              <a16:creationId xmlns:a16="http://schemas.microsoft.com/office/drawing/2014/main" id="{B22B1FE0-9107-9E3E-6AD8-CDEEB1826735}"/>
            </a:ext>
          </a:extLst>
        </xdr:cNvPr>
        <xdr:cNvCxnSpPr/>
      </xdr:nvCxnSpPr>
      <xdr:spPr>
        <a:xfrm>
          <a:off x="19135725" y="46453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301</xdr:row>
      <xdr:rowOff>19050</xdr:rowOff>
    </xdr:from>
    <xdr:to>
      <xdr:col>84</xdr:col>
      <xdr:colOff>48895</xdr:colOff>
      <xdr:row>301</xdr:row>
      <xdr:rowOff>133350</xdr:rowOff>
    </xdr:to>
    <xdr:sp macro="" textlink="">
      <xdr:nvSpPr>
        <xdr:cNvPr id="54342" name="298">
          <a:extLst>
            <a:ext uri="{FF2B5EF4-FFF2-40B4-BE49-F238E27FC236}">
              <a16:creationId xmlns:a16="http://schemas.microsoft.com/office/drawing/2014/main" id="{917BA548-16B6-74A6-6A5E-BF6813E8F01E}"/>
            </a:ext>
          </a:extLst>
        </xdr:cNvPr>
        <xdr:cNvSpPr/>
      </xdr:nvSpPr>
      <xdr:spPr>
        <a:xfrm>
          <a:off x="19135725" y="46243875"/>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301</xdr:row>
      <xdr:rowOff>76200</xdr:rowOff>
    </xdr:from>
    <xdr:to>
      <xdr:col>77</xdr:col>
      <xdr:colOff>28575</xdr:colOff>
      <xdr:row>301</xdr:row>
      <xdr:rowOff>76200</xdr:rowOff>
    </xdr:to>
    <xdr:cxnSp macro="">
      <xdr:nvCxnSpPr>
        <xdr:cNvPr id="54343" name="직선 화살표 연결선 54342">
          <a:extLst>
            <a:ext uri="{FF2B5EF4-FFF2-40B4-BE49-F238E27FC236}">
              <a16:creationId xmlns:a16="http://schemas.microsoft.com/office/drawing/2014/main" id="{1635BB5F-41CC-D44F-0941-4F4CF7488159}"/>
            </a:ext>
          </a:extLst>
        </xdr:cNvPr>
        <xdr:cNvCxnSpPr/>
      </xdr:nvCxnSpPr>
      <xdr:spPr>
        <a:xfrm>
          <a:off x="19135725" y="46301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104775</xdr:colOff>
      <xdr:row>300</xdr:row>
      <xdr:rowOff>19050</xdr:rowOff>
    </xdr:from>
    <xdr:to>
      <xdr:col>77</xdr:col>
      <xdr:colOff>29845</xdr:colOff>
      <xdr:row>300</xdr:row>
      <xdr:rowOff>133350</xdr:rowOff>
    </xdr:to>
    <xdr:sp macro="" textlink="">
      <xdr:nvSpPr>
        <xdr:cNvPr id="54344" name="297">
          <a:extLst>
            <a:ext uri="{FF2B5EF4-FFF2-40B4-BE49-F238E27FC236}">
              <a16:creationId xmlns:a16="http://schemas.microsoft.com/office/drawing/2014/main" id="{6D188585-695C-FC69-84F2-5BFDC2D2633E}"/>
            </a:ext>
          </a:extLst>
        </xdr:cNvPr>
        <xdr:cNvSpPr/>
      </xdr:nvSpPr>
      <xdr:spPr>
        <a:xfrm>
          <a:off x="19078575" y="46091475"/>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104775</xdr:colOff>
      <xdr:row>300</xdr:row>
      <xdr:rowOff>76200</xdr:rowOff>
    </xdr:from>
    <xdr:to>
      <xdr:col>76</xdr:col>
      <xdr:colOff>104775</xdr:colOff>
      <xdr:row>300</xdr:row>
      <xdr:rowOff>76200</xdr:rowOff>
    </xdr:to>
    <xdr:cxnSp macro="">
      <xdr:nvCxnSpPr>
        <xdr:cNvPr id="54345" name="직선 화살표 연결선 54344">
          <a:extLst>
            <a:ext uri="{FF2B5EF4-FFF2-40B4-BE49-F238E27FC236}">
              <a16:creationId xmlns:a16="http://schemas.microsoft.com/office/drawing/2014/main" id="{C96E0730-E2FD-BC1E-B590-8319C117361D}"/>
            </a:ext>
          </a:extLst>
        </xdr:cNvPr>
        <xdr:cNvCxnSpPr/>
      </xdr:nvCxnSpPr>
      <xdr:spPr>
        <a:xfrm>
          <a:off x="19078575" y="46148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104775</xdr:colOff>
      <xdr:row>299</xdr:row>
      <xdr:rowOff>19050</xdr:rowOff>
    </xdr:from>
    <xdr:to>
      <xdr:col>76</xdr:col>
      <xdr:colOff>125095</xdr:colOff>
      <xdr:row>299</xdr:row>
      <xdr:rowOff>133350</xdr:rowOff>
    </xdr:to>
    <xdr:sp macro="" textlink="">
      <xdr:nvSpPr>
        <xdr:cNvPr id="54346" name="296">
          <a:extLst>
            <a:ext uri="{FF2B5EF4-FFF2-40B4-BE49-F238E27FC236}">
              <a16:creationId xmlns:a16="http://schemas.microsoft.com/office/drawing/2014/main" id="{1B9399BC-DA4E-52C4-9DEC-4F0239B7A7EC}"/>
            </a:ext>
          </a:extLst>
        </xdr:cNvPr>
        <xdr:cNvSpPr/>
      </xdr:nvSpPr>
      <xdr:spPr>
        <a:xfrm>
          <a:off x="19078575" y="45939075"/>
          <a:ext cx="20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104775</xdr:colOff>
      <xdr:row>299</xdr:row>
      <xdr:rowOff>76200</xdr:rowOff>
    </xdr:from>
    <xdr:to>
      <xdr:col>76</xdr:col>
      <xdr:colOff>104775</xdr:colOff>
      <xdr:row>299</xdr:row>
      <xdr:rowOff>76200</xdr:rowOff>
    </xdr:to>
    <xdr:cxnSp macro="">
      <xdr:nvCxnSpPr>
        <xdr:cNvPr id="54347" name="직선 화살표 연결선 54346">
          <a:extLst>
            <a:ext uri="{FF2B5EF4-FFF2-40B4-BE49-F238E27FC236}">
              <a16:creationId xmlns:a16="http://schemas.microsoft.com/office/drawing/2014/main" id="{DB1D6E54-27CB-6C63-C1CB-1CFECA7C0188}"/>
            </a:ext>
          </a:extLst>
        </xdr:cNvPr>
        <xdr:cNvCxnSpPr/>
      </xdr:nvCxnSpPr>
      <xdr:spPr>
        <a:xfrm>
          <a:off x="19078575" y="45996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104775</xdr:colOff>
      <xdr:row>298</xdr:row>
      <xdr:rowOff>19050</xdr:rowOff>
    </xdr:from>
    <xdr:to>
      <xdr:col>77</xdr:col>
      <xdr:colOff>29845</xdr:colOff>
      <xdr:row>298</xdr:row>
      <xdr:rowOff>133350</xdr:rowOff>
    </xdr:to>
    <xdr:sp macro="" textlink="">
      <xdr:nvSpPr>
        <xdr:cNvPr id="54348" name="295">
          <a:extLst>
            <a:ext uri="{FF2B5EF4-FFF2-40B4-BE49-F238E27FC236}">
              <a16:creationId xmlns:a16="http://schemas.microsoft.com/office/drawing/2014/main" id="{E8003901-6289-7A47-A50C-CDB374DCDBA5}"/>
            </a:ext>
          </a:extLst>
        </xdr:cNvPr>
        <xdr:cNvSpPr/>
      </xdr:nvSpPr>
      <xdr:spPr>
        <a:xfrm>
          <a:off x="18411825" y="45786675"/>
          <a:ext cx="7251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104775</xdr:colOff>
      <xdr:row>298</xdr:row>
      <xdr:rowOff>76200</xdr:rowOff>
    </xdr:from>
    <xdr:to>
      <xdr:col>71</xdr:col>
      <xdr:colOff>104775</xdr:colOff>
      <xdr:row>298</xdr:row>
      <xdr:rowOff>76200</xdr:rowOff>
    </xdr:to>
    <xdr:cxnSp macro="">
      <xdr:nvCxnSpPr>
        <xdr:cNvPr id="54349" name="직선 화살표 연결선 54348">
          <a:extLst>
            <a:ext uri="{FF2B5EF4-FFF2-40B4-BE49-F238E27FC236}">
              <a16:creationId xmlns:a16="http://schemas.microsoft.com/office/drawing/2014/main" id="{4A5C646C-A8C4-0864-F9E0-D3F871E60407}"/>
            </a:ext>
          </a:extLst>
        </xdr:cNvPr>
        <xdr:cNvCxnSpPr/>
      </xdr:nvCxnSpPr>
      <xdr:spPr>
        <a:xfrm>
          <a:off x="18411825" y="45843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104775</xdr:colOff>
      <xdr:row>297</xdr:row>
      <xdr:rowOff>19050</xdr:rowOff>
    </xdr:from>
    <xdr:to>
      <xdr:col>77</xdr:col>
      <xdr:colOff>29845</xdr:colOff>
      <xdr:row>297</xdr:row>
      <xdr:rowOff>133350</xdr:rowOff>
    </xdr:to>
    <xdr:sp macro="" textlink="">
      <xdr:nvSpPr>
        <xdr:cNvPr id="54350" name="294">
          <a:extLst>
            <a:ext uri="{FF2B5EF4-FFF2-40B4-BE49-F238E27FC236}">
              <a16:creationId xmlns:a16="http://schemas.microsoft.com/office/drawing/2014/main" id="{4A4C1C18-DB0A-4D7E-A2B9-3C8A51BB57B1}"/>
            </a:ext>
          </a:extLst>
        </xdr:cNvPr>
        <xdr:cNvSpPr/>
      </xdr:nvSpPr>
      <xdr:spPr>
        <a:xfrm>
          <a:off x="18411825" y="45634275"/>
          <a:ext cx="7251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104775</xdr:colOff>
      <xdr:row>297</xdr:row>
      <xdr:rowOff>76200</xdr:rowOff>
    </xdr:from>
    <xdr:to>
      <xdr:col>71</xdr:col>
      <xdr:colOff>104775</xdr:colOff>
      <xdr:row>297</xdr:row>
      <xdr:rowOff>76200</xdr:rowOff>
    </xdr:to>
    <xdr:cxnSp macro="">
      <xdr:nvCxnSpPr>
        <xdr:cNvPr id="54351" name="직선 화살표 연결선 54350">
          <a:extLst>
            <a:ext uri="{FF2B5EF4-FFF2-40B4-BE49-F238E27FC236}">
              <a16:creationId xmlns:a16="http://schemas.microsoft.com/office/drawing/2014/main" id="{6DF53F32-D99F-139E-3B49-3E0878B8EFEA}"/>
            </a:ext>
          </a:extLst>
        </xdr:cNvPr>
        <xdr:cNvCxnSpPr/>
      </xdr:nvCxnSpPr>
      <xdr:spPr>
        <a:xfrm>
          <a:off x="18411825" y="4569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104775</xdr:colOff>
      <xdr:row>296</xdr:row>
      <xdr:rowOff>19050</xdr:rowOff>
    </xdr:from>
    <xdr:to>
      <xdr:col>77</xdr:col>
      <xdr:colOff>29845</xdr:colOff>
      <xdr:row>296</xdr:row>
      <xdr:rowOff>133350</xdr:rowOff>
    </xdr:to>
    <xdr:sp macro="" textlink="">
      <xdr:nvSpPr>
        <xdr:cNvPr id="54352" name="293">
          <a:extLst>
            <a:ext uri="{FF2B5EF4-FFF2-40B4-BE49-F238E27FC236}">
              <a16:creationId xmlns:a16="http://schemas.microsoft.com/office/drawing/2014/main" id="{B64F2955-2F45-36E7-4896-11F477886868}"/>
            </a:ext>
          </a:extLst>
        </xdr:cNvPr>
        <xdr:cNvSpPr/>
      </xdr:nvSpPr>
      <xdr:spPr>
        <a:xfrm>
          <a:off x="18411825" y="45481875"/>
          <a:ext cx="7251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104775</xdr:colOff>
      <xdr:row>296</xdr:row>
      <xdr:rowOff>76200</xdr:rowOff>
    </xdr:from>
    <xdr:to>
      <xdr:col>71</xdr:col>
      <xdr:colOff>104775</xdr:colOff>
      <xdr:row>296</xdr:row>
      <xdr:rowOff>76200</xdr:rowOff>
    </xdr:to>
    <xdr:cxnSp macro="">
      <xdr:nvCxnSpPr>
        <xdr:cNvPr id="54353" name="직선 화살표 연결선 54352">
          <a:extLst>
            <a:ext uri="{FF2B5EF4-FFF2-40B4-BE49-F238E27FC236}">
              <a16:creationId xmlns:a16="http://schemas.microsoft.com/office/drawing/2014/main" id="{82967C93-4792-E451-1A08-2E27E3BCED70}"/>
            </a:ext>
          </a:extLst>
        </xdr:cNvPr>
        <xdr:cNvCxnSpPr/>
      </xdr:nvCxnSpPr>
      <xdr:spPr>
        <a:xfrm>
          <a:off x="18411825" y="4553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104775</xdr:colOff>
      <xdr:row>295</xdr:row>
      <xdr:rowOff>19050</xdr:rowOff>
    </xdr:from>
    <xdr:to>
      <xdr:col>71</xdr:col>
      <xdr:colOff>67945</xdr:colOff>
      <xdr:row>295</xdr:row>
      <xdr:rowOff>133350</xdr:rowOff>
    </xdr:to>
    <xdr:sp macro="" textlink="">
      <xdr:nvSpPr>
        <xdr:cNvPr id="54354" name="292">
          <a:extLst>
            <a:ext uri="{FF2B5EF4-FFF2-40B4-BE49-F238E27FC236}">
              <a16:creationId xmlns:a16="http://schemas.microsoft.com/office/drawing/2014/main" id="{F93DB368-1AB7-3EAC-F651-E7B34230F291}"/>
            </a:ext>
          </a:extLst>
        </xdr:cNvPr>
        <xdr:cNvSpPr/>
      </xdr:nvSpPr>
      <xdr:spPr>
        <a:xfrm>
          <a:off x="18011775" y="45329475"/>
          <a:ext cx="363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104775</xdr:colOff>
      <xdr:row>295</xdr:row>
      <xdr:rowOff>76200</xdr:rowOff>
    </xdr:from>
    <xdr:to>
      <xdr:col>68</xdr:col>
      <xdr:colOff>104775</xdr:colOff>
      <xdr:row>295</xdr:row>
      <xdr:rowOff>76200</xdr:rowOff>
    </xdr:to>
    <xdr:cxnSp macro="">
      <xdr:nvCxnSpPr>
        <xdr:cNvPr id="54355" name="직선 화살표 연결선 54354">
          <a:extLst>
            <a:ext uri="{FF2B5EF4-FFF2-40B4-BE49-F238E27FC236}">
              <a16:creationId xmlns:a16="http://schemas.microsoft.com/office/drawing/2014/main" id="{A163AAB9-DE63-FAF7-DBE9-89E3A2FB869B}"/>
            </a:ext>
          </a:extLst>
        </xdr:cNvPr>
        <xdr:cNvCxnSpPr/>
      </xdr:nvCxnSpPr>
      <xdr:spPr>
        <a:xfrm>
          <a:off x="18011775" y="45386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104775</xdr:colOff>
      <xdr:row>294</xdr:row>
      <xdr:rowOff>19050</xdr:rowOff>
    </xdr:from>
    <xdr:to>
      <xdr:col>77</xdr:col>
      <xdr:colOff>29845</xdr:colOff>
      <xdr:row>294</xdr:row>
      <xdr:rowOff>133350</xdr:rowOff>
    </xdr:to>
    <xdr:sp macro="" textlink="">
      <xdr:nvSpPr>
        <xdr:cNvPr id="54356" name="291">
          <a:extLst>
            <a:ext uri="{FF2B5EF4-FFF2-40B4-BE49-F238E27FC236}">
              <a16:creationId xmlns:a16="http://schemas.microsoft.com/office/drawing/2014/main" id="{14527F54-45C0-2016-2EC8-42D50550F69C}"/>
            </a:ext>
          </a:extLst>
        </xdr:cNvPr>
        <xdr:cNvSpPr/>
      </xdr:nvSpPr>
      <xdr:spPr>
        <a:xfrm>
          <a:off x="18011775" y="45177075"/>
          <a:ext cx="11252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104775</xdr:colOff>
      <xdr:row>294</xdr:row>
      <xdr:rowOff>76200</xdr:rowOff>
    </xdr:from>
    <xdr:to>
      <xdr:col>68</xdr:col>
      <xdr:colOff>104775</xdr:colOff>
      <xdr:row>294</xdr:row>
      <xdr:rowOff>76200</xdr:rowOff>
    </xdr:to>
    <xdr:cxnSp macro="">
      <xdr:nvCxnSpPr>
        <xdr:cNvPr id="54357" name="직선 화살표 연결선 54356">
          <a:extLst>
            <a:ext uri="{FF2B5EF4-FFF2-40B4-BE49-F238E27FC236}">
              <a16:creationId xmlns:a16="http://schemas.microsoft.com/office/drawing/2014/main" id="{C0F03C58-E8F8-D6BD-D79F-B309864EC094}"/>
            </a:ext>
          </a:extLst>
        </xdr:cNvPr>
        <xdr:cNvCxnSpPr/>
      </xdr:nvCxnSpPr>
      <xdr:spPr>
        <a:xfrm>
          <a:off x="18011775" y="45234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104775</xdr:colOff>
      <xdr:row>293</xdr:row>
      <xdr:rowOff>19050</xdr:rowOff>
    </xdr:from>
    <xdr:to>
      <xdr:col>77</xdr:col>
      <xdr:colOff>29845</xdr:colOff>
      <xdr:row>293</xdr:row>
      <xdr:rowOff>133350</xdr:rowOff>
    </xdr:to>
    <xdr:sp macro="" textlink="">
      <xdr:nvSpPr>
        <xdr:cNvPr id="54358" name="290">
          <a:extLst>
            <a:ext uri="{FF2B5EF4-FFF2-40B4-BE49-F238E27FC236}">
              <a16:creationId xmlns:a16="http://schemas.microsoft.com/office/drawing/2014/main" id="{1B90BA8B-C0C2-EA20-D95B-7E802F09EBB7}"/>
            </a:ext>
          </a:extLst>
        </xdr:cNvPr>
        <xdr:cNvSpPr/>
      </xdr:nvSpPr>
      <xdr:spPr>
        <a:xfrm>
          <a:off x="18811875" y="45024675"/>
          <a:ext cx="3251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104775</xdr:colOff>
      <xdr:row>293</xdr:row>
      <xdr:rowOff>76200</xdr:rowOff>
    </xdr:from>
    <xdr:to>
      <xdr:col>74</xdr:col>
      <xdr:colOff>104775</xdr:colOff>
      <xdr:row>293</xdr:row>
      <xdr:rowOff>76200</xdr:rowOff>
    </xdr:to>
    <xdr:cxnSp macro="">
      <xdr:nvCxnSpPr>
        <xdr:cNvPr id="54359" name="직선 화살표 연결선 54358">
          <a:extLst>
            <a:ext uri="{FF2B5EF4-FFF2-40B4-BE49-F238E27FC236}">
              <a16:creationId xmlns:a16="http://schemas.microsoft.com/office/drawing/2014/main" id="{DAB98AEB-DA7B-4F6D-11D7-72991815BDCC}"/>
            </a:ext>
          </a:extLst>
        </xdr:cNvPr>
        <xdr:cNvCxnSpPr/>
      </xdr:nvCxnSpPr>
      <xdr:spPr>
        <a:xfrm>
          <a:off x="18811875" y="45081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104775</xdr:colOff>
      <xdr:row>292</xdr:row>
      <xdr:rowOff>19050</xdr:rowOff>
    </xdr:from>
    <xdr:to>
      <xdr:col>75</xdr:col>
      <xdr:colOff>67945</xdr:colOff>
      <xdr:row>292</xdr:row>
      <xdr:rowOff>133350</xdr:rowOff>
    </xdr:to>
    <xdr:sp macro="" textlink="">
      <xdr:nvSpPr>
        <xdr:cNvPr id="54360" name="289">
          <a:extLst>
            <a:ext uri="{FF2B5EF4-FFF2-40B4-BE49-F238E27FC236}">
              <a16:creationId xmlns:a16="http://schemas.microsoft.com/office/drawing/2014/main" id="{532D3714-ED9D-F78A-58B3-DC0795FAADD9}"/>
            </a:ext>
          </a:extLst>
        </xdr:cNvPr>
        <xdr:cNvSpPr/>
      </xdr:nvSpPr>
      <xdr:spPr>
        <a:xfrm>
          <a:off x="18678525" y="44872275"/>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104775</xdr:colOff>
      <xdr:row>292</xdr:row>
      <xdr:rowOff>76200</xdr:rowOff>
    </xdr:from>
    <xdr:to>
      <xdr:col>73</xdr:col>
      <xdr:colOff>104775</xdr:colOff>
      <xdr:row>292</xdr:row>
      <xdr:rowOff>76200</xdr:rowOff>
    </xdr:to>
    <xdr:cxnSp macro="">
      <xdr:nvCxnSpPr>
        <xdr:cNvPr id="54361" name="직선 화살표 연결선 54360">
          <a:extLst>
            <a:ext uri="{FF2B5EF4-FFF2-40B4-BE49-F238E27FC236}">
              <a16:creationId xmlns:a16="http://schemas.microsoft.com/office/drawing/2014/main" id="{87C3DE7B-EA69-9FDB-0FD4-C6EED21E17AB}"/>
            </a:ext>
          </a:extLst>
        </xdr:cNvPr>
        <xdr:cNvCxnSpPr/>
      </xdr:nvCxnSpPr>
      <xdr:spPr>
        <a:xfrm>
          <a:off x="18678525" y="44929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104775</xdr:colOff>
      <xdr:row>291</xdr:row>
      <xdr:rowOff>19050</xdr:rowOff>
    </xdr:from>
    <xdr:to>
      <xdr:col>74</xdr:col>
      <xdr:colOff>67945</xdr:colOff>
      <xdr:row>291</xdr:row>
      <xdr:rowOff>133350</xdr:rowOff>
    </xdr:to>
    <xdr:sp macro="" textlink="">
      <xdr:nvSpPr>
        <xdr:cNvPr id="54362" name="288">
          <a:extLst>
            <a:ext uri="{FF2B5EF4-FFF2-40B4-BE49-F238E27FC236}">
              <a16:creationId xmlns:a16="http://schemas.microsoft.com/office/drawing/2014/main" id="{4E6434A1-CC54-36BB-83A1-6B54B422ACD9}"/>
            </a:ext>
          </a:extLst>
        </xdr:cNvPr>
        <xdr:cNvSpPr/>
      </xdr:nvSpPr>
      <xdr:spPr>
        <a:xfrm>
          <a:off x="18411825" y="44719875"/>
          <a:ext cx="363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104775</xdr:colOff>
      <xdr:row>291</xdr:row>
      <xdr:rowOff>76200</xdr:rowOff>
    </xdr:from>
    <xdr:to>
      <xdr:col>71</xdr:col>
      <xdr:colOff>104775</xdr:colOff>
      <xdr:row>291</xdr:row>
      <xdr:rowOff>76200</xdr:rowOff>
    </xdr:to>
    <xdr:cxnSp macro="">
      <xdr:nvCxnSpPr>
        <xdr:cNvPr id="54363" name="직선 화살표 연결선 54362">
          <a:extLst>
            <a:ext uri="{FF2B5EF4-FFF2-40B4-BE49-F238E27FC236}">
              <a16:creationId xmlns:a16="http://schemas.microsoft.com/office/drawing/2014/main" id="{25AB4BEF-6F73-A0D5-54EB-C8AF6D0B0EBC}"/>
            </a:ext>
          </a:extLst>
        </xdr:cNvPr>
        <xdr:cNvCxnSpPr/>
      </xdr:nvCxnSpPr>
      <xdr:spPr>
        <a:xfrm>
          <a:off x="18411825" y="44777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9525</xdr:colOff>
      <xdr:row>290</xdr:row>
      <xdr:rowOff>19050</xdr:rowOff>
    </xdr:from>
    <xdr:to>
      <xdr:col>70</xdr:col>
      <xdr:colOff>29845</xdr:colOff>
      <xdr:row>290</xdr:row>
      <xdr:rowOff>133350</xdr:rowOff>
    </xdr:to>
    <xdr:sp macro="" textlink="">
      <xdr:nvSpPr>
        <xdr:cNvPr id="54364" name="287">
          <a:extLst>
            <a:ext uri="{FF2B5EF4-FFF2-40B4-BE49-F238E27FC236}">
              <a16:creationId xmlns:a16="http://schemas.microsoft.com/office/drawing/2014/main" id="{1A22A87C-73BD-5E29-B573-6D5A5358CC7F}"/>
            </a:ext>
          </a:extLst>
        </xdr:cNvPr>
        <xdr:cNvSpPr/>
      </xdr:nvSpPr>
      <xdr:spPr>
        <a:xfrm>
          <a:off x="18049875" y="44567475"/>
          <a:ext cx="1536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9525</xdr:colOff>
      <xdr:row>290</xdr:row>
      <xdr:rowOff>76200</xdr:rowOff>
    </xdr:from>
    <xdr:to>
      <xdr:col>69</xdr:col>
      <xdr:colOff>9525</xdr:colOff>
      <xdr:row>290</xdr:row>
      <xdr:rowOff>76200</xdr:rowOff>
    </xdr:to>
    <xdr:cxnSp macro="">
      <xdr:nvCxnSpPr>
        <xdr:cNvPr id="54365" name="직선 화살표 연결선 54364">
          <a:extLst>
            <a:ext uri="{FF2B5EF4-FFF2-40B4-BE49-F238E27FC236}">
              <a16:creationId xmlns:a16="http://schemas.microsoft.com/office/drawing/2014/main" id="{5B92141C-AB58-1B30-9E61-62088CF7BAD4}"/>
            </a:ext>
          </a:extLst>
        </xdr:cNvPr>
        <xdr:cNvCxnSpPr/>
      </xdr:nvCxnSpPr>
      <xdr:spPr>
        <a:xfrm>
          <a:off x="18049875" y="44624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9525</xdr:colOff>
      <xdr:row>289</xdr:row>
      <xdr:rowOff>19050</xdr:rowOff>
    </xdr:from>
    <xdr:to>
      <xdr:col>72</xdr:col>
      <xdr:colOff>67945</xdr:colOff>
      <xdr:row>289</xdr:row>
      <xdr:rowOff>133350</xdr:rowOff>
    </xdr:to>
    <xdr:sp macro="" textlink="">
      <xdr:nvSpPr>
        <xdr:cNvPr id="54366" name="286">
          <a:extLst>
            <a:ext uri="{FF2B5EF4-FFF2-40B4-BE49-F238E27FC236}">
              <a16:creationId xmlns:a16="http://schemas.microsoft.com/office/drawing/2014/main" id="{4FA5EDF3-CCA4-D0AD-488E-32384FE36121}"/>
            </a:ext>
          </a:extLst>
        </xdr:cNvPr>
        <xdr:cNvSpPr/>
      </xdr:nvSpPr>
      <xdr:spPr>
        <a:xfrm>
          <a:off x="18049875" y="44415075"/>
          <a:ext cx="4584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9525</xdr:colOff>
      <xdr:row>289</xdr:row>
      <xdr:rowOff>76200</xdr:rowOff>
    </xdr:from>
    <xdr:to>
      <xdr:col>69</xdr:col>
      <xdr:colOff>9525</xdr:colOff>
      <xdr:row>289</xdr:row>
      <xdr:rowOff>76200</xdr:rowOff>
    </xdr:to>
    <xdr:cxnSp macro="">
      <xdr:nvCxnSpPr>
        <xdr:cNvPr id="54367" name="직선 화살표 연결선 54366">
          <a:extLst>
            <a:ext uri="{FF2B5EF4-FFF2-40B4-BE49-F238E27FC236}">
              <a16:creationId xmlns:a16="http://schemas.microsoft.com/office/drawing/2014/main" id="{F0C60A1A-4641-4EE2-ACF1-22536D0F2E9D}"/>
            </a:ext>
          </a:extLst>
        </xdr:cNvPr>
        <xdr:cNvCxnSpPr/>
      </xdr:nvCxnSpPr>
      <xdr:spPr>
        <a:xfrm>
          <a:off x="18049875" y="44472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104775</xdr:colOff>
      <xdr:row>288</xdr:row>
      <xdr:rowOff>19050</xdr:rowOff>
    </xdr:from>
    <xdr:to>
      <xdr:col>75</xdr:col>
      <xdr:colOff>67945</xdr:colOff>
      <xdr:row>288</xdr:row>
      <xdr:rowOff>133350</xdr:rowOff>
    </xdr:to>
    <xdr:sp macro="" textlink="">
      <xdr:nvSpPr>
        <xdr:cNvPr id="54368" name="285">
          <a:extLst>
            <a:ext uri="{FF2B5EF4-FFF2-40B4-BE49-F238E27FC236}">
              <a16:creationId xmlns:a16="http://schemas.microsoft.com/office/drawing/2014/main" id="{F9D1110F-C6FC-37D7-E648-84ACBB76CAB7}"/>
            </a:ext>
          </a:extLst>
        </xdr:cNvPr>
        <xdr:cNvSpPr/>
      </xdr:nvSpPr>
      <xdr:spPr>
        <a:xfrm>
          <a:off x="18011775" y="44262675"/>
          <a:ext cx="896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104775</xdr:colOff>
      <xdr:row>288</xdr:row>
      <xdr:rowOff>76200</xdr:rowOff>
    </xdr:from>
    <xdr:to>
      <xdr:col>68</xdr:col>
      <xdr:colOff>104775</xdr:colOff>
      <xdr:row>288</xdr:row>
      <xdr:rowOff>76200</xdr:rowOff>
    </xdr:to>
    <xdr:cxnSp macro="">
      <xdr:nvCxnSpPr>
        <xdr:cNvPr id="54369" name="직선 화살표 연결선 54368">
          <a:extLst>
            <a:ext uri="{FF2B5EF4-FFF2-40B4-BE49-F238E27FC236}">
              <a16:creationId xmlns:a16="http://schemas.microsoft.com/office/drawing/2014/main" id="{05CC4FDD-5356-3FFF-7E70-594B8FD39D71}"/>
            </a:ext>
          </a:extLst>
        </xdr:cNvPr>
        <xdr:cNvCxnSpPr/>
      </xdr:nvCxnSpPr>
      <xdr:spPr>
        <a:xfrm>
          <a:off x="18011775" y="44319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104775</xdr:colOff>
      <xdr:row>287</xdr:row>
      <xdr:rowOff>19050</xdr:rowOff>
    </xdr:from>
    <xdr:to>
      <xdr:col>77</xdr:col>
      <xdr:colOff>29845</xdr:colOff>
      <xdr:row>287</xdr:row>
      <xdr:rowOff>133350</xdr:rowOff>
    </xdr:to>
    <xdr:sp macro="" textlink="">
      <xdr:nvSpPr>
        <xdr:cNvPr id="54370" name="284">
          <a:extLst>
            <a:ext uri="{FF2B5EF4-FFF2-40B4-BE49-F238E27FC236}">
              <a16:creationId xmlns:a16="http://schemas.microsoft.com/office/drawing/2014/main" id="{2CCFDF64-8A96-B228-1826-E099426238A5}"/>
            </a:ext>
          </a:extLst>
        </xdr:cNvPr>
        <xdr:cNvSpPr/>
      </xdr:nvSpPr>
      <xdr:spPr>
        <a:xfrm>
          <a:off x="18011775" y="44110275"/>
          <a:ext cx="11252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104775</xdr:colOff>
      <xdr:row>287</xdr:row>
      <xdr:rowOff>76200</xdr:rowOff>
    </xdr:from>
    <xdr:to>
      <xdr:col>68</xdr:col>
      <xdr:colOff>104775</xdr:colOff>
      <xdr:row>287</xdr:row>
      <xdr:rowOff>76200</xdr:rowOff>
    </xdr:to>
    <xdr:cxnSp macro="">
      <xdr:nvCxnSpPr>
        <xdr:cNvPr id="54371" name="직선 화살표 연결선 54370">
          <a:extLst>
            <a:ext uri="{FF2B5EF4-FFF2-40B4-BE49-F238E27FC236}">
              <a16:creationId xmlns:a16="http://schemas.microsoft.com/office/drawing/2014/main" id="{BCE1F577-34C6-5529-F7E3-66E387F00E1F}"/>
            </a:ext>
          </a:extLst>
        </xdr:cNvPr>
        <xdr:cNvCxnSpPr/>
      </xdr:nvCxnSpPr>
      <xdr:spPr>
        <a:xfrm>
          <a:off x="18011775" y="44167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104775</xdr:colOff>
      <xdr:row>286</xdr:row>
      <xdr:rowOff>19050</xdr:rowOff>
    </xdr:from>
    <xdr:to>
      <xdr:col>77</xdr:col>
      <xdr:colOff>29845</xdr:colOff>
      <xdr:row>286</xdr:row>
      <xdr:rowOff>133350</xdr:rowOff>
    </xdr:to>
    <xdr:sp macro="" textlink="">
      <xdr:nvSpPr>
        <xdr:cNvPr id="54372" name="283">
          <a:extLst>
            <a:ext uri="{FF2B5EF4-FFF2-40B4-BE49-F238E27FC236}">
              <a16:creationId xmlns:a16="http://schemas.microsoft.com/office/drawing/2014/main" id="{385FF10C-E5FA-CF2A-3D24-E40E1C7841FD}"/>
            </a:ext>
          </a:extLst>
        </xdr:cNvPr>
        <xdr:cNvSpPr/>
      </xdr:nvSpPr>
      <xdr:spPr>
        <a:xfrm>
          <a:off x="18011775" y="43957875"/>
          <a:ext cx="11252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104775</xdr:colOff>
      <xdr:row>286</xdr:row>
      <xdr:rowOff>76200</xdr:rowOff>
    </xdr:from>
    <xdr:to>
      <xdr:col>68</xdr:col>
      <xdr:colOff>104775</xdr:colOff>
      <xdr:row>286</xdr:row>
      <xdr:rowOff>76200</xdr:rowOff>
    </xdr:to>
    <xdr:cxnSp macro="">
      <xdr:nvCxnSpPr>
        <xdr:cNvPr id="54373" name="직선 화살표 연결선 54372">
          <a:extLst>
            <a:ext uri="{FF2B5EF4-FFF2-40B4-BE49-F238E27FC236}">
              <a16:creationId xmlns:a16="http://schemas.microsoft.com/office/drawing/2014/main" id="{EEFA03C2-579B-F4F9-F069-F806E317DF7A}"/>
            </a:ext>
          </a:extLst>
        </xdr:cNvPr>
        <xdr:cNvCxnSpPr/>
      </xdr:nvCxnSpPr>
      <xdr:spPr>
        <a:xfrm>
          <a:off x="18011775" y="44015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47625</xdr:colOff>
      <xdr:row>285</xdr:row>
      <xdr:rowOff>19050</xdr:rowOff>
    </xdr:from>
    <xdr:to>
      <xdr:col>68</xdr:col>
      <xdr:colOff>106045</xdr:colOff>
      <xdr:row>285</xdr:row>
      <xdr:rowOff>133350</xdr:rowOff>
    </xdr:to>
    <xdr:sp macro="" textlink="">
      <xdr:nvSpPr>
        <xdr:cNvPr id="54374" name="282">
          <a:extLst>
            <a:ext uri="{FF2B5EF4-FFF2-40B4-BE49-F238E27FC236}">
              <a16:creationId xmlns:a16="http://schemas.microsoft.com/office/drawing/2014/main" id="{F3D02EB8-ECF4-FA88-A77B-15A8ED75255C}"/>
            </a:ext>
          </a:extLst>
        </xdr:cNvPr>
        <xdr:cNvSpPr/>
      </xdr:nvSpPr>
      <xdr:spPr>
        <a:xfrm>
          <a:off x="17421225" y="43805475"/>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47625</xdr:colOff>
      <xdr:row>285</xdr:row>
      <xdr:rowOff>76200</xdr:rowOff>
    </xdr:from>
    <xdr:to>
      <xdr:col>64</xdr:col>
      <xdr:colOff>47625</xdr:colOff>
      <xdr:row>285</xdr:row>
      <xdr:rowOff>76200</xdr:rowOff>
    </xdr:to>
    <xdr:cxnSp macro="">
      <xdr:nvCxnSpPr>
        <xdr:cNvPr id="54375" name="직선 화살표 연결선 54374">
          <a:extLst>
            <a:ext uri="{FF2B5EF4-FFF2-40B4-BE49-F238E27FC236}">
              <a16:creationId xmlns:a16="http://schemas.microsoft.com/office/drawing/2014/main" id="{CA20AC5E-D0A2-5436-7134-D8FC81D576E5}"/>
            </a:ext>
          </a:extLst>
        </xdr:cNvPr>
        <xdr:cNvCxnSpPr/>
      </xdr:nvCxnSpPr>
      <xdr:spPr>
        <a:xfrm>
          <a:off x="17421225" y="43862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47625</xdr:colOff>
      <xdr:row>284</xdr:row>
      <xdr:rowOff>19050</xdr:rowOff>
    </xdr:from>
    <xdr:to>
      <xdr:col>68</xdr:col>
      <xdr:colOff>106045</xdr:colOff>
      <xdr:row>284</xdr:row>
      <xdr:rowOff>133350</xdr:rowOff>
    </xdr:to>
    <xdr:sp macro="" textlink="">
      <xdr:nvSpPr>
        <xdr:cNvPr id="54376" name="281">
          <a:extLst>
            <a:ext uri="{FF2B5EF4-FFF2-40B4-BE49-F238E27FC236}">
              <a16:creationId xmlns:a16="http://schemas.microsoft.com/office/drawing/2014/main" id="{4FD9D6F5-FDBE-FBA0-4E56-6A4B5916E74D}"/>
            </a:ext>
          </a:extLst>
        </xdr:cNvPr>
        <xdr:cNvSpPr/>
      </xdr:nvSpPr>
      <xdr:spPr>
        <a:xfrm>
          <a:off x="17421225" y="43653075"/>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47625</xdr:colOff>
      <xdr:row>284</xdr:row>
      <xdr:rowOff>76200</xdr:rowOff>
    </xdr:from>
    <xdr:to>
      <xdr:col>64</xdr:col>
      <xdr:colOff>47625</xdr:colOff>
      <xdr:row>284</xdr:row>
      <xdr:rowOff>76200</xdr:rowOff>
    </xdr:to>
    <xdr:cxnSp macro="">
      <xdr:nvCxnSpPr>
        <xdr:cNvPr id="54377" name="직선 화살표 연결선 54376">
          <a:extLst>
            <a:ext uri="{FF2B5EF4-FFF2-40B4-BE49-F238E27FC236}">
              <a16:creationId xmlns:a16="http://schemas.microsoft.com/office/drawing/2014/main" id="{73215AB4-128D-2AEA-7677-E7ED444A9D20}"/>
            </a:ext>
          </a:extLst>
        </xdr:cNvPr>
        <xdr:cNvCxnSpPr/>
      </xdr:nvCxnSpPr>
      <xdr:spPr>
        <a:xfrm>
          <a:off x="17421225" y="43710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47625</xdr:colOff>
      <xdr:row>283</xdr:row>
      <xdr:rowOff>19050</xdr:rowOff>
    </xdr:from>
    <xdr:to>
      <xdr:col>68</xdr:col>
      <xdr:colOff>106045</xdr:colOff>
      <xdr:row>283</xdr:row>
      <xdr:rowOff>133350</xdr:rowOff>
    </xdr:to>
    <xdr:sp macro="" textlink="">
      <xdr:nvSpPr>
        <xdr:cNvPr id="54378" name="280">
          <a:extLst>
            <a:ext uri="{FF2B5EF4-FFF2-40B4-BE49-F238E27FC236}">
              <a16:creationId xmlns:a16="http://schemas.microsoft.com/office/drawing/2014/main" id="{7185A927-FAD5-E775-7163-BD2F459E1E03}"/>
            </a:ext>
          </a:extLst>
        </xdr:cNvPr>
        <xdr:cNvSpPr/>
      </xdr:nvSpPr>
      <xdr:spPr>
        <a:xfrm>
          <a:off x="17421225" y="43500675"/>
          <a:ext cx="5918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47625</xdr:colOff>
      <xdr:row>283</xdr:row>
      <xdr:rowOff>76200</xdr:rowOff>
    </xdr:from>
    <xdr:to>
      <xdr:col>64</xdr:col>
      <xdr:colOff>47625</xdr:colOff>
      <xdr:row>283</xdr:row>
      <xdr:rowOff>76200</xdr:rowOff>
    </xdr:to>
    <xdr:cxnSp macro="">
      <xdr:nvCxnSpPr>
        <xdr:cNvPr id="54379" name="직선 화살표 연결선 54378">
          <a:extLst>
            <a:ext uri="{FF2B5EF4-FFF2-40B4-BE49-F238E27FC236}">
              <a16:creationId xmlns:a16="http://schemas.microsoft.com/office/drawing/2014/main" id="{AAF09652-4174-8ABD-A072-D6FB0BD6FFEA}"/>
            </a:ext>
          </a:extLst>
        </xdr:cNvPr>
        <xdr:cNvCxnSpPr/>
      </xdr:nvCxnSpPr>
      <xdr:spPr>
        <a:xfrm>
          <a:off x="17421225" y="43557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85725</xdr:colOff>
      <xdr:row>282</xdr:row>
      <xdr:rowOff>19050</xdr:rowOff>
    </xdr:from>
    <xdr:to>
      <xdr:col>68</xdr:col>
      <xdr:colOff>106045</xdr:colOff>
      <xdr:row>282</xdr:row>
      <xdr:rowOff>133350</xdr:rowOff>
    </xdr:to>
    <xdr:sp macro="" textlink="">
      <xdr:nvSpPr>
        <xdr:cNvPr id="54380" name="279">
          <a:extLst>
            <a:ext uri="{FF2B5EF4-FFF2-40B4-BE49-F238E27FC236}">
              <a16:creationId xmlns:a16="http://schemas.microsoft.com/office/drawing/2014/main" id="{1F619381-4525-CF12-8140-54A0CAB7A1AB}"/>
            </a:ext>
          </a:extLst>
        </xdr:cNvPr>
        <xdr:cNvSpPr/>
      </xdr:nvSpPr>
      <xdr:spPr>
        <a:xfrm>
          <a:off x="16259175" y="43348275"/>
          <a:ext cx="1753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85725</xdr:colOff>
      <xdr:row>282</xdr:row>
      <xdr:rowOff>76200</xdr:rowOff>
    </xdr:from>
    <xdr:to>
      <xdr:col>55</xdr:col>
      <xdr:colOff>85725</xdr:colOff>
      <xdr:row>282</xdr:row>
      <xdr:rowOff>76200</xdr:rowOff>
    </xdr:to>
    <xdr:cxnSp macro="">
      <xdr:nvCxnSpPr>
        <xdr:cNvPr id="54381" name="직선 화살표 연결선 54380">
          <a:extLst>
            <a:ext uri="{FF2B5EF4-FFF2-40B4-BE49-F238E27FC236}">
              <a16:creationId xmlns:a16="http://schemas.microsoft.com/office/drawing/2014/main" id="{B06DAB57-D914-4567-731D-C83C3124C63A}"/>
            </a:ext>
          </a:extLst>
        </xdr:cNvPr>
        <xdr:cNvCxnSpPr/>
      </xdr:nvCxnSpPr>
      <xdr:spPr>
        <a:xfrm>
          <a:off x="16259175" y="43405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281</xdr:row>
      <xdr:rowOff>90488</xdr:rowOff>
    </xdr:from>
    <xdr:to>
      <xdr:col>55</xdr:col>
      <xdr:colOff>86995</xdr:colOff>
      <xdr:row>281</xdr:row>
      <xdr:rowOff>204788</xdr:rowOff>
    </xdr:to>
    <xdr:sp macro="" textlink="">
      <xdr:nvSpPr>
        <xdr:cNvPr id="54382" name="278">
          <a:extLst>
            <a:ext uri="{FF2B5EF4-FFF2-40B4-BE49-F238E27FC236}">
              <a16:creationId xmlns:a16="http://schemas.microsoft.com/office/drawing/2014/main" id="{27C55D75-7753-D8C5-0227-D85707E47A9C}"/>
            </a:ext>
          </a:extLst>
        </xdr:cNvPr>
        <xdr:cNvSpPr/>
      </xdr:nvSpPr>
      <xdr:spPr>
        <a:xfrm>
          <a:off x="15668625" y="43124438"/>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281</xdr:row>
      <xdr:rowOff>147638</xdr:rowOff>
    </xdr:from>
    <xdr:to>
      <xdr:col>51</xdr:col>
      <xdr:colOff>28575</xdr:colOff>
      <xdr:row>281</xdr:row>
      <xdr:rowOff>147638</xdr:rowOff>
    </xdr:to>
    <xdr:cxnSp macro="">
      <xdr:nvCxnSpPr>
        <xdr:cNvPr id="54383" name="직선 화살표 연결선 54382">
          <a:extLst>
            <a:ext uri="{FF2B5EF4-FFF2-40B4-BE49-F238E27FC236}">
              <a16:creationId xmlns:a16="http://schemas.microsoft.com/office/drawing/2014/main" id="{830B660B-CF4A-BD9D-2120-E690E946DF7C}"/>
            </a:ext>
          </a:extLst>
        </xdr:cNvPr>
        <xdr:cNvCxnSpPr/>
      </xdr:nvCxnSpPr>
      <xdr:spPr>
        <a:xfrm>
          <a:off x="15668625" y="431815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280</xdr:row>
      <xdr:rowOff>19050</xdr:rowOff>
    </xdr:from>
    <xdr:to>
      <xdr:col>72</xdr:col>
      <xdr:colOff>67945</xdr:colOff>
      <xdr:row>280</xdr:row>
      <xdr:rowOff>133350</xdr:rowOff>
    </xdr:to>
    <xdr:sp macro="" textlink="">
      <xdr:nvSpPr>
        <xdr:cNvPr id="54384" name="277">
          <a:extLst>
            <a:ext uri="{FF2B5EF4-FFF2-40B4-BE49-F238E27FC236}">
              <a16:creationId xmlns:a16="http://schemas.microsoft.com/office/drawing/2014/main" id="{BDEE5B87-DBEB-71F1-AE2C-E898CBD69948}"/>
            </a:ext>
          </a:extLst>
        </xdr:cNvPr>
        <xdr:cNvSpPr/>
      </xdr:nvSpPr>
      <xdr:spPr>
        <a:xfrm>
          <a:off x="17478375" y="42900600"/>
          <a:ext cx="10299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280</xdr:row>
      <xdr:rowOff>76200</xdr:rowOff>
    </xdr:from>
    <xdr:to>
      <xdr:col>64</xdr:col>
      <xdr:colOff>104775</xdr:colOff>
      <xdr:row>280</xdr:row>
      <xdr:rowOff>76200</xdr:rowOff>
    </xdr:to>
    <xdr:cxnSp macro="">
      <xdr:nvCxnSpPr>
        <xdr:cNvPr id="54385" name="직선 화살표 연결선 54384">
          <a:extLst>
            <a:ext uri="{FF2B5EF4-FFF2-40B4-BE49-F238E27FC236}">
              <a16:creationId xmlns:a16="http://schemas.microsoft.com/office/drawing/2014/main" id="{910E8750-99F0-7F7C-154A-3DE8F3D63E75}"/>
            </a:ext>
          </a:extLst>
        </xdr:cNvPr>
        <xdr:cNvCxnSpPr/>
      </xdr:nvCxnSpPr>
      <xdr:spPr>
        <a:xfrm>
          <a:off x="17478375" y="429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279</xdr:row>
      <xdr:rowOff>19050</xdr:rowOff>
    </xdr:from>
    <xdr:to>
      <xdr:col>72</xdr:col>
      <xdr:colOff>67945</xdr:colOff>
      <xdr:row>279</xdr:row>
      <xdr:rowOff>133350</xdr:rowOff>
    </xdr:to>
    <xdr:sp macro="" textlink="">
      <xdr:nvSpPr>
        <xdr:cNvPr id="54386" name="276">
          <a:extLst>
            <a:ext uri="{FF2B5EF4-FFF2-40B4-BE49-F238E27FC236}">
              <a16:creationId xmlns:a16="http://schemas.microsoft.com/office/drawing/2014/main" id="{B411ACEC-E1F0-BEFA-2FF4-473EB4DC3710}"/>
            </a:ext>
          </a:extLst>
        </xdr:cNvPr>
        <xdr:cNvSpPr/>
      </xdr:nvSpPr>
      <xdr:spPr>
        <a:xfrm>
          <a:off x="17478375" y="42748200"/>
          <a:ext cx="10299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279</xdr:row>
      <xdr:rowOff>76200</xdr:rowOff>
    </xdr:from>
    <xdr:to>
      <xdr:col>64</xdr:col>
      <xdr:colOff>104775</xdr:colOff>
      <xdr:row>279</xdr:row>
      <xdr:rowOff>76200</xdr:rowOff>
    </xdr:to>
    <xdr:cxnSp macro="">
      <xdr:nvCxnSpPr>
        <xdr:cNvPr id="54387" name="직선 화살표 연결선 54386">
          <a:extLst>
            <a:ext uri="{FF2B5EF4-FFF2-40B4-BE49-F238E27FC236}">
              <a16:creationId xmlns:a16="http://schemas.microsoft.com/office/drawing/2014/main" id="{4DF40F78-398E-86D8-1C50-87B3902788E2}"/>
            </a:ext>
          </a:extLst>
        </xdr:cNvPr>
        <xdr:cNvCxnSpPr/>
      </xdr:nvCxnSpPr>
      <xdr:spPr>
        <a:xfrm>
          <a:off x="17478375" y="428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278</xdr:row>
      <xdr:rowOff>19050</xdr:rowOff>
    </xdr:from>
    <xdr:to>
      <xdr:col>72</xdr:col>
      <xdr:colOff>67945</xdr:colOff>
      <xdr:row>278</xdr:row>
      <xdr:rowOff>133350</xdr:rowOff>
    </xdr:to>
    <xdr:sp macro="" textlink="">
      <xdr:nvSpPr>
        <xdr:cNvPr id="54388" name="275">
          <a:extLst>
            <a:ext uri="{FF2B5EF4-FFF2-40B4-BE49-F238E27FC236}">
              <a16:creationId xmlns:a16="http://schemas.microsoft.com/office/drawing/2014/main" id="{2A91D80A-7D52-DEC7-BA2B-3F54158E0149}"/>
            </a:ext>
          </a:extLst>
        </xdr:cNvPr>
        <xdr:cNvSpPr/>
      </xdr:nvSpPr>
      <xdr:spPr>
        <a:xfrm>
          <a:off x="17478375" y="42595800"/>
          <a:ext cx="10299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278</xdr:row>
      <xdr:rowOff>76200</xdr:rowOff>
    </xdr:from>
    <xdr:to>
      <xdr:col>64</xdr:col>
      <xdr:colOff>104775</xdr:colOff>
      <xdr:row>278</xdr:row>
      <xdr:rowOff>76200</xdr:rowOff>
    </xdr:to>
    <xdr:cxnSp macro="">
      <xdr:nvCxnSpPr>
        <xdr:cNvPr id="54389" name="직선 화살표 연결선 54388">
          <a:extLst>
            <a:ext uri="{FF2B5EF4-FFF2-40B4-BE49-F238E27FC236}">
              <a16:creationId xmlns:a16="http://schemas.microsoft.com/office/drawing/2014/main" id="{93FDB2A3-30C3-A20A-9D66-134E72DAD1F8}"/>
            </a:ext>
          </a:extLst>
        </xdr:cNvPr>
        <xdr:cNvCxnSpPr/>
      </xdr:nvCxnSpPr>
      <xdr:spPr>
        <a:xfrm>
          <a:off x="17478375" y="426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277</xdr:row>
      <xdr:rowOff>19050</xdr:rowOff>
    </xdr:from>
    <xdr:to>
      <xdr:col>71</xdr:col>
      <xdr:colOff>67945</xdr:colOff>
      <xdr:row>277</xdr:row>
      <xdr:rowOff>133350</xdr:rowOff>
    </xdr:to>
    <xdr:sp macro="" textlink="">
      <xdr:nvSpPr>
        <xdr:cNvPr id="54390" name="274">
          <a:extLst>
            <a:ext uri="{FF2B5EF4-FFF2-40B4-BE49-F238E27FC236}">
              <a16:creationId xmlns:a16="http://schemas.microsoft.com/office/drawing/2014/main" id="{F71F34DE-2F15-CB84-C5B0-FCE120D8DD13}"/>
            </a:ext>
          </a:extLst>
        </xdr:cNvPr>
        <xdr:cNvSpPr/>
      </xdr:nvSpPr>
      <xdr:spPr>
        <a:xfrm>
          <a:off x="15668625" y="42443400"/>
          <a:ext cx="2706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277</xdr:row>
      <xdr:rowOff>76200</xdr:rowOff>
    </xdr:from>
    <xdr:to>
      <xdr:col>51</xdr:col>
      <xdr:colOff>28575</xdr:colOff>
      <xdr:row>277</xdr:row>
      <xdr:rowOff>76200</xdr:rowOff>
    </xdr:to>
    <xdr:cxnSp macro="">
      <xdr:nvCxnSpPr>
        <xdr:cNvPr id="54391" name="직선 화살표 연결선 54390">
          <a:extLst>
            <a:ext uri="{FF2B5EF4-FFF2-40B4-BE49-F238E27FC236}">
              <a16:creationId xmlns:a16="http://schemas.microsoft.com/office/drawing/2014/main" id="{B92BF622-C105-BE01-CDFB-0B439F9E6CB1}"/>
            </a:ext>
          </a:extLst>
        </xdr:cNvPr>
        <xdr:cNvCxnSpPr/>
      </xdr:nvCxnSpPr>
      <xdr:spPr>
        <a:xfrm>
          <a:off x="15668625" y="425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276</xdr:row>
      <xdr:rowOff>19050</xdr:rowOff>
    </xdr:from>
    <xdr:to>
      <xdr:col>71</xdr:col>
      <xdr:colOff>67945</xdr:colOff>
      <xdr:row>276</xdr:row>
      <xdr:rowOff>133350</xdr:rowOff>
    </xdr:to>
    <xdr:sp macro="" textlink="">
      <xdr:nvSpPr>
        <xdr:cNvPr id="54392" name="273">
          <a:extLst>
            <a:ext uri="{FF2B5EF4-FFF2-40B4-BE49-F238E27FC236}">
              <a16:creationId xmlns:a16="http://schemas.microsoft.com/office/drawing/2014/main" id="{4629C589-F673-2260-0A18-0669D2098E76}"/>
            </a:ext>
          </a:extLst>
        </xdr:cNvPr>
        <xdr:cNvSpPr/>
      </xdr:nvSpPr>
      <xdr:spPr>
        <a:xfrm>
          <a:off x="17478375" y="42291000"/>
          <a:ext cx="896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276</xdr:row>
      <xdr:rowOff>76200</xdr:rowOff>
    </xdr:from>
    <xdr:to>
      <xdr:col>64</xdr:col>
      <xdr:colOff>104775</xdr:colOff>
      <xdr:row>276</xdr:row>
      <xdr:rowOff>76200</xdr:rowOff>
    </xdr:to>
    <xdr:cxnSp macro="">
      <xdr:nvCxnSpPr>
        <xdr:cNvPr id="54393" name="직선 화살표 연결선 54392">
          <a:extLst>
            <a:ext uri="{FF2B5EF4-FFF2-40B4-BE49-F238E27FC236}">
              <a16:creationId xmlns:a16="http://schemas.microsoft.com/office/drawing/2014/main" id="{F3CE6FC9-D3BE-57AD-6A83-553CE4DE16D4}"/>
            </a:ext>
          </a:extLst>
        </xdr:cNvPr>
        <xdr:cNvCxnSpPr/>
      </xdr:nvCxnSpPr>
      <xdr:spPr>
        <a:xfrm>
          <a:off x="17478375" y="423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275</xdr:row>
      <xdr:rowOff>19050</xdr:rowOff>
    </xdr:from>
    <xdr:to>
      <xdr:col>71</xdr:col>
      <xdr:colOff>67945</xdr:colOff>
      <xdr:row>275</xdr:row>
      <xdr:rowOff>133350</xdr:rowOff>
    </xdr:to>
    <xdr:sp macro="" textlink="">
      <xdr:nvSpPr>
        <xdr:cNvPr id="54394" name="272">
          <a:extLst>
            <a:ext uri="{FF2B5EF4-FFF2-40B4-BE49-F238E27FC236}">
              <a16:creationId xmlns:a16="http://schemas.microsoft.com/office/drawing/2014/main" id="{BF7C6847-8C3C-8461-2628-FFF4A17FD98B}"/>
            </a:ext>
          </a:extLst>
        </xdr:cNvPr>
        <xdr:cNvSpPr/>
      </xdr:nvSpPr>
      <xdr:spPr>
        <a:xfrm>
          <a:off x="17478375" y="42138600"/>
          <a:ext cx="896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275</xdr:row>
      <xdr:rowOff>76200</xdr:rowOff>
    </xdr:from>
    <xdr:to>
      <xdr:col>64</xdr:col>
      <xdr:colOff>104775</xdr:colOff>
      <xdr:row>275</xdr:row>
      <xdr:rowOff>76200</xdr:rowOff>
    </xdr:to>
    <xdr:cxnSp macro="">
      <xdr:nvCxnSpPr>
        <xdr:cNvPr id="54395" name="직선 화살표 연결선 54394">
          <a:extLst>
            <a:ext uri="{FF2B5EF4-FFF2-40B4-BE49-F238E27FC236}">
              <a16:creationId xmlns:a16="http://schemas.microsoft.com/office/drawing/2014/main" id="{0814560F-119F-8CAC-0855-E46FEE7A3AEC}"/>
            </a:ext>
          </a:extLst>
        </xdr:cNvPr>
        <xdr:cNvCxnSpPr/>
      </xdr:nvCxnSpPr>
      <xdr:spPr>
        <a:xfrm>
          <a:off x="17478375" y="421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274</xdr:row>
      <xdr:rowOff>19050</xdr:rowOff>
    </xdr:from>
    <xdr:to>
      <xdr:col>72</xdr:col>
      <xdr:colOff>67945</xdr:colOff>
      <xdr:row>274</xdr:row>
      <xdr:rowOff>133350</xdr:rowOff>
    </xdr:to>
    <xdr:sp macro="" textlink="">
      <xdr:nvSpPr>
        <xdr:cNvPr id="54396" name="271">
          <a:extLst>
            <a:ext uri="{FF2B5EF4-FFF2-40B4-BE49-F238E27FC236}">
              <a16:creationId xmlns:a16="http://schemas.microsoft.com/office/drawing/2014/main" id="{CD4C1723-9E42-69A4-E174-D986589B654E}"/>
            </a:ext>
          </a:extLst>
        </xdr:cNvPr>
        <xdr:cNvSpPr/>
      </xdr:nvSpPr>
      <xdr:spPr>
        <a:xfrm>
          <a:off x="17478375" y="41986200"/>
          <a:ext cx="10299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274</xdr:row>
      <xdr:rowOff>76200</xdr:rowOff>
    </xdr:from>
    <xdr:to>
      <xdr:col>64</xdr:col>
      <xdr:colOff>104775</xdr:colOff>
      <xdr:row>274</xdr:row>
      <xdr:rowOff>76200</xdr:rowOff>
    </xdr:to>
    <xdr:cxnSp macro="">
      <xdr:nvCxnSpPr>
        <xdr:cNvPr id="54397" name="직선 화살표 연결선 54396">
          <a:extLst>
            <a:ext uri="{FF2B5EF4-FFF2-40B4-BE49-F238E27FC236}">
              <a16:creationId xmlns:a16="http://schemas.microsoft.com/office/drawing/2014/main" id="{7BEB2A5A-A7BC-2BC3-FB1A-4545D9192306}"/>
            </a:ext>
          </a:extLst>
        </xdr:cNvPr>
        <xdr:cNvCxnSpPr/>
      </xdr:nvCxnSpPr>
      <xdr:spPr>
        <a:xfrm>
          <a:off x="17478375" y="420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273</xdr:row>
      <xdr:rowOff>19050</xdr:rowOff>
    </xdr:from>
    <xdr:to>
      <xdr:col>72</xdr:col>
      <xdr:colOff>67945</xdr:colOff>
      <xdr:row>273</xdr:row>
      <xdr:rowOff>133350</xdr:rowOff>
    </xdr:to>
    <xdr:sp macro="" textlink="">
      <xdr:nvSpPr>
        <xdr:cNvPr id="54398" name="270">
          <a:extLst>
            <a:ext uri="{FF2B5EF4-FFF2-40B4-BE49-F238E27FC236}">
              <a16:creationId xmlns:a16="http://schemas.microsoft.com/office/drawing/2014/main" id="{41A41B64-26C6-A272-6A83-C6DB8F0937C5}"/>
            </a:ext>
          </a:extLst>
        </xdr:cNvPr>
        <xdr:cNvSpPr/>
      </xdr:nvSpPr>
      <xdr:spPr>
        <a:xfrm>
          <a:off x="17478375" y="41833800"/>
          <a:ext cx="10299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273</xdr:row>
      <xdr:rowOff>76200</xdr:rowOff>
    </xdr:from>
    <xdr:to>
      <xdr:col>64</xdr:col>
      <xdr:colOff>104775</xdr:colOff>
      <xdr:row>273</xdr:row>
      <xdr:rowOff>76200</xdr:rowOff>
    </xdr:to>
    <xdr:cxnSp macro="">
      <xdr:nvCxnSpPr>
        <xdr:cNvPr id="54399" name="직선 화살표 연결선 54398">
          <a:extLst>
            <a:ext uri="{FF2B5EF4-FFF2-40B4-BE49-F238E27FC236}">
              <a16:creationId xmlns:a16="http://schemas.microsoft.com/office/drawing/2014/main" id="{96D2D02E-C37C-A069-3BEA-AB9EA3519DF2}"/>
            </a:ext>
          </a:extLst>
        </xdr:cNvPr>
        <xdr:cNvCxnSpPr/>
      </xdr:nvCxnSpPr>
      <xdr:spPr>
        <a:xfrm>
          <a:off x="17478375" y="418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272</xdr:row>
      <xdr:rowOff>19050</xdr:rowOff>
    </xdr:from>
    <xdr:to>
      <xdr:col>68</xdr:col>
      <xdr:colOff>67945</xdr:colOff>
      <xdr:row>272</xdr:row>
      <xdr:rowOff>133350</xdr:rowOff>
    </xdr:to>
    <xdr:sp macro="" textlink="">
      <xdr:nvSpPr>
        <xdr:cNvPr id="54400" name="269">
          <a:extLst>
            <a:ext uri="{FF2B5EF4-FFF2-40B4-BE49-F238E27FC236}">
              <a16:creationId xmlns:a16="http://schemas.microsoft.com/office/drawing/2014/main" id="{14F62F17-18BF-EE9F-AFD5-5DD8F3C71D2D}"/>
            </a:ext>
          </a:extLst>
        </xdr:cNvPr>
        <xdr:cNvSpPr/>
      </xdr:nvSpPr>
      <xdr:spPr>
        <a:xfrm>
          <a:off x="16278225" y="41681400"/>
          <a:ext cx="1696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272</xdr:row>
      <xdr:rowOff>76200</xdr:rowOff>
    </xdr:from>
    <xdr:to>
      <xdr:col>55</xdr:col>
      <xdr:colOff>104775</xdr:colOff>
      <xdr:row>272</xdr:row>
      <xdr:rowOff>76200</xdr:rowOff>
    </xdr:to>
    <xdr:cxnSp macro="">
      <xdr:nvCxnSpPr>
        <xdr:cNvPr id="54401" name="직선 화살표 연결선 54400">
          <a:extLst>
            <a:ext uri="{FF2B5EF4-FFF2-40B4-BE49-F238E27FC236}">
              <a16:creationId xmlns:a16="http://schemas.microsoft.com/office/drawing/2014/main" id="{CCBFE3D9-63C2-C751-52A9-80A86C95B0B4}"/>
            </a:ext>
          </a:extLst>
        </xdr:cNvPr>
        <xdr:cNvCxnSpPr/>
      </xdr:nvCxnSpPr>
      <xdr:spPr>
        <a:xfrm>
          <a:off x="16278225" y="417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47625</xdr:colOff>
      <xdr:row>271</xdr:row>
      <xdr:rowOff>19050</xdr:rowOff>
    </xdr:from>
    <xdr:to>
      <xdr:col>72</xdr:col>
      <xdr:colOff>67945</xdr:colOff>
      <xdr:row>271</xdr:row>
      <xdr:rowOff>133350</xdr:rowOff>
    </xdr:to>
    <xdr:sp macro="" textlink="">
      <xdr:nvSpPr>
        <xdr:cNvPr id="54402" name="268">
          <a:extLst>
            <a:ext uri="{FF2B5EF4-FFF2-40B4-BE49-F238E27FC236}">
              <a16:creationId xmlns:a16="http://schemas.microsoft.com/office/drawing/2014/main" id="{0CF2F678-B0EF-D97D-478A-51AD760E1AF3}"/>
            </a:ext>
          </a:extLst>
        </xdr:cNvPr>
        <xdr:cNvSpPr/>
      </xdr:nvSpPr>
      <xdr:spPr>
        <a:xfrm>
          <a:off x="17687925" y="41529000"/>
          <a:ext cx="820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47625</xdr:colOff>
      <xdr:row>271</xdr:row>
      <xdr:rowOff>76200</xdr:rowOff>
    </xdr:from>
    <xdr:to>
      <xdr:col>66</xdr:col>
      <xdr:colOff>47625</xdr:colOff>
      <xdr:row>271</xdr:row>
      <xdr:rowOff>76200</xdr:rowOff>
    </xdr:to>
    <xdr:cxnSp macro="">
      <xdr:nvCxnSpPr>
        <xdr:cNvPr id="54403" name="직선 화살표 연결선 54402">
          <a:extLst>
            <a:ext uri="{FF2B5EF4-FFF2-40B4-BE49-F238E27FC236}">
              <a16:creationId xmlns:a16="http://schemas.microsoft.com/office/drawing/2014/main" id="{983D3DA4-A64E-A397-64CB-795D4E57B6A5}"/>
            </a:ext>
          </a:extLst>
        </xdr:cNvPr>
        <xdr:cNvCxnSpPr/>
      </xdr:nvCxnSpPr>
      <xdr:spPr>
        <a:xfrm>
          <a:off x="17687925" y="415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47625</xdr:colOff>
      <xdr:row>270</xdr:row>
      <xdr:rowOff>19050</xdr:rowOff>
    </xdr:from>
    <xdr:to>
      <xdr:col>72</xdr:col>
      <xdr:colOff>67945</xdr:colOff>
      <xdr:row>270</xdr:row>
      <xdr:rowOff>133350</xdr:rowOff>
    </xdr:to>
    <xdr:sp macro="" textlink="">
      <xdr:nvSpPr>
        <xdr:cNvPr id="54404" name="267">
          <a:extLst>
            <a:ext uri="{FF2B5EF4-FFF2-40B4-BE49-F238E27FC236}">
              <a16:creationId xmlns:a16="http://schemas.microsoft.com/office/drawing/2014/main" id="{01A18771-DE26-FD02-60CB-9B1431FC3013}"/>
            </a:ext>
          </a:extLst>
        </xdr:cNvPr>
        <xdr:cNvSpPr/>
      </xdr:nvSpPr>
      <xdr:spPr>
        <a:xfrm>
          <a:off x="17687925" y="41376600"/>
          <a:ext cx="820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47625</xdr:colOff>
      <xdr:row>270</xdr:row>
      <xdr:rowOff>76200</xdr:rowOff>
    </xdr:from>
    <xdr:to>
      <xdr:col>66</xdr:col>
      <xdr:colOff>47625</xdr:colOff>
      <xdr:row>270</xdr:row>
      <xdr:rowOff>76200</xdr:rowOff>
    </xdr:to>
    <xdr:cxnSp macro="">
      <xdr:nvCxnSpPr>
        <xdr:cNvPr id="54405" name="직선 화살표 연결선 54404">
          <a:extLst>
            <a:ext uri="{FF2B5EF4-FFF2-40B4-BE49-F238E27FC236}">
              <a16:creationId xmlns:a16="http://schemas.microsoft.com/office/drawing/2014/main" id="{F5AAAF7B-E085-5002-7847-FE243BE2DD42}"/>
            </a:ext>
          </a:extLst>
        </xdr:cNvPr>
        <xdr:cNvCxnSpPr/>
      </xdr:nvCxnSpPr>
      <xdr:spPr>
        <a:xfrm>
          <a:off x="17687925" y="414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123825</xdr:colOff>
      <xdr:row>269</xdr:row>
      <xdr:rowOff>19050</xdr:rowOff>
    </xdr:from>
    <xdr:to>
      <xdr:col>71</xdr:col>
      <xdr:colOff>67945</xdr:colOff>
      <xdr:row>269</xdr:row>
      <xdr:rowOff>133350</xdr:rowOff>
    </xdr:to>
    <xdr:sp macro="" textlink="">
      <xdr:nvSpPr>
        <xdr:cNvPr id="54406" name="266">
          <a:extLst>
            <a:ext uri="{FF2B5EF4-FFF2-40B4-BE49-F238E27FC236}">
              <a16:creationId xmlns:a16="http://schemas.microsoft.com/office/drawing/2014/main" id="{82B5D7C8-EE6B-3BBA-1054-C923FCBC2B72}"/>
            </a:ext>
          </a:extLst>
        </xdr:cNvPr>
        <xdr:cNvSpPr/>
      </xdr:nvSpPr>
      <xdr:spPr>
        <a:xfrm>
          <a:off x="16830675" y="41224200"/>
          <a:ext cx="1544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123825</xdr:colOff>
      <xdr:row>269</xdr:row>
      <xdr:rowOff>76200</xdr:rowOff>
    </xdr:from>
    <xdr:to>
      <xdr:col>59</xdr:col>
      <xdr:colOff>123825</xdr:colOff>
      <xdr:row>269</xdr:row>
      <xdr:rowOff>76200</xdr:rowOff>
    </xdr:to>
    <xdr:cxnSp macro="">
      <xdr:nvCxnSpPr>
        <xdr:cNvPr id="54407" name="직선 화살표 연결선 54406">
          <a:extLst>
            <a:ext uri="{FF2B5EF4-FFF2-40B4-BE49-F238E27FC236}">
              <a16:creationId xmlns:a16="http://schemas.microsoft.com/office/drawing/2014/main" id="{D8F285AB-E853-922C-8FA9-C7AFA6C46746}"/>
            </a:ext>
          </a:extLst>
        </xdr:cNvPr>
        <xdr:cNvCxnSpPr/>
      </xdr:nvCxnSpPr>
      <xdr:spPr>
        <a:xfrm>
          <a:off x="16830675" y="412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268</xdr:row>
      <xdr:rowOff>19050</xdr:rowOff>
    </xdr:from>
    <xdr:to>
      <xdr:col>68</xdr:col>
      <xdr:colOff>67945</xdr:colOff>
      <xdr:row>268</xdr:row>
      <xdr:rowOff>133350</xdr:rowOff>
    </xdr:to>
    <xdr:sp macro="" textlink="">
      <xdr:nvSpPr>
        <xdr:cNvPr id="54408" name="265">
          <a:extLst>
            <a:ext uri="{FF2B5EF4-FFF2-40B4-BE49-F238E27FC236}">
              <a16:creationId xmlns:a16="http://schemas.microsoft.com/office/drawing/2014/main" id="{DDFE45C3-F97E-5913-8651-D378C6E09119}"/>
            </a:ext>
          </a:extLst>
        </xdr:cNvPr>
        <xdr:cNvSpPr/>
      </xdr:nvSpPr>
      <xdr:spPr>
        <a:xfrm>
          <a:off x="15668625" y="41071800"/>
          <a:ext cx="2306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268</xdr:row>
      <xdr:rowOff>76200</xdr:rowOff>
    </xdr:from>
    <xdr:to>
      <xdr:col>51</xdr:col>
      <xdr:colOff>28575</xdr:colOff>
      <xdr:row>268</xdr:row>
      <xdr:rowOff>76200</xdr:rowOff>
    </xdr:to>
    <xdr:cxnSp macro="">
      <xdr:nvCxnSpPr>
        <xdr:cNvPr id="54409" name="직선 화살표 연결선 54408">
          <a:extLst>
            <a:ext uri="{FF2B5EF4-FFF2-40B4-BE49-F238E27FC236}">
              <a16:creationId xmlns:a16="http://schemas.microsoft.com/office/drawing/2014/main" id="{5E3D7093-CAA6-654E-4F28-AC49518F27F0}"/>
            </a:ext>
          </a:extLst>
        </xdr:cNvPr>
        <xdr:cNvCxnSpPr/>
      </xdr:nvCxnSpPr>
      <xdr:spPr>
        <a:xfrm>
          <a:off x="15668625" y="411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267</xdr:row>
      <xdr:rowOff>19050</xdr:rowOff>
    </xdr:from>
    <xdr:to>
      <xdr:col>68</xdr:col>
      <xdr:colOff>67945</xdr:colOff>
      <xdr:row>267</xdr:row>
      <xdr:rowOff>133350</xdr:rowOff>
    </xdr:to>
    <xdr:sp macro="" textlink="">
      <xdr:nvSpPr>
        <xdr:cNvPr id="54410" name="264">
          <a:extLst>
            <a:ext uri="{FF2B5EF4-FFF2-40B4-BE49-F238E27FC236}">
              <a16:creationId xmlns:a16="http://schemas.microsoft.com/office/drawing/2014/main" id="{94C1E9C3-479F-896E-351D-75338D8949F8}"/>
            </a:ext>
          </a:extLst>
        </xdr:cNvPr>
        <xdr:cNvSpPr/>
      </xdr:nvSpPr>
      <xdr:spPr>
        <a:xfrm>
          <a:off x="16278225" y="40919400"/>
          <a:ext cx="1696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267</xdr:row>
      <xdr:rowOff>76200</xdr:rowOff>
    </xdr:from>
    <xdr:to>
      <xdr:col>55</xdr:col>
      <xdr:colOff>104775</xdr:colOff>
      <xdr:row>267</xdr:row>
      <xdr:rowOff>76200</xdr:rowOff>
    </xdr:to>
    <xdr:cxnSp macro="">
      <xdr:nvCxnSpPr>
        <xdr:cNvPr id="54411" name="직선 화살표 연결선 54410">
          <a:extLst>
            <a:ext uri="{FF2B5EF4-FFF2-40B4-BE49-F238E27FC236}">
              <a16:creationId xmlns:a16="http://schemas.microsoft.com/office/drawing/2014/main" id="{94015101-0389-3580-F996-A4499B5F3D7F}"/>
            </a:ext>
          </a:extLst>
        </xdr:cNvPr>
        <xdr:cNvCxnSpPr/>
      </xdr:nvCxnSpPr>
      <xdr:spPr>
        <a:xfrm>
          <a:off x="16278225" y="409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266</xdr:row>
      <xdr:rowOff>19050</xdr:rowOff>
    </xdr:from>
    <xdr:to>
      <xdr:col>64</xdr:col>
      <xdr:colOff>48895</xdr:colOff>
      <xdr:row>266</xdr:row>
      <xdr:rowOff>133350</xdr:rowOff>
    </xdr:to>
    <xdr:sp macro="" textlink="">
      <xdr:nvSpPr>
        <xdr:cNvPr id="54412" name="263">
          <a:extLst>
            <a:ext uri="{FF2B5EF4-FFF2-40B4-BE49-F238E27FC236}">
              <a16:creationId xmlns:a16="http://schemas.microsoft.com/office/drawing/2014/main" id="{56630486-A219-D678-8BB9-B27E5379E955}"/>
            </a:ext>
          </a:extLst>
        </xdr:cNvPr>
        <xdr:cNvSpPr/>
      </xdr:nvSpPr>
      <xdr:spPr>
        <a:xfrm>
          <a:off x="16278225" y="407670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266</xdr:row>
      <xdr:rowOff>76200</xdr:rowOff>
    </xdr:from>
    <xdr:to>
      <xdr:col>55</xdr:col>
      <xdr:colOff>104775</xdr:colOff>
      <xdr:row>266</xdr:row>
      <xdr:rowOff>76200</xdr:rowOff>
    </xdr:to>
    <xdr:cxnSp macro="">
      <xdr:nvCxnSpPr>
        <xdr:cNvPr id="54413" name="직선 화살표 연결선 54412">
          <a:extLst>
            <a:ext uri="{FF2B5EF4-FFF2-40B4-BE49-F238E27FC236}">
              <a16:creationId xmlns:a16="http://schemas.microsoft.com/office/drawing/2014/main" id="{0B3234F2-E79B-9E85-6B1E-D062D9EDCA69}"/>
            </a:ext>
          </a:extLst>
        </xdr:cNvPr>
        <xdr:cNvCxnSpPr/>
      </xdr:nvCxnSpPr>
      <xdr:spPr>
        <a:xfrm>
          <a:off x="16278225" y="408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265</xdr:row>
      <xdr:rowOff>19050</xdr:rowOff>
    </xdr:from>
    <xdr:to>
      <xdr:col>68</xdr:col>
      <xdr:colOff>67945</xdr:colOff>
      <xdr:row>265</xdr:row>
      <xdr:rowOff>133350</xdr:rowOff>
    </xdr:to>
    <xdr:sp macro="" textlink="">
      <xdr:nvSpPr>
        <xdr:cNvPr id="54414" name="262">
          <a:extLst>
            <a:ext uri="{FF2B5EF4-FFF2-40B4-BE49-F238E27FC236}">
              <a16:creationId xmlns:a16="http://schemas.microsoft.com/office/drawing/2014/main" id="{55D8264C-0039-96A2-7C73-1E57B67C30EB}"/>
            </a:ext>
          </a:extLst>
        </xdr:cNvPr>
        <xdr:cNvSpPr/>
      </xdr:nvSpPr>
      <xdr:spPr>
        <a:xfrm>
          <a:off x="16278225" y="40614600"/>
          <a:ext cx="1696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265</xdr:row>
      <xdr:rowOff>76200</xdr:rowOff>
    </xdr:from>
    <xdr:to>
      <xdr:col>55</xdr:col>
      <xdr:colOff>104775</xdr:colOff>
      <xdr:row>265</xdr:row>
      <xdr:rowOff>76200</xdr:rowOff>
    </xdr:to>
    <xdr:cxnSp macro="">
      <xdr:nvCxnSpPr>
        <xdr:cNvPr id="54415" name="직선 화살표 연결선 54414">
          <a:extLst>
            <a:ext uri="{FF2B5EF4-FFF2-40B4-BE49-F238E27FC236}">
              <a16:creationId xmlns:a16="http://schemas.microsoft.com/office/drawing/2014/main" id="{F0ABF471-9008-876C-167D-9BCF42D6903B}"/>
            </a:ext>
          </a:extLst>
        </xdr:cNvPr>
        <xdr:cNvCxnSpPr/>
      </xdr:nvCxnSpPr>
      <xdr:spPr>
        <a:xfrm>
          <a:off x="16278225" y="406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264</xdr:row>
      <xdr:rowOff>19050</xdr:rowOff>
    </xdr:from>
    <xdr:to>
      <xdr:col>59</xdr:col>
      <xdr:colOff>125095</xdr:colOff>
      <xdr:row>264</xdr:row>
      <xdr:rowOff>133350</xdr:rowOff>
    </xdr:to>
    <xdr:sp macro="" textlink="">
      <xdr:nvSpPr>
        <xdr:cNvPr id="54416" name="261">
          <a:extLst>
            <a:ext uri="{FF2B5EF4-FFF2-40B4-BE49-F238E27FC236}">
              <a16:creationId xmlns:a16="http://schemas.microsoft.com/office/drawing/2014/main" id="{F55FEED5-BD27-D14D-16A4-64238D21F543}"/>
            </a:ext>
          </a:extLst>
        </xdr:cNvPr>
        <xdr:cNvSpPr/>
      </xdr:nvSpPr>
      <xdr:spPr>
        <a:xfrm>
          <a:off x="16278225" y="40462200"/>
          <a:ext cx="553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264</xdr:row>
      <xdr:rowOff>76200</xdr:rowOff>
    </xdr:from>
    <xdr:to>
      <xdr:col>55</xdr:col>
      <xdr:colOff>104775</xdr:colOff>
      <xdr:row>264</xdr:row>
      <xdr:rowOff>76200</xdr:rowOff>
    </xdr:to>
    <xdr:cxnSp macro="">
      <xdr:nvCxnSpPr>
        <xdr:cNvPr id="54417" name="직선 화살표 연결선 54416">
          <a:extLst>
            <a:ext uri="{FF2B5EF4-FFF2-40B4-BE49-F238E27FC236}">
              <a16:creationId xmlns:a16="http://schemas.microsoft.com/office/drawing/2014/main" id="{9BA04CB6-74D5-C13E-C925-1C33A0ED8F0B}"/>
            </a:ext>
          </a:extLst>
        </xdr:cNvPr>
        <xdr:cNvCxnSpPr/>
      </xdr:nvCxnSpPr>
      <xdr:spPr>
        <a:xfrm>
          <a:off x="16278225" y="405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263</xdr:row>
      <xdr:rowOff>19050</xdr:rowOff>
    </xdr:from>
    <xdr:to>
      <xdr:col>64</xdr:col>
      <xdr:colOff>48895</xdr:colOff>
      <xdr:row>263</xdr:row>
      <xdr:rowOff>133350</xdr:rowOff>
    </xdr:to>
    <xdr:sp macro="" textlink="">
      <xdr:nvSpPr>
        <xdr:cNvPr id="54418" name="260">
          <a:extLst>
            <a:ext uri="{FF2B5EF4-FFF2-40B4-BE49-F238E27FC236}">
              <a16:creationId xmlns:a16="http://schemas.microsoft.com/office/drawing/2014/main" id="{791D6DA3-457B-ACE0-AED3-9CBF94626C05}"/>
            </a:ext>
          </a:extLst>
        </xdr:cNvPr>
        <xdr:cNvSpPr/>
      </xdr:nvSpPr>
      <xdr:spPr>
        <a:xfrm>
          <a:off x="16278225" y="403098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263</xdr:row>
      <xdr:rowOff>76200</xdr:rowOff>
    </xdr:from>
    <xdr:to>
      <xdr:col>55</xdr:col>
      <xdr:colOff>104775</xdr:colOff>
      <xdr:row>263</xdr:row>
      <xdr:rowOff>76200</xdr:rowOff>
    </xdr:to>
    <xdr:cxnSp macro="">
      <xdr:nvCxnSpPr>
        <xdr:cNvPr id="54419" name="직선 화살표 연결선 54418">
          <a:extLst>
            <a:ext uri="{FF2B5EF4-FFF2-40B4-BE49-F238E27FC236}">
              <a16:creationId xmlns:a16="http://schemas.microsoft.com/office/drawing/2014/main" id="{3CA7D041-969F-153F-0C2D-FB5C874269CD}"/>
            </a:ext>
          </a:extLst>
        </xdr:cNvPr>
        <xdr:cNvCxnSpPr/>
      </xdr:nvCxnSpPr>
      <xdr:spPr>
        <a:xfrm>
          <a:off x="16278225" y="403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262</xdr:row>
      <xdr:rowOff>19050</xdr:rowOff>
    </xdr:from>
    <xdr:to>
      <xdr:col>64</xdr:col>
      <xdr:colOff>48895</xdr:colOff>
      <xdr:row>262</xdr:row>
      <xdr:rowOff>133350</xdr:rowOff>
    </xdr:to>
    <xdr:sp macro="" textlink="">
      <xdr:nvSpPr>
        <xdr:cNvPr id="54420" name="259">
          <a:extLst>
            <a:ext uri="{FF2B5EF4-FFF2-40B4-BE49-F238E27FC236}">
              <a16:creationId xmlns:a16="http://schemas.microsoft.com/office/drawing/2014/main" id="{F0FE22FB-91C1-0E59-E9E9-4C16AF570B51}"/>
            </a:ext>
          </a:extLst>
        </xdr:cNvPr>
        <xdr:cNvSpPr/>
      </xdr:nvSpPr>
      <xdr:spPr>
        <a:xfrm>
          <a:off x="16278225" y="401574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262</xdr:row>
      <xdr:rowOff>76200</xdr:rowOff>
    </xdr:from>
    <xdr:to>
      <xdr:col>55</xdr:col>
      <xdr:colOff>104775</xdr:colOff>
      <xdr:row>262</xdr:row>
      <xdr:rowOff>76200</xdr:rowOff>
    </xdr:to>
    <xdr:cxnSp macro="">
      <xdr:nvCxnSpPr>
        <xdr:cNvPr id="54421" name="직선 화살표 연결선 54420">
          <a:extLst>
            <a:ext uri="{FF2B5EF4-FFF2-40B4-BE49-F238E27FC236}">
              <a16:creationId xmlns:a16="http://schemas.microsoft.com/office/drawing/2014/main" id="{24732429-FBF3-A986-F0C8-9D11BD3EF867}"/>
            </a:ext>
          </a:extLst>
        </xdr:cNvPr>
        <xdr:cNvCxnSpPr/>
      </xdr:nvCxnSpPr>
      <xdr:spPr>
        <a:xfrm>
          <a:off x="16278225" y="402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261</xdr:row>
      <xdr:rowOff>19050</xdr:rowOff>
    </xdr:from>
    <xdr:to>
      <xdr:col>64</xdr:col>
      <xdr:colOff>48895</xdr:colOff>
      <xdr:row>261</xdr:row>
      <xdr:rowOff>133350</xdr:rowOff>
    </xdr:to>
    <xdr:sp macro="" textlink="">
      <xdr:nvSpPr>
        <xdr:cNvPr id="54422" name="258">
          <a:extLst>
            <a:ext uri="{FF2B5EF4-FFF2-40B4-BE49-F238E27FC236}">
              <a16:creationId xmlns:a16="http://schemas.microsoft.com/office/drawing/2014/main" id="{46DB514B-1B56-FE37-98F4-85F6ABE13D86}"/>
            </a:ext>
          </a:extLst>
        </xdr:cNvPr>
        <xdr:cNvSpPr/>
      </xdr:nvSpPr>
      <xdr:spPr>
        <a:xfrm>
          <a:off x="15668625" y="40005000"/>
          <a:ext cx="1753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261</xdr:row>
      <xdr:rowOff>76200</xdr:rowOff>
    </xdr:from>
    <xdr:to>
      <xdr:col>51</xdr:col>
      <xdr:colOff>28575</xdr:colOff>
      <xdr:row>261</xdr:row>
      <xdr:rowOff>76200</xdr:rowOff>
    </xdr:to>
    <xdr:cxnSp macro="">
      <xdr:nvCxnSpPr>
        <xdr:cNvPr id="54423" name="직선 화살표 연결선 54422">
          <a:extLst>
            <a:ext uri="{FF2B5EF4-FFF2-40B4-BE49-F238E27FC236}">
              <a16:creationId xmlns:a16="http://schemas.microsoft.com/office/drawing/2014/main" id="{27D30B7D-87B9-ECF7-30ED-E1C16B5A636B}"/>
            </a:ext>
          </a:extLst>
        </xdr:cNvPr>
        <xdr:cNvCxnSpPr/>
      </xdr:nvCxnSpPr>
      <xdr:spPr>
        <a:xfrm>
          <a:off x="15668625" y="400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123825</xdr:colOff>
      <xdr:row>260</xdr:row>
      <xdr:rowOff>19050</xdr:rowOff>
    </xdr:from>
    <xdr:to>
      <xdr:col>64</xdr:col>
      <xdr:colOff>48895</xdr:colOff>
      <xdr:row>260</xdr:row>
      <xdr:rowOff>133350</xdr:rowOff>
    </xdr:to>
    <xdr:sp macro="" textlink="">
      <xdr:nvSpPr>
        <xdr:cNvPr id="54424" name="257">
          <a:extLst>
            <a:ext uri="{FF2B5EF4-FFF2-40B4-BE49-F238E27FC236}">
              <a16:creationId xmlns:a16="http://schemas.microsoft.com/office/drawing/2014/main" id="{A78B5A6C-7560-07AC-15AE-F4F8857EE54D}"/>
            </a:ext>
          </a:extLst>
        </xdr:cNvPr>
        <xdr:cNvSpPr/>
      </xdr:nvSpPr>
      <xdr:spPr>
        <a:xfrm>
          <a:off x="15763875" y="39852600"/>
          <a:ext cx="1658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123825</xdr:colOff>
      <xdr:row>260</xdr:row>
      <xdr:rowOff>76200</xdr:rowOff>
    </xdr:from>
    <xdr:to>
      <xdr:col>51</xdr:col>
      <xdr:colOff>123825</xdr:colOff>
      <xdr:row>260</xdr:row>
      <xdr:rowOff>76200</xdr:rowOff>
    </xdr:to>
    <xdr:cxnSp macro="">
      <xdr:nvCxnSpPr>
        <xdr:cNvPr id="54425" name="직선 화살표 연결선 54424">
          <a:extLst>
            <a:ext uri="{FF2B5EF4-FFF2-40B4-BE49-F238E27FC236}">
              <a16:creationId xmlns:a16="http://schemas.microsoft.com/office/drawing/2014/main" id="{EB63C9A6-4A8B-8FF7-7449-2978C87621F9}"/>
            </a:ext>
          </a:extLst>
        </xdr:cNvPr>
        <xdr:cNvCxnSpPr/>
      </xdr:nvCxnSpPr>
      <xdr:spPr>
        <a:xfrm>
          <a:off x="15763875" y="399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47625</xdr:colOff>
      <xdr:row>259</xdr:row>
      <xdr:rowOff>19050</xdr:rowOff>
    </xdr:from>
    <xdr:to>
      <xdr:col>72</xdr:col>
      <xdr:colOff>106045</xdr:colOff>
      <xdr:row>259</xdr:row>
      <xdr:rowOff>133350</xdr:rowOff>
    </xdr:to>
    <xdr:sp macro="" textlink="">
      <xdr:nvSpPr>
        <xdr:cNvPr id="54426" name="256">
          <a:extLst>
            <a:ext uri="{FF2B5EF4-FFF2-40B4-BE49-F238E27FC236}">
              <a16:creationId xmlns:a16="http://schemas.microsoft.com/office/drawing/2014/main" id="{2BD5BF7D-4586-F5E2-D7BA-F057B4A78DD4}"/>
            </a:ext>
          </a:extLst>
        </xdr:cNvPr>
        <xdr:cNvSpPr/>
      </xdr:nvSpPr>
      <xdr:spPr>
        <a:xfrm>
          <a:off x="17687925" y="39700200"/>
          <a:ext cx="858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47625</xdr:colOff>
      <xdr:row>259</xdr:row>
      <xdr:rowOff>76200</xdr:rowOff>
    </xdr:from>
    <xdr:to>
      <xdr:col>66</xdr:col>
      <xdr:colOff>47625</xdr:colOff>
      <xdr:row>259</xdr:row>
      <xdr:rowOff>76200</xdr:rowOff>
    </xdr:to>
    <xdr:cxnSp macro="">
      <xdr:nvCxnSpPr>
        <xdr:cNvPr id="54427" name="직선 화살표 연결선 54426">
          <a:extLst>
            <a:ext uri="{FF2B5EF4-FFF2-40B4-BE49-F238E27FC236}">
              <a16:creationId xmlns:a16="http://schemas.microsoft.com/office/drawing/2014/main" id="{7BC88BDE-6EE4-48B1-EBDC-E398E17B3E97}"/>
            </a:ext>
          </a:extLst>
        </xdr:cNvPr>
        <xdr:cNvCxnSpPr/>
      </xdr:nvCxnSpPr>
      <xdr:spPr>
        <a:xfrm>
          <a:off x="17687925" y="397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258</xdr:row>
      <xdr:rowOff>19050</xdr:rowOff>
    </xdr:from>
    <xdr:to>
      <xdr:col>72</xdr:col>
      <xdr:colOff>106045</xdr:colOff>
      <xdr:row>258</xdr:row>
      <xdr:rowOff>133350</xdr:rowOff>
    </xdr:to>
    <xdr:sp macro="" textlink="">
      <xdr:nvSpPr>
        <xdr:cNvPr id="54428" name="255">
          <a:extLst>
            <a:ext uri="{FF2B5EF4-FFF2-40B4-BE49-F238E27FC236}">
              <a16:creationId xmlns:a16="http://schemas.microsoft.com/office/drawing/2014/main" id="{E3B7F6A8-9021-70D4-323B-B64DD4EB4F0E}"/>
            </a:ext>
          </a:extLst>
        </xdr:cNvPr>
        <xdr:cNvSpPr/>
      </xdr:nvSpPr>
      <xdr:spPr>
        <a:xfrm>
          <a:off x="15668625" y="39547800"/>
          <a:ext cx="28778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258</xdr:row>
      <xdr:rowOff>76200</xdr:rowOff>
    </xdr:from>
    <xdr:to>
      <xdr:col>51</xdr:col>
      <xdr:colOff>28575</xdr:colOff>
      <xdr:row>258</xdr:row>
      <xdr:rowOff>76200</xdr:rowOff>
    </xdr:to>
    <xdr:cxnSp macro="">
      <xdr:nvCxnSpPr>
        <xdr:cNvPr id="54429" name="직선 화살표 연결선 54428">
          <a:extLst>
            <a:ext uri="{FF2B5EF4-FFF2-40B4-BE49-F238E27FC236}">
              <a16:creationId xmlns:a16="http://schemas.microsoft.com/office/drawing/2014/main" id="{01790312-A920-5576-EE11-0C95EB4D5E1A}"/>
            </a:ext>
          </a:extLst>
        </xdr:cNvPr>
        <xdr:cNvCxnSpPr/>
      </xdr:nvCxnSpPr>
      <xdr:spPr>
        <a:xfrm>
          <a:off x="15668625" y="3960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123825</xdr:colOff>
      <xdr:row>257</xdr:row>
      <xdr:rowOff>19050</xdr:rowOff>
    </xdr:from>
    <xdr:to>
      <xdr:col>68</xdr:col>
      <xdr:colOff>106045</xdr:colOff>
      <xdr:row>257</xdr:row>
      <xdr:rowOff>133350</xdr:rowOff>
    </xdr:to>
    <xdr:sp macro="" textlink="">
      <xdr:nvSpPr>
        <xdr:cNvPr id="54430" name="254">
          <a:extLst>
            <a:ext uri="{FF2B5EF4-FFF2-40B4-BE49-F238E27FC236}">
              <a16:creationId xmlns:a16="http://schemas.microsoft.com/office/drawing/2014/main" id="{D2EA98B9-329F-7A38-686B-32E769252A2D}"/>
            </a:ext>
          </a:extLst>
        </xdr:cNvPr>
        <xdr:cNvSpPr/>
      </xdr:nvSpPr>
      <xdr:spPr>
        <a:xfrm>
          <a:off x="15763875" y="39395400"/>
          <a:ext cx="22491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123825</xdr:colOff>
      <xdr:row>257</xdr:row>
      <xdr:rowOff>76200</xdr:rowOff>
    </xdr:from>
    <xdr:to>
      <xdr:col>51</xdr:col>
      <xdr:colOff>123825</xdr:colOff>
      <xdr:row>257</xdr:row>
      <xdr:rowOff>76200</xdr:rowOff>
    </xdr:to>
    <xdr:cxnSp macro="">
      <xdr:nvCxnSpPr>
        <xdr:cNvPr id="54431" name="직선 화살표 연결선 54430">
          <a:extLst>
            <a:ext uri="{FF2B5EF4-FFF2-40B4-BE49-F238E27FC236}">
              <a16:creationId xmlns:a16="http://schemas.microsoft.com/office/drawing/2014/main" id="{D19A08E4-5848-9F7A-1027-DCBE75733E0B}"/>
            </a:ext>
          </a:extLst>
        </xdr:cNvPr>
        <xdr:cNvCxnSpPr/>
      </xdr:nvCxnSpPr>
      <xdr:spPr>
        <a:xfrm>
          <a:off x="15763875" y="3945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123825</xdr:colOff>
      <xdr:row>256</xdr:row>
      <xdr:rowOff>19050</xdr:rowOff>
    </xdr:from>
    <xdr:to>
      <xdr:col>68</xdr:col>
      <xdr:colOff>106045</xdr:colOff>
      <xdr:row>256</xdr:row>
      <xdr:rowOff>133350</xdr:rowOff>
    </xdr:to>
    <xdr:sp macro="" textlink="">
      <xdr:nvSpPr>
        <xdr:cNvPr id="54432" name="253">
          <a:extLst>
            <a:ext uri="{FF2B5EF4-FFF2-40B4-BE49-F238E27FC236}">
              <a16:creationId xmlns:a16="http://schemas.microsoft.com/office/drawing/2014/main" id="{EA65D66E-D8DB-08D8-EC12-8E82B0E88EB4}"/>
            </a:ext>
          </a:extLst>
        </xdr:cNvPr>
        <xdr:cNvSpPr/>
      </xdr:nvSpPr>
      <xdr:spPr>
        <a:xfrm>
          <a:off x="15763875" y="39243000"/>
          <a:ext cx="22491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123825</xdr:colOff>
      <xdr:row>256</xdr:row>
      <xdr:rowOff>76200</xdr:rowOff>
    </xdr:from>
    <xdr:to>
      <xdr:col>51</xdr:col>
      <xdr:colOff>123825</xdr:colOff>
      <xdr:row>256</xdr:row>
      <xdr:rowOff>76200</xdr:rowOff>
    </xdr:to>
    <xdr:cxnSp macro="">
      <xdr:nvCxnSpPr>
        <xdr:cNvPr id="54433" name="직선 화살표 연결선 54432">
          <a:extLst>
            <a:ext uri="{FF2B5EF4-FFF2-40B4-BE49-F238E27FC236}">
              <a16:creationId xmlns:a16="http://schemas.microsoft.com/office/drawing/2014/main" id="{F357EF4C-44AC-ADA7-A37F-7FC9D5906BA9}"/>
            </a:ext>
          </a:extLst>
        </xdr:cNvPr>
        <xdr:cNvCxnSpPr/>
      </xdr:nvCxnSpPr>
      <xdr:spPr>
        <a:xfrm>
          <a:off x="15763875" y="3930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104775</xdr:colOff>
      <xdr:row>255</xdr:row>
      <xdr:rowOff>19050</xdr:rowOff>
    </xdr:from>
    <xdr:to>
      <xdr:col>68</xdr:col>
      <xdr:colOff>67945</xdr:colOff>
      <xdr:row>255</xdr:row>
      <xdr:rowOff>133350</xdr:rowOff>
    </xdr:to>
    <xdr:sp macro="" textlink="">
      <xdr:nvSpPr>
        <xdr:cNvPr id="54434" name="252">
          <a:extLst>
            <a:ext uri="{FF2B5EF4-FFF2-40B4-BE49-F238E27FC236}">
              <a16:creationId xmlns:a16="http://schemas.microsoft.com/office/drawing/2014/main" id="{63B20319-E789-0978-4D84-13AA91F22DD9}"/>
            </a:ext>
          </a:extLst>
        </xdr:cNvPr>
        <xdr:cNvSpPr/>
      </xdr:nvSpPr>
      <xdr:spPr>
        <a:xfrm>
          <a:off x="17478375" y="390906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64</xdr:col>
      <xdr:colOff>104775</xdr:colOff>
      <xdr:row>255</xdr:row>
      <xdr:rowOff>76200</xdr:rowOff>
    </xdr:from>
    <xdr:to>
      <xdr:col>64</xdr:col>
      <xdr:colOff>104775</xdr:colOff>
      <xdr:row>255</xdr:row>
      <xdr:rowOff>76200</xdr:rowOff>
    </xdr:to>
    <xdr:cxnSp macro="">
      <xdr:nvCxnSpPr>
        <xdr:cNvPr id="54435" name="직선 화살표 연결선 54434">
          <a:extLst>
            <a:ext uri="{FF2B5EF4-FFF2-40B4-BE49-F238E27FC236}">
              <a16:creationId xmlns:a16="http://schemas.microsoft.com/office/drawing/2014/main" id="{DE8940E5-7F03-7A35-83DC-A1AB637DA37A}"/>
            </a:ext>
          </a:extLst>
        </xdr:cNvPr>
        <xdr:cNvCxnSpPr/>
      </xdr:nvCxnSpPr>
      <xdr:spPr>
        <a:xfrm>
          <a:off x="17478375" y="3914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253</xdr:row>
      <xdr:rowOff>19050</xdr:rowOff>
    </xdr:from>
    <xdr:to>
      <xdr:col>64</xdr:col>
      <xdr:colOff>48895</xdr:colOff>
      <xdr:row>253</xdr:row>
      <xdr:rowOff>133350</xdr:rowOff>
    </xdr:to>
    <xdr:sp macro="" textlink="">
      <xdr:nvSpPr>
        <xdr:cNvPr id="54436" name="250">
          <a:extLst>
            <a:ext uri="{FF2B5EF4-FFF2-40B4-BE49-F238E27FC236}">
              <a16:creationId xmlns:a16="http://schemas.microsoft.com/office/drawing/2014/main" id="{7AFFE7F1-62F8-714D-F35E-E7D1F9B81135}"/>
            </a:ext>
          </a:extLst>
        </xdr:cNvPr>
        <xdr:cNvSpPr/>
      </xdr:nvSpPr>
      <xdr:spPr>
        <a:xfrm>
          <a:off x="16278225" y="387858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253</xdr:row>
      <xdr:rowOff>76200</xdr:rowOff>
    </xdr:from>
    <xdr:to>
      <xdr:col>55</xdr:col>
      <xdr:colOff>104775</xdr:colOff>
      <xdr:row>253</xdr:row>
      <xdr:rowOff>76200</xdr:rowOff>
    </xdr:to>
    <xdr:cxnSp macro="">
      <xdr:nvCxnSpPr>
        <xdr:cNvPr id="54437" name="직선 화살표 연결선 54436">
          <a:extLst>
            <a:ext uri="{FF2B5EF4-FFF2-40B4-BE49-F238E27FC236}">
              <a16:creationId xmlns:a16="http://schemas.microsoft.com/office/drawing/2014/main" id="{247046A5-7119-F3FD-7902-38721A8AD74C}"/>
            </a:ext>
          </a:extLst>
        </xdr:cNvPr>
        <xdr:cNvCxnSpPr/>
      </xdr:nvCxnSpPr>
      <xdr:spPr>
        <a:xfrm>
          <a:off x="16278225" y="3884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123825</xdr:colOff>
      <xdr:row>252</xdr:row>
      <xdr:rowOff>19050</xdr:rowOff>
    </xdr:from>
    <xdr:to>
      <xdr:col>64</xdr:col>
      <xdr:colOff>48895</xdr:colOff>
      <xdr:row>252</xdr:row>
      <xdr:rowOff>133350</xdr:rowOff>
    </xdr:to>
    <xdr:sp macro="" textlink="">
      <xdr:nvSpPr>
        <xdr:cNvPr id="54438" name="249">
          <a:extLst>
            <a:ext uri="{FF2B5EF4-FFF2-40B4-BE49-F238E27FC236}">
              <a16:creationId xmlns:a16="http://schemas.microsoft.com/office/drawing/2014/main" id="{AB4A4B51-CDC9-7F0D-9475-B2BD20EED10C}"/>
            </a:ext>
          </a:extLst>
        </xdr:cNvPr>
        <xdr:cNvSpPr/>
      </xdr:nvSpPr>
      <xdr:spPr>
        <a:xfrm>
          <a:off x="16830675" y="38633400"/>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123825</xdr:colOff>
      <xdr:row>252</xdr:row>
      <xdr:rowOff>76200</xdr:rowOff>
    </xdr:from>
    <xdr:to>
      <xdr:col>59</xdr:col>
      <xdr:colOff>123825</xdr:colOff>
      <xdr:row>252</xdr:row>
      <xdr:rowOff>76200</xdr:rowOff>
    </xdr:to>
    <xdr:cxnSp macro="">
      <xdr:nvCxnSpPr>
        <xdr:cNvPr id="54439" name="직선 화살표 연결선 54438">
          <a:extLst>
            <a:ext uri="{FF2B5EF4-FFF2-40B4-BE49-F238E27FC236}">
              <a16:creationId xmlns:a16="http://schemas.microsoft.com/office/drawing/2014/main" id="{A2E5D4B1-E280-20D0-63B9-E1BBB9A671FA}"/>
            </a:ext>
          </a:extLst>
        </xdr:cNvPr>
        <xdr:cNvCxnSpPr/>
      </xdr:nvCxnSpPr>
      <xdr:spPr>
        <a:xfrm>
          <a:off x="16830675" y="3869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123825</xdr:colOff>
      <xdr:row>251</xdr:row>
      <xdr:rowOff>19050</xdr:rowOff>
    </xdr:from>
    <xdr:to>
      <xdr:col>64</xdr:col>
      <xdr:colOff>48895</xdr:colOff>
      <xdr:row>251</xdr:row>
      <xdr:rowOff>133350</xdr:rowOff>
    </xdr:to>
    <xdr:sp macro="" textlink="">
      <xdr:nvSpPr>
        <xdr:cNvPr id="54440" name="248">
          <a:extLst>
            <a:ext uri="{FF2B5EF4-FFF2-40B4-BE49-F238E27FC236}">
              <a16:creationId xmlns:a16="http://schemas.microsoft.com/office/drawing/2014/main" id="{A0D3FA88-1661-8CC1-9F77-57F7CA16D6C0}"/>
            </a:ext>
          </a:extLst>
        </xdr:cNvPr>
        <xdr:cNvSpPr/>
      </xdr:nvSpPr>
      <xdr:spPr>
        <a:xfrm>
          <a:off x="16830675" y="38481000"/>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123825</xdr:colOff>
      <xdr:row>251</xdr:row>
      <xdr:rowOff>76200</xdr:rowOff>
    </xdr:from>
    <xdr:to>
      <xdr:col>59</xdr:col>
      <xdr:colOff>123825</xdr:colOff>
      <xdr:row>251</xdr:row>
      <xdr:rowOff>76200</xdr:rowOff>
    </xdr:to>
    <xdr:cxnSp macro="">
      <xdr:nvCxnSpPr>
        <xdr:cNvPr id="54441" name="직선 화살표 연결선 54440">
          <a:extLst>
            <a:ext uri="{FF2B5EF4-FFF2-40B4-BE49-F238E27FC236}">
              <a16:creationId xmlns:a16="http://schemas.microsoft.com/office/drawing/2014/main" id="{AB620F95-1A08-4507-723B-4BB6EB05ACDB}"/>
            </a:ext>
          </a:extLst>
        </xdr:cNvPr>
        <xdr:cNvCxnSpPr/>
      </xdr:nvCxnSpPr>
      <xdr:spPr>
        <a:xfrm>
          <a:off x="16830675" y="3853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250</xdr:row>
      <xdr:rowOff>19050</xdr:rowOff>
    </xdr:from>
    <xdr:to>
      <xdr:col>64</xdr:col>
      <xdr:colOff>48895</xdr:colOff>
      <xdr:row>250</xdr:row>
      <xdr:rowOff>133350</xdr:rowOff>
    </xdr:to>
    <xdr:sp macro="" textlink="">
      <xdr:nvSpPr>
        <xdr:cNvPr id="54442" name="247">
          <a:extLst>
            <a:ext uri="{FF2B5EF4-FFF2-40B4-BE49-F238E27FC236}">
              <a16:creationId xmlns:a16="http://schemas.microsoft.com/office/drawing/2014/main" id="{7EC4244F-0FCE-6D8A-2CD1-856107DD06F3}"/>
            </a:ext>
          </a:extLst>
        </xdr:cNvPr>
        <xdr:cNvSpPr/>
      </xdr:nvSpPr>
      <xdr:spPr>
        <a:xfrm>
          <a:off x="16278225" y="383286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250</xdr:row>
      <xdr:rowOff>76200</xdr:rowOff>
    </xdr:from>
    <xdr:to>
      <xdr:col>55</xdr:col>
      <xdr:colOff>104775</xdr:colOff>
      <xdr:row>250</xdr:row>
      <xdr:rowOff>76200</xdr:rowOff>
    </xdr:to>
    <xdr:cxnSp macro="">
      <xdr:nvCxnSpPr>
        <xdr:cNvPr id="54443" name="직선 화살표 연결선 54442">
          <a:extLst>
            <a:ext uri="{FF2B5EF4-FFF2-40B4-BE49-F238E27FC236}">
              <a16:creationId xmlns:a16="http://schemas.microsoft.com/office/drawing/2014/main" id="{3013CEF2-D3DA-5DA4-D122-CFEBD5E3C803}"/>
            </a:ext>
          </a:extLst>
        </xdr:cNvPr>
        <xdr:cNvCxnSpPr/>
      </xdr:nvCxnSpPr>
      <xdr:spPr>
        <a:xfrm>
          <a:off x="16278225" y="3838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249</xdr:row>
      <xdr:rowOff>19050</xdr:rowOff>
    </xdr:from>
    <xdr:to>
      <xdr:col>68</xdr:col>
      <xdr:colOff>67945</xdr:colOff>
      <xdr:row>249</xdr:row>
      <xdr:rowOff>133350</xdr:rowOff>
    </xdr:to>
    <xdr:sp macro="" textlink="">
      <xdr:nvSpPr>
        <xdr:cNvPr id="54444" name="246">
          <a:extLst>
            <a:ext uri="{FF2B5EF4-FFF2-40B4-BE49-F238E27FC236}">
              <a16:creationId xmlns:a16="http://schemas.microsoft.com/office/drawing/2014/main" id="{AE94A60B-4912-36E3-4BA8-943F2926593D}"/>
            </a:ext>
          </a:extLst>
        </xdr:cNvPr>
        <xdr:cNvSpPr/>
      </xdr:nvSpPr>
      <xdr:spPr>
        <a:xfrm>
          <a:off x="15668625" y="38176200"/>
          <a:ext cx="2306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249</xdr:row>
      <xdr:rowOff>76200</xdr:rowOff>
    </xdr:from>
    <xdr:to>
      <xdr:col>51</xdr:col>
      <xdr:colOff>28575</xdr:colOff>
      <xdr:row>249</xdr:row>
      <xdr:rowOff>76200</xdr:rowOff>
    </xdr:to>
    <xdr:cxnSp macro="">
      <xdr:nvCxnSpPr>
        <xdr:cNvPr id="54445" name="직선 화살표 연결선 54444">
          <a:extLst>
            <a:ext uri="{FF2B5EF4-FFF2-40B4-BE49-F238E27FC236}">
              <a16:creationId xmlns:a16="http://schemas.microsoft.com/office/drawing/2014/main" id="{8B9F778D-F698-9C7B-247C-290779AEDA9E}"/>
            </a:ext>
          </a:extLst>
        </xdr:cNvPr>
        <xdr:cNvCxnSpPr/>
      </xdr:nvCxnSpPr>
      <xdr:spPr>
        <a:xfrm>
          <a:off x="15668625" y="3823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248</xdr:row>
      <xdr:rowOff>19050</xdr:rowOff>
    </xdr:from>
    <xdr:to>
      <xdr:col>64</xdr:col>
      <xdr:colOff>48895</xdr:colOff>
      <xdr:row>248</xdr:row>
      <xdr:rowOff>133350</xdr:rowOff>
    </xdr:to>
    <xdr:sp macro="" textlink="">
      <xdr:nvSpPr>
        <xdr:cNvPr id="54446" name="245">
          <a:extLst>
            <a:ext uri="{FF2B5EF4-FFF2-40B4-BE49-F238E27FC236}">
              <a16:creationId xmlns:a16="http://schemas.microsoft.com/office/drawing/2014/main" id="{BB926FCC-E2DD-F97B-8DB3-09F427FEC2B4}"/>
            </a:ext>
          </a:extLst>
        </xdr:cNvPr>
        <xdr:cNvSpPr/>
      </xdr:nvSpPr>
      <xdr:spPr>
        <a:xfrm>
          <a:off x="16278225" y="380238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248</xdr:row>
      <xdr:rowOff>76200</xdr:rowOff>
    </xdr:from>
    <xdr:to>
      <xdr:col>55</xdr:col>
      <xdr:colOff>104775</xdr:colOff>
      <xdr:row>248</xdr:row>
      <xdr:rowOff>76200</xdr:rowOff>
    </xdr:to>
    <xdr:cxnSp macro="">
      <xdr:nvCxnSpPr>
        <xdr:cNvPr id="54447" name="직선 화살표 연결선 54446">
          <a:extLst>
            <a:ext uri="{FF2B5EF4-FFF2-40B4-BE49-F238E27FC236}">
              <a16:creationId xmlns:a16="http://schemas.microsoft.com/office/drawing/2014/main" id="{B9B52367-50D0-A44A-C11C-1F36FBCE67AE}"/>
            </a:ext>
          </a:extLst>
        </xdr:cNvPr>
        <xdr:cNvCxnSpPr/>
      </xdr:nvCxnSpPr>
      <xdr:spPr>
        <a:xfrm>
          <a:off x="16278225" y="3808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247</xdr:row>
      <xdr:rowOff>19050</xdr:rowOff>
    </xdr:from>
    <xdr:to>
      <xdr:col>64</xdr:col>
      <xdr:colOff>48895</xdr:colOff>
      <xdr:row>247</xdr:row>
      <xdr:rowOff>133350</xdr:rowOff>
    </xdr:to>
    <xdr:sp macro="" textlink="">
      <xdr:nvSpPr>
        <xdr:cNvPr id="54448" name="244">
          <a:extLst>
            <a:ext uri="{FF2B5EF4-FFF2-40B4-BE49-F238E27FC236}">
              <a16:creationId xmlns:a16="http://schemas.microsoft.com/office/drawing/2014/main" id="{66BEE20D-5FEE-59EA-1619-B287411109C7}"/>
            </a:ext>
          </a:extLst>
        </xdr:cNvPr>
        <xdr:cNvSpPr/>
      </xdr:nvSpPr>
      <xdr:spPr>
        <a:xfrm>
          <a:off x="16278225" y="378714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247</xdr:row>
      <xdr:rowOff>76200</xdr:rowOff>
    </xdr:from>
    <xdr:to>
      <xdr:col>55</xdr:col>
      <xdr:colOff>104775</xdr:colOff>
      <xdr:row>247</xdr:row>
      <xdr:rowOff>76200</xdr:rowOff>
    </xdr:to>
    <xdr:cxnSp macro="">
      <xdr:nvCxnSpPr>
        <xdr:cNvPr id="54449" name="직선 화살표 연결선 54448">
          <a:extLst>
            <a:ext uri="{FF2B5EF4-FFF2-40B4-BE49-F238E27FC236}">
              <a16:creationId xmlns:a16="http://schemas.microsoft.com/office/drawing/2014/main" id="{7A459D9F-92DE-AB9B-E2BB-D6DF235DDE14}"/>
            </a:ext>
          </a:extLst>
        </xdr:cNvPr>
        <xdr:cNvCxnSpPr/>
      </xdr:nvCxnSpPr>
      <xdr:spPr>
        <a:xfrm>
          <a:off x="16278225" y="3792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246</xdr:row>
      <xdr:rowOff>19050</xdr:rowOff>
    </xdr:from>
    <xdr:to>
      <xdr:col>64</xdr:col>
      <xdr:colOff>48895</xdr:colOff>
      <xdr:row>246</xdr:row>
      <xdr:rowOff>133350</xdr:rowOff>
    </xdr:to>
    <xdr:sp macro="" textlink="">
      <xdr:nvSpPr>
        <xdr:cNvPr id="54450" name="243">
          <a:extLst>
            <a:ext uri="{FF2B5EF4-FFF2-40B4-BE49-F238E27FC236}">
              <a16:creationId xmlns:a16="http://schemas.microsoft.com/office/drawing/2014/main" id="{B2DBBC78-8BAE-9763-E8A4-52989EEA0599}"/>
            </a:ext>
          </a:extLst>
        </xdr:cNvPr>
        <xdr:cNvSpPr/>
      </xdr:nvSpPr>
      <xdr:spPr>
        <a:xfrm>
          <a:off x="16278225" y="377190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246</xdr:row>
      <xdr:rowOff>76200</xdr:rowOff>
    </xdr:from>
    <xdr:to>
      <xdr:col>55</xdr:col>
      <xdr:colOff>104775</xdr:colOff>
      <xdr:row>246</xdr:row>
      <xdr:rowOff>76200</xdr:rowOff>
    </xdr:to>
    <xdr:cxnSp macro="">
      <xdr:nvCxnSpPr>
        <xdr:cNvPr id="54451" name="직선 화살표 연결선 54450">
          <a:extLst>
            <a:ext uri="{FF2B5EF4-FFF2-40B4-BE49-F238E27FC236}">
              <a16:creationId xmlns:a16="http://schemas.microsoft.com/office/drawing/2014/main" id="{DCC827BB-7B1E-7D3F-FAAA-E769EF91FCB0}"/>
            </a:ext>
          </a:extLst>
        </xdr:cNvPr>
        <xdr:cNvCxnSpPr/>
      </xdr:nvCxnSpPr>
      <xdr:spPr>
        <a:xfrm>
          <a:off x="16278225" y="3777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245</xdr:row>
      <xdr:rowOff>19050</xdr:rowOff>
    </xdr:from>
    <xdr:to>
      <xdr:col>68</xdr:col>
      <xdr:colOff>67945</xdr:colOff>
      <xdr:row>245</xdr:row>
      <xdr:rowOff>133350</xdr:rowOff>
    </xdr:to>
    <xdr:sp macro="" textlink="">
      <xdr:nvSpPr>
        <xdr:cNvPr id="54452" name="242">
          <a:extLst>
            <a:ext uri="{FF2B5EF4-FFF2-40B4-BE49-F238E27FC236}">
              <a16:creationId xmlns:a16="http://schemas.microsoft.com/office/drawing/2014/main" id="{06A6BCE8-4391-2E56-98A8-7DB4D38A8C09}"/>
            </a:ext>
          </a:extLst>
        </xdr:cNvPr>
        <xdr:cNvSpPr/>
      </xdr:nvSpPr>
      <xdr:spPr>
        <a:xfrm>
          <a:off x="15668625" y="37566600"/>
          <a:ext cx="23063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245</xdr:row>
      <xdr:rowOff>76200</xdr:rowOff>
    </xdr:from>
    <xdr:to>
      <xdr:col>51</xdr:col>
      <xdr:colOff>28575</xdr:colOff>
      <xdr:row>245</xdr:row>
      <xdr:rowOff>76200</xdr:rowOff>
    </xdr:to>
    <xdr:cxnSp macro="">
      <xdr:nvCxnSpPr>
        <xdr:cNvPr id="54453" name="직선 화살표 연결선 54452">
          <a:extLst>
            <a:ext uri="{FF2B5EF4-FFF2-40B4-BE49-F238E27FC236}">
              <a16:creationId xmlns:a16="http://schemas.microsoft.com/office/drawing/2014/main" id="{7EE8629E-3B31-7707-B0A0-BDF03A333D4B}"/>
            </a:ext>
          </a:extLst>
        </xdr:cNvPr>
        <xdr:cNvCxnSpPr/>
      </xdr:nvCxnSpPr>
      <xdr:spPr>
        <a:xfrm>
          <a:off x="15668625" y="3762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244</xdr:row>
      <xdr:rowOff>19050</xdr:rowOff>
    </xdr:from>
    <xdr:to>
      <xdr:col>68</xdr:col>
      <xdr:colOff>67945</xdr:colOff>
      <xdr:row>244</xdr:row>
      <xdr:rowOff>133350</xdr:rowOff>
    </xdr:to>
    <xdr:sp macro="" textlink="">
      <xdr:nvSpPr>
        <xdr:cNvPr id="54454" name="241">
          <a:extLst>
            <a:ext uri="{FF2B5EF4-FFF2-40B4-BE49-F238E27FC236}">
              <a16:creationId xmlns:a16="http://schemas.microsoft.com/office/drawing/2014/main" id="{EC09CDD7-1C57-6624-C761-4BD6F566D092}"/>
            </a:ext>
          </a:extLst>
        </xdr:cNvPr>
        <xdr:cNvSpPr/>
      </xdr:nvSpPr>
      <xdr:spPr>
        <a:xfrm>
          <a:off x="16278225" y="37414200"/>
          <a:ext cx="1696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244</xdr:row>
      <xdr:rowOff>76200</xdr:rowOff>
    </xdr:from>
    <xdr:to>
      <xdr:col>55</xdr:col>
      <xdr:colOff>104775</xdr:colOff>
      <xdr:row>244</xdr:row>
      <xdr:rowOff>76200</xdr:rowOff>
    </xdr:to>
    <xdr:cxnSp macro="">
      <xdr:nvCxnSpPr>
        <xdr:cNvPr id="54455" name="직선 화살표 연결선 54454">
          <a:extLst>
            <a:ext uri="{FF2B5EF4-FFF2-40B4-BE49-F238E27FC236}">
              <a16:creationId xmlns:a16="http://schemas.microsoft.com/office/drawing/2014/main" id="{468E6046-3213-ED99-BE5C-480CB39190FC}"/>
            </a:ext>
          </a:extLst>
        </xdr:cNvPr>
        <xdr:cNvCxnSpPr/>
      </xdr:nvCxnSpPr>
      <xdr:spPr>
        <a:xfrm>
          <a:off x="16278225" y="3747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243</xdr:row>
      <xdr:rowOff>19050</xdr:rowOff>
    </xdr:from>
    <xdr:to>
      <xdr:col>64</xdr:col>
      <xdr:colOff>48895</xdr:colOff>
      <xdr:row>243</xdr:row>
      <xdr:rowOff>133350</xdr:rowOff>
    </xdr:to>
    <xdr:sp macro="" textlink="">
      <xdr:nvSpPr>
        <xdr:cNvPr id="54456" name="240">
          <a:extLst>
            <a:ext uri="{FF2B5EF4-FFF2-40B4-BE49-F238E27FC236}">
              <a16:creationId xmlns:a16="http://schemas.microsoft.com/office/drawing/2014/main" id="{66CE0BEB-1E1B-0EF5-6E6C-17BDCFECC608}"/>
            </a:ext>
          </a:extLst>
        </xdr:cNvPr>
        <xdr:cNvSpPr/>
      </xdr:nvSpPr>
      <xdr:spPr>
        <a:xfrm>
          <a:off x="16278225" y="37261800"/>
          <a:ext cx="1144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243</xdr:row>
      <xdr:rowOff>76200</xdr:rowOff>
    </xdr:from>
    <xdr:to>
      <xdr:col>55</xdr:col>
      <xdr:colOff>104775</xdr:colOff>
      <xdr:row>243</xdr:row>
      <xdr:rowOff>76200</xdr:rowOff>
    </xdr:to>
    <xdr:cxnSp macro="">
      <xdr:nvCxnSpPr>
        <xdr:cNvPr id="54457" name="직선 화살표 연결선 54456">
          <a:extLst>
            <a:ext uri="{FF2B5EF4-FFF2-40B4-BE49-F238E27FC236}">
              <a16:creationId xmlns:a16="http://schemas.microsoft.com/office/drawing/2014/main" id="{7E1318D9-A85D-EADD-3C95-A0A56DDFEC5F}"/>
            </a:ext>
          </a:extLst>
        </xdr:cNvPr>
        <xdr:cNvCxnSpPr/>
      </xdr:nvCxnSpPr>
      <xdr:spPr>
        <a:xfrm>
          <a:off x="16278225" y="3731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242</xdr:row>
      <xdr:rowOff>19050</xdr:rowOff>
    </xdr:from>
    <xdr:to>
      <xdr:col>68</xdr:col>
      <xdr:colOff>106045</xdr:colOff>
      <xdr:row>242</xdr:row>
      <xdr:rowOff>133350</xdr:rowOff>
    </xdr:to>
    <xdr:sp macro="" textlink="">
      <xdr:nvSpPr>
        <xdr:cNvPr id="54458" name="239">
          <a:extLst>
            <a:ext uri="{FF2B5EF4-FFF2-40B4-BE49-F238E27FC236}">
              <a16:creationId xmlns:a16="http://schemas.microsoft.com/office/drawing/2014/main" id="{EEA04F9D-7A33-0E5A-EF13-56FF4DEF55FA}"/>
            </a:ext>
          </a:extLst>
        </xdr:cNvPr>
        <xdr:cNvSpPr/>
      </xdr:nvSpPr>
      <xdr:spPr>
        <a:xfrm>
          <a:off x="15668625" y="37109400"/>
          <a:ext cx="2344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242</xdr:row>
      <xdr:rowOff>76200</xdr:rowOff>
    </xdr:from>
    <xdr:to>
      <xdr:col>51</xdr:col>
      <xdr:colOff>28575</xdr:colOff>
      <xdr:row>242</xdr:row>
      <xdr:rowOff>76200</xdr:rowOff>
    </xdr:to>
    <xdr:cxnSp macro="">
      <xdr:nvCxnSpPr>
        <xdr:cNvPr id="54459" name="직선 화살표 연결선 54458">
          <a:extLst>
            <a:ext uri="{FF2B5EF4-FFF2-40B4-BE49-F238E27FC236}">
              <a16:creationId xmlns:a16="http://schemas.microsoft.com/office/drawing/2014/main" id="{20B7B4A3-4B1D-D4C2-E5AA-5BDF936BE19D}"/>
            </a:ext>
          </a:extLst>
        </xdr:cNvPr>
        <xdr:cNvCxnSpPr/>
      </xdr:nvCxnSpPr>
      <xdr:spPr>
        <a:xfrm>
          <a:off x="15668625" y="3716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104775</xdr:colOff>
      <xdr:row>241</xdr:row>
      <xdr:rowOff>19050</xdr:rowOff>
    </xdr:from>
    <xdr:to>
      <xdr:col>68</xdr:col>
      <xdr:colOff>106045</xdr:colOff>
      <xdr:row>241</xdr:row>
      <xdr:rowOff>133350</xdr:rowOff>
    </xdr:to>
    <xdr:sp macro="" textlink="">
      <xdr:nvSpPr>
        <xdr:cNvPr id="54460" name="238">
          <a:extLst>
            <a:ext uri="{FF2B5EF4-FFF2-40B4-BE49-F238E27FC236}">
              <a16:creationId xmlns:a16="http://schemas.microsoft.com/office/drawing/2014/main" id="{C4688434-C3E2-8259-CAA0-113C1981AD2B}"/>
            </a:ext>
          </a:extLst>
        </xdr:cNvPr>
        <xdr:cNvSpPr/>
      </xdr:nvSpPr>
      <xdr:spPr>
        <a:xfrm>
          <a:off x="17745075" y="36957000"/>
          <a:ext cx="2679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104775</xdr:colOff>
      <xdr:row>241</xdr:row>
      <xdr:rowOff>76200</xdr:rowOff>
    </xdr:from>
    <xdr:to>
      <xdr:col>66</xdr:col>
      <xdr:colOff>104775</xdr:colOff>
      <xdr:row>241</xdr:row>
      <xdr:rowOff>76200</xdr:rowOff>
    </xdr:to>
    <xdr:cxnSp macro="">
      <xdr:nvCxnSpPr>
        <xdr:cNvPr id="54461" name="직선 화살표 연결선 54460">
          <a:extLst>
            <a:ext uri="{FF2B5EF4-FFF2-40B4-BE49-F238E27FC236}">
              <a16:creationId xmlns:a16="http://schemas.microsoft.com/office/drawing/2014/main" id="{44EB9290-F8B8-E8B3-D555-24E721D4B1D8}"/>
            </a:ext>
          </a:extLst>
        </xdr:cNvPr>
        <xdr:cNvCxnSpPr/>
      </xdr:nvCxnSpPr>
      <xdr:spPr>
        <a:xfrm>
          <a:off x="17745075" y="3701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104775</xdr:colOff>
      <xdr:row>240</xdr:row>
      <xdr:rowOff>19050</xdr:rowOff>
    </xdr:from>
    <xdr:to>
      <xdr:col>67</xdr:col>
      <xdr:colOff>67945</xdr:colOff>
      <xdr:row>240</xdr:row>
      <xdr:rowOff>133350</xdr:rowOff>
    </xdr:to>
    <xdr:sp macro="" textlink="">
      <xdr:nvSpPr>
        <xdr:cNvPr id="54462" name="237">
          <a:extLst>
            <a:ext uri="{FF2B5EF4-FFF2-40B4-BE49-F238E27FC236}">
              <a16:creationId xmlns:a16="http://schemas.microsoft.com/office/drawing/2014/main" id="{DC34DAAB-6F38-0019-8466-25081D986255}"/>
            </a:ext>
          </a:extLst>
        </xdr:cNvPr>
        <xdr:cNvSpPr/>
      </xdr:nvSpPr>
      <xdr:spPr>
        <a:xfrm>
          <a:off x="17611725" y="368046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104775</xdr:colOff>
      <xdr:row>240</xdr:row>
      <xdr:rowOff>76200</xdr:rowOff>
    </xdr:from>
    <xdr:to>
      <xdr:col>65</xdr:col>
      <xdr:colOff>104775</xdr:colOff>
      <xdr:row>240</xdr:row>
      <xdr:rowOff>76200</xdr:rowOff>
    </xdr:to>
    <xdr:cxnSp macro="">
      <xdr:nvCxnSpPr>
        <xdr:cNvPr id="54463" name="직선 화살표 연결선 54462">
          <a:extLst>
            <a:ext uri="{FF2B5EF4-FFF2-40B4-BE49-F238E27FC236}">
              <a16:creationId xmlns:a16="http://schemas.microsoft.com/office/drawing/2014/main" id="{5EC560BA-E747-37CA-3F45-3410AA394C52}"/>
            </a:ext>
          </a:extLst>
        </xdr:cNvPr>
        <xdr:cNvCxnSpPr/>
      </xdr:nvCxnSpPr>
      <xdr:spPr>
        <a:xfrm>
          <a:off x="17611725" y="3686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104775</xdr:colOff>
      <xdr:row>239</xdr:row>
      <xdr:rowOff>19050</xdr:rowOff>
    </xdr:from>
    <xdr:to>
      <xdr:col>67</xdr:col>
      <xdr:colOff>67945</xdr:colOff>
      <xdr:row>239</xdr:row>
      <xdr:rowOff>133350</xdr:rowOff>
    </xdr:to>
    <xdr:sp macro="" textlink="">
      <xdr:nvSpPr>
        <xdr:cNvPr id="54464" name="236">
          <a:extLst>
            <a:ext uri="{FF2B5EF4-FFF2-40B4-BE49-F238E27FC236}">
              <a16:creationId xmlns:a16="http://schemas.microsoft.com/office/drawing/2014/main" id="{68EDBDB9-603C-5C53-8A53-679D11C3A9EF}"/>
            </a:ext>
          </a:extLst>
        </xdr:cNvPr>
        <xdr:cNvSpPr/>
      </xdr:nvSpPr>
      <xdr:spPr>
        <a:xfrm>
          <a:off x="17211675" y="366522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104775</xdr:colOff>
      <xdr:row>239</xdr:row>
      <xdr:rowOff>76200</xdr:rowOff>
    </xdr:from>
    <xdr:to>
      <xdr:col>62</xdr:col>
      <xdr:colOff>104775</xdr:colOff>
      <xdr:row>239</xdr:row>
      <xdr:rowOff>76200</xdr:rowOff>
    </xdr:to>
    <xdr:cxnSp macro="">
      <xdr:nvCxnSpPr>
        <xdr:cNvPr id="54465" name="직선 화살표 연결선 54464">
          <a:extLst>
            <a:ext uri="{FF2B5EF4-FFF2-40B4-BE49-F238E27FC236}">
              <a16:creationId xmlns:a16="http://schemas.microsoft.com/office/drawing/2014/main" id="{1149213F-4352-65AD-0D88-1D3A530EA105}"/>
            </a:ext>
          </a:extLst>
        </xdr:cNvPr>
        <xdr:cNvCxnSpPr/>
      </xdr:nvCxnSpPr>
      <xdr:spPr>
        <a:xfrm>
          <a:off x="17211675" y="3670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104775</xdr:colOff>
      <xdr:row>238</xdr:row>
      <xdr:rowOff>19050</xdr:rowOff>
    </xdr:from>
    <xdr:to>
      <xdr:col>65</xdr:col>
      <xdr:colOff>67945</xdr:colOff>
      <xdr:row>238</xdr:row>
      <xdr:rowOff>133350</xdr:rowOff>
    </xdr:to>
    <xdr:sp macro="" textlink="">
      <xdr:nvSpPr>
        <xdr:cNvPr id="54466" name="235">
          <a:extLst>
            <a:ext uri="{FF2B5EF4-FFF2-40B4-BE49-F238E27FC236}">
              <a16:creationId xmlns:a16="http://schemas.microsoft.com/office/drawing/2014/main" id="{A954BA20-B82D-747B-9811-54B9EFF30783}"/>
            </a:ext>
          </a:extLst>
        </xdr:cNvPr>
        <xdr:cNvSpPr/>
      </xdr:nvSpPr>
      <xdr:spPr>
        <a:xfrm>
          <a:off x="17078325" y="364998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104775</xdr:colOff>
      <xdr:row>238</xdr:row>
      <xdr:rowOff>76200</xdr:rowOff>
    </xdr:from>
    <xdr:to>
      <xdr:col>61</xdr:col>
      <xdr:colOff>104775</xdr:colOff>
      <xdr:row>238</xdr:row>
      <xdr:rowOff>76200</xdr:rowOff>
    </xdr:to>
    <xdr:cxnSp macro="">
      <xdr:nvCxnSpPr>
        <xdr:cNvPr id="54467" name="직선 화살표 연결선 54466">
          <a:extLst>
            <a:ext uri="{FF2B5EF4-FFF2-40B4-BE49-F238E27FC236}">
              <a16:creationId xmlns:a16="http://schemas.microsoft.com/office/drawing/2014/main" id="{0A777DAA-426C-AD55-765D-2680353A48DA}"/>
            </a:ext>
          </a:extLst>
        </xdr:cNvPr>
        <xdr:cNvCxnSpPr/>
      </xdr:nvCxnSpPr>
      <xdr:spPr>
        <a:xfrm>
          <a:off x="17078325" y="3655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104775</xdr:colOff>
      <xdr:row>237</xdr:row>
      <xdr:rowOff>19050</xdr:rowOff>
    </xdr:from>
    <xdr:to>
      <xdr:col>66</xdr:col>
      <xdr:colOff>67945</xdr:colOff>
      <xdr:row>237</xdr:row>
      <xdr:rowOff>133350</xdr:rowOff>
    </xdr:to>
    <xdr:sp macro="" textlink="">
      <xdr:nvSpPr>
        <xdr:cNvPr id="54468" name="234">
          <a:extLst>
            <a:ext uri="{FF2B5EF4-FFF2-40B4-BE49-F238E27FC236}">
              <a16:creationId xmlns:a16="http://schemas.microsoft.com/office/drawing/2014/main" id="{FF6E5FC5-275B-4E1B-92E2-C97706CA21AA}"/>
            </a:ext>
          </a:extLst>
        </xdr:cNvPr>
        <xdr:cNvSpPr/>
      </xdr:nvSpPr>
      <xdr:spPr>
        <a:xfrm>
          <a:off x="16944975" y="36347400"/>
          <a:ext cx="763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104775</xdr:colOff>
      <xdr:row>237</xdr:row>
      <xdr:rowOff>76200</xdr:rowOff>
    </xdr:from>
    <xdr:to>
      <xdr:col>60</xdr:col>
      <xdr:colOff>104775</xdr:colOff>
      <xdr:row>237</xdr:row>
      <xdr:rowOff>76200</xdr:rowOff>
    </xdr:to>
    <xdr:cxnSp macro="">
      <xdr:nvCxnSpPr>
        <xdr:cNvPr id="54469" name="직선 화살표 연결선 54468">
          <a:extLst>
            <a:ext uri="{FF2B5EF4-FFF2-40B4-BE49-F238E27FC236}">
              <a16:creationId xmlns:a16="http://schemas.microsoft.com/office/drawing/2014/main" id="{D4EEFD66-937F-0F47-765D-CC305CD88F10}"/>
            </a:ext>
          </a:extLst>
        </xdr:cNvPr>
        <xdr:cNvCxnSpPr/>
      </xdr:nvCxnSpPr>
      <xdr:spPr>
        <a:xfrm>
          <a:off x="16944975" y="3640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123825</xdr:colOff>
      <xdr:row>236</xdr:row>
      <xdr:rowOff>19050</xdr:rowOff>
    </xdr:from>
    <xdr:to>
      <xdr:col>66</xdr:col>
      <xdr:colOff>67945</xdr:colOff>
      <xdr:row>236</xdr:row>
      <xdr:rowOff>133350</xdr:rowOff>
    </xdr:to>
    <xdr:sp macro="" textlink="">
      <xdr:nvSpPr>
        <xdr:cNvPr id="54470" name="233">
          <a:extLst>
            <a:ext uri="{FF2B5EF4-FFF2-40B4-BE49-F238E27FC236}">
              <a16:creationId xmlns:a16="http://schemas.microsoft.com/office/drawing/2014/main" id="{2E82A4E3-5BB5-7E8D-3DCE-BC91526ADB7C}"/>
            </a:ext>
          </a:extLst>
        </xdr:cNvPr>
        <xdr:cNvSpPr/>
      </xdr:nvSpPr>
      <xdr:spPr>
        <a:xfrm>
          <a:off x="16830675" y="361950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123825</xdr:colOff>
      <xdr:row>236</xdr:row>
      <xdr:rowOff>76200</xdr:rowOff>
    </xdr:from>
    <xdr:to>
      <xdr:col>59</xdr:col>
      <xdr:colOff>123825</xdr:colOff>
      <xdr:row>236</xdr:row>
      <xdr:rowOff>76200</xdr:rowOff>
    </xdr:to>
    <xdr:cxnSp macro="">
      <xdr:nvCxnSpPr>
        <xdr:cNvPr id="54471" name="직선 화살표 연결선 54470">
          <a:extLst>
            <a:ext uri="{FF2B5EF4-FFF2-40B4-BE49-F238E27FC236}">
              <a16:creationId xmlns:a16="http://schemas.microsoft.com/office/drawing/2014/main" id="{B71B0C62-7D65-7542-D529-16B45801F36F}"/>
            </a:ext>
          </a:extLst>
        </xdr:cNvPr>
        <xdr:cNvCxnSpPr/>
      </xdr:nvCxnSpPr>
      <xdr:spPr>
        <a:xfrm>
          <a:off x="16830675" y="3625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123825</xdr:colOff>
      <xdr:row>235</xdr:row>
      <xdr:rowOff>19050</xdr:rowOff>
    </xdr:from>
    <xdr:to>
      <xdr:col>65</xdr:col>
      <xdr:colOff>67945</xdr:colOff>
      <xdr:row>235</xdr:row>
      <xdr:rowOff>133350</xdr:rowOff>
    </xdr:to>
    <xdr:sp macro="" textlink="">
      <xdr:nvSpPr>
        <xdr:cNvPr id="54472" name="232">
          <a:extLst>
            <a:ext uri="{FF2B5EF4-FFF2-40B4-BE49-F238E27FC236}">
              <a16:creationId xmlns:a16="http://schemas.microsoft.com/office/drawing/2014/main" id="{81492F87-87B0-B813-75DD-CE2D44D707F0}"/>
            </a:ext>
          </a:extLst>
        </xdr:cNvPr>
        <xdr:cNvSpPr/>
      </xdr:nvSpPr>
      <xdr:spPr>
        <a:xfrm>
          <a:off x="16830675" y="360426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123825</xdr:colOff>
      <xdr:row>235</xdr:row>
      <xdr:rowOff>76200</xdr:rowOff>
    </xdr:from>
    <xdr:to>
      <xdr:col>59</xdr:col>
      <xdr:colOff>123825</xdr:colOff>
      <xdr:row>235</xdr:row>
      <xdr:rowOff>76200</xdr:rowOff>
    </xdr:to>
    <xdr:cxnSp macro="">
      <xdr:nvCxnSpPr>
        <xdr:cNvPr id="54473" name="직선 화살표 연결선 54472">
          <a:extLst>
            <a:ext uri="{FF2B5EF4-FFF2-40B4-BE49-F238E27FC236}">
              <a16:creationId xmlns:a16="http://schemas.microsoft.com/office/drawing/2014/main" id="{7391FAAE-9112-19C7-01D8-969E482EA305}"/>
            </a:ext>
          </a:extLst>
        </xdr:cNvPr>
        <xdr:cNvCxnSpPr/>
      </xdr:nvCxnSpPr>
      <xdr:spPr>
        <a:xfrm>
          <a:off x="16830675" y="3609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104775</xdr:colOff>
      <xdr:row>234</xdr:row>
      <xdr:rowOff>19050</xdr:rowOff>
    </xdr:from>
    <xdr:to>
      <xdr:col>62</xdr:col>
      <xdr:colOff>67945</xdr:colOff>
      <xdr:row>234</xdr:row>
      <xdr:rowOff>133350</xdr:rowOff>
    </xdr:to>
    <xdr:sp macro="" textlink="">
      <xdr:nvSpPr>
        <xdr:cNvPr id="54474" name="231">
          <a:extLst>
            <a:ext uri="{FF2B5EF4-FFF2-40B4-BE49-F238E27FC236}">
              <a16:creationId xmlns:a16="http://schemas.microsoft.com/office/drawing/2014/main" id="{0A38453F-7826-06D7-C262-9E35631D54EB}"/>
            </a:ext>
          </a:extLst>
        </xdr:cNvPr>
        <xdr:cNvSpPr/>
      </xdr:nvSpPr>
      <xdr:spPr>
        <a:xfrm>
          <a:off x="16678275" y="358902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104775</xdr:colOff>
      <xdr:row>234</xdr:row>
      <xdr:rowOff>76200</xdr:rowOff>
    </xdr:from>
    <xdr:to>
      <xdr:col>58</xdr:col>
      <xdr:colOff>104775</xdr:colOff>
      <xdr:row>234</xdr:row>
      <xdr:rowOff>76200</xdr:rowOff>
    </xdr:to>
    <xdr:cxnSp macro="">
      <xdr:nvCxnSpPr>
        <xdr:cNvPr id="54475" name="직선 화살표 연결선 54474">
          <a:extLst>
            <a:ext uri="{FF2B5EF4-FFF2-40B4-BE49-F238E27FC236}">
              <a16:creationId xmlns:a16="http://schemas.microsoft.com/office/drawing/2014/main" id="{C8D02146-B499-469A-6491-D7BD80ED83B1}"/>
            </a:ext>
          </a:extLst>
        </xdr:cNvPr>
        <xdr:cNvCxnSpPr/>
      </xdr:nvCxnSpPr>
      <xdr:spPr>
        <a:xfrm>
          <a:off x="16678275" y="3594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104775</xdr:colOff>
      <xdr:row>233</xdr:row>
      <xdr:rowOff>19050</xdr:rowOff>
    </xdr:from>
    <xdr:to>
      <xdr:col>66</xdr:col>
      <xdr:colOff>67945</xdr:colOff>
      <xdr:row>233</xdr:row>
      <xdr:rowOff>133350</xdr:rowOff>
    </xdr:to>
    <xdr:sp macro="" textlink="">
      <xdr:nvSpPr>
        <xdr:cNvPr id="54476" name="230">
          <a:extLst>
            <a:ext uri="{FF2B5EF4-FFF2-40B4-BE49-F238E27FC236}">
              <a16:creationId xmlns:a16="http://schemas.microsoft.com/office/drawing/2014/main" id="{74E0E10B-5E10-1DEA-07D3-A26509F8BBEB}"/>
            </a:ext>
          </a:extLst>
        </xdr:cNvPr>
        <xdr:cNvSpPr/>
      </xdr:nvSpPr>
      <xdr:spPr>
        <a:xfrm>
          <a:off x="16411575" y="35737800"/>
          <a:ext cx="12966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104775</xdr:colOff>
      <xdr:row>233</xdr:row>
      <xdr:rowOff>76200</xdr:rowOff>
    </xdr:from>
    <xdr:to>
      <xdr:col>56</xdr:col>
      <xdr:colOff>104775</xdr:colOff>
      <xdr:row>233</xdr:row>
      <xdr:rowOff>76200</xdr:rowOff>
    </xdr:to>
    <xdr:cxnSp macro="">
      <xdr:nvCxnSpPr>
        <xdr:cNvPr id="54477" name="직선 화살표 연결선 54476">
          <a:extLst>
            <a:ext uri="{FF2B5EF4-FFF2-40B4-BE49-F238E27FC236}">
              <a16:creationId xmlns:a16="http://schemas.microsoft.com/office/drawing/2014/main" id="{8D686B01-5647-9A81-AC7F-A01F8838AB8E}"/>
            </a:ext>
          </a:extLst>
        </xdr:cNvPr>
        <xdr:cNvCxnSpPr/>
      </xdr:nvCxnSpPr>
      <xdr:spPr>
        <a:xfrm>
          <a:off x="16411575" y="3579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104775</xdr:colOff>
      <xdr:row>232</xdr:row>
      <xdr:rowOff>19050</xdr:rowOff>
    </xdr:from>
    <xdr:to>
      <xdr:col>62</xdr:col>
      <xdr:colOff>67945</xdr:colOff>
      <xdr:row>232</xdr:row>
      <xdr:rowOff>133350</xdr:rowOff>
    </xdr:to>
    <xdr:sp macro="" textlink="">
      <xdr:nvSpPr>
        <xdr:cNvPr id="54478" name="229">
          <a:extLst>
            <a:ext uri="{FF2B5EF4-FFF2-40B4-BE49-F238E27FC236}">
              <a16:creationId xmlns:a16="http://schemas.microsoft.com/office/drawing/2014/main" id="{F977B049-53F0-4810-F2E5-528D01D9240E}"/>
            </a:ext>
          </a:extLst>
        </xdr:cNvPr>
        <xdr:cNvSpPr/>
      </xdr:nvSpPr>
      <xdr:spPr>
        <a:xfrm>
          <a:off x="16544925" y="355854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104775</xdr:colOff>
      <xdr:row>232</xdr:row>
      <xdr:rowOff>76200</xdr:rowOff>
    </xdr:from>
    <xdr:to>
      <xdr:col>57</xdr:col>
      <xdr:colOff>104775</xdr:colOff>
      <xdr:row>232</xdr:row>
      <xdr:rowOff>76200</xdr:rowOff>
    </xdr:to>
    <xdr:cxnSp macro="">
      <xdr:nvCxnSpPr>
        <xdr:cNvPr id="54479" name="직선 화살표 연결선 54478">
          <a:extLst>
            <a:ext uri="{FF2B5EF4-FFF2-40B4-BE49-F238E27FC236}">
              <a16:creationId xmlns:a16="http://schemas.microsoft.com/office/drawing/2014/main" id="{0AF8F0DB-4D8A-2193-6AB3-A2EEE4128A9F}"/>
            </a:ext>
          </a:extLst>
        </xdr:cNvPr>
        <xdr:cNvCxnSpPr/>
      </xdr:nvCxnSpPr>
      <xdr:spPr>
        <a:xfrm>
          <a:off x="16544925" y="3564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104775</xdr:colOff>
      <xdr:row>231</xdr:row>
      <xdr:rowOff>19050</xdr:rowOff>
    </xdr:from>
    <xdr:to>
      <xdr:col>60</xdr:col>
      <xdr:colOff>67945</xdr:colOff>
      <xdr:row>231</xdr:row>
      <xdr:rowOff>133350</xdr:rowOff>
    </xdr:to>
    <xdr:sp macro="" textlink="">
      <xdr:nvSpPr>
        <xdr:cNvPr id="54480" name="228">
          <a:extLst>
            <a:ext uri="{FF2B5EF4-FFF2-40B4-BE49-F238E27FC236}">
              <a16:creationId xmlns:a16="http://schemas.microsoft.com/office/drawing/2014/main" id="{AA94BB83-0C9B-4DB2-3BD7-A2FBFAE0A388}"/>
            </a:ext>
          </a:extLst>
        </xdr:cNvPr>
        <xdr:cNvSpPr/>
      </xdr:nvSpPr>
      <xdr:spPr>
        <a:xfrm>
          <a:off x="16278225" y="354330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104775</xdr:colOff>
      <xdr:row>231</xdr:row>
      <xdr:rowOff>76200</xdr:rowOff>
    </xdr:from>
    <xdr:to>
      <xdr:col>55</xdr:col>
      <xdr:colOff>104775</xdr:colOff>
      <xdr:row>231</xdr:row>
      <xdr:rowOff>76200</xdr:rowOff>
    </xdr:to>
    <xdr:cxnSp macro="">
      <xdr:nvCxnSpPr>
        <xdr:cNvPr id="54481" name="직선 화살표 연결선 54480">
          <a:extLst>
            <a:ext uri="{FF2B5EF4-FFF2-40B4-BE49-F238E27FC236}">
              <a16:creationId xmlns:a16="http://schemas.microsoft.com/office/drawing/2014/main" id="{2A90DD1F-7FCA-041D-A3F5-69CA683E090B}"/>
            </a:ext>
          </a:extLst>
        </xdr:cNvPr>
        <xdr:cNvCxnSpPr/>
      </xdr:nvCxnSpPr>
      <xdr:spPr>
        <a:xfrm>
          <a:off x="16278225" y="3549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104775</xdr:colOff>
      <xdr:row>230</xdr:row>
      <xdr:rowOff>19050</xdr:rowOff>
    </xdr:from>
    <xdr:to>
      <xdr:col>59</xdr:col>
      <xdr:colOff>67945</xdr:colOff>
      <xdr:row>230</xdr:row>
      <xdr:rowOff>133350</xdr:rowOff>
    </xdr:to>
    <xdr:sp macro="" textlink="">
      <xdr:nvSpPr>
        <xdr:cNvPr id="54482" name="227">
          <a:extLst>
            <a:ext uri="{FF2B5EF4-FFF2-40B4-BE49-F238E27FC236}">
              <a16:creationId xmlns:a16="http://schemas.microsoft.com/office/drawing/2014/main" id="{074180AE-C5CE-F4C9-3A55-05EE17A2AFBE}"/>
            </a:ext>
          </a:extLst>
        </xdr:cNvPr>
        <xdr:cNvSpPr/>
      </xdr:nvSpPr>
      <xdr:spPr>
        <a:xfrm>
          <a:off x="16011525" y="35280600"/>
          <a:ext cx="763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104775</xdr:colOff>
      <xdr:row>230</xdr:row>
      <xdr:rowOff>76200</xdr:rowOff>
    </xdr:from>
    <xdr:to>
      <xdr:col>53</xdr:col>
      <xdr:colOff>104775</xdr:colOff>
      <xdr:row>230</xdr:row>
      <xdr:rowOff>76200</xdr:rowOff>
    </xdr:to>
    <xdr:cxnSp macro="">
      <xdr:nvCxnSpPr>
        <xdr:cNvPr id="54483" name="직선 화살표 연결선 54482">
          <a:extLst>
            <a:ext uri="{FF2B5EF4-FFF2-40B4-BE49-F238E27FC236}">
              <a16:creationId xmlns:a16="http://schemas.microsoft.com/office/drawing/2014/main" id="{6B35A4F4-09EC-FAC8-40DD-EA21275EA221}"/>
            </a:ext>
          </a:extLst>
        </xdr:cNvPr>
        <xdr:cNvCxnSpPr/>
      </xdr:nvCxnSpPr>
      <xdr:spPr>
        <a:xfrm>
          <a:off x="16011525" y="3533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104775</xdr:colOff>
      <xdr:row>229</xdr:row>
      <xdr:rowOff>19050</xdr:rowOff>
    </xdr:from>
    <xdr:to>
      <xdr:col>57</xdr:col>
      <xdr:colOff>67945</xdr:colOff>
      <xdr:row>229</xdr:row>
      <xdr:rowOff>133350</xdr:rowOff>
    </xdr:to>
    <xdr:sp macro="" textlink="">
      <xdr:nvSpPr>
        <xdr:cNvPr id="54484" name="226">
          <a:extLst>
            <a:ext uri="{FF2B5EF4-FFF2-40B4-BE49-F238E27FC236}">
              <a16:creationId xmlns:a16="http://schemas.microsoft.com/office/drawing/2014/main" id="{B7A87199-3D24-03CE-14F1-80192FD5B9BA}"/>
            </a:ext>
          </a:extLst>
        </xdr:cNvPr>
        <xdr:cNvSpPr/>
      </xdr:nvSpPr>
      <xdr:spPr>
        <a:xfrm>
          <a:off x="16011525" y="351282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104775</xdr:colOff>
      <xdr:row>229</xdr:row>
      <xdr:rowOff>76200</xdr:rowOff>
    </xdr:from>
    <xdr:to>
      <xdr:col>53</xdr:col>
      <xdr:colOff>104775</xdr:colOff>
      <xdr:row>229</xdr:row>
      <xdr:rowOff>76200</xdr:rowOff>
    </xdr:to>
    <xdr:cxnSp macro="">
      <xdr:nvCxnSpPr>
        <xdr:cNvPr id="54485" name="직선 화살표 연결선 54484">
          <a:extLst>
            <a:ext uri="{FF2B5EF4-FFF2-40B4-BE49-F238E27FC236}">
              <a16:creationId xmlns:a16="http://schemas.microsoft.com/office/drawing/2014/main" id="{4038B500-B51F-C76F-7472-AC9A5A827A24}"/>
            </a:ext>
          </a:extLst>
        </xdr:cNvPr>
        <xdr:cNvCxnSpPr/>
      </xdr:nvCxnSpPr>
      <xdr:spPr>
        <a:xfrm>
          <a:off x="16011525" y="3518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123825</xdr:colOff>
      <xdr:row>228</xdr:row>
      <xdr:rowOff>19050</xdr:rowOff>
    </xdr:from>
    <xdr:to>
      <xdr:col>54</xdr:col>
      <xdr:colOff>67945</xdr:colOff>
      <xdr:row>228</xdr:row>
      <xdr:rowOff>133350</xdr:rowOff>
    </xdr:to>
    <xdr:sp macro="" textlink="">
      <xdr:nvSpPr>
        <xdr:cNvPr id="54486" name="225">
          <a:extLst>
            <a:ext uri="{FF2B5EF4-FFF2-40B4-BE49-F238E27FC236}">
              <a16:creationId xmlns:a16="http://schemas.microsoft.com/office/drawing/2014/main" id="{5D4B9180-114C-5B61-EB24-95693FA30B5F}"/>
            </a:ext>
          </a:extLst>
        </xdr:cNvPr>
        <xdr:cNvSpPr/>
      </xdr:nvSpPr>
      <xdr:spPr>
        <a:xfrm>
          <a:off x="15763875" y="34975800"/>
          <a:ext cx="3441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123825</xdr:colOff>
      <xdr:row>228</xdr:row>
      <xdr:rowOff>76200</xdr:rowOff>
    </xdr:from>
    <xdr:to>
      <xdr:col>51</xdr:col>
      <xdr:colOff>123825</xdr:colOff>
      <xdr:row>228</xdr:row>
      <xdr:rowOff>76200</xdr:rowOff>
    </xdr:to>
    <xdr:cxnSp macro="">
      <xdr:nvCxnSpPr>
        <xdr:cNvPr id="54487" name="직선 화살표 연결선 54486">
          <a:extLst>
            <a:ext uri="{FF2B5EF4-FFF2-40B4-BE49-F238E27FC236}">
              <a16:creationId xmlns:a16="http://schemas.microsoft.com/office/drawing/2014/main" id="{3EB8EDD6-6D67-C380-8068-9888CCE02049}"/>
            </a:ext>
          </a:extLst>
        </xdr:cNvPr>
        <xdr:cNvCxnSpPr/>
      </xdr:nvCxnSpPr>
      <xdr:spPr>
        <a:xfrm>
          <a:off x="15763875" y="3503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227</xdr:row>
      <xdr:rowOff>19050</xdr:rowOff>
    </xdr:from>
    <xdr:to>
      <xdr:col>52</xdr:col>
      <xdr:colOff>67945</xdr:colOff>
      <xdr:row>227</xdr:row>
      <xdr:rowOff>133350</xdr:rowOff>
    </xdr:to>
    <xdr:sp macro="" textlink="">
      <xdr:nvSpPr>
        <xdr:cNvPr id="54488" name="224">
          <a:extLst>
            <a:ext uri="{FF2B5EF4-FFF2-40B4-BE49-F238E27FC236}">
              <a16:creationId xmlns:a16="http://schemas.microsoft.com/office/drawing/2014/main" id="{BAA7902C-12E0-E843-3EDF-0C978D4869C6}"/>
            </a:ext>
          </a:extLst>
        </xdr:cNvPr>
        <xdr:cNvSpPr/>
      </xdr:nvSpPr>
      <xdr:spPr>
        <a:xfrm>
          <a:off x="15668625" y="34823400"/>
          <a:ext cx="172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227</xdr:row>
      <xdr:rowOff>76200</xdr:rowOff>
    </xdr:from>
    <xdr:to>
      <xdr:col>51</xdr:col>
      <xdr:colOff>28575</xdr:colOff>
      <xdr:row>227</xdr:row>
      <xdr:rowOff>76200</xdr:rowOff>
    </xdr:to>
    <xdr:cxnSp macro="">
      <xdr:nvCxnSpPr>
        <xdr:cNvPr id="54489" name="직선 화살표 연결선 54488">
          <a:extLst>
            <a:ext uri="{FF2B5EF4-FFF2-40B4-BE49-F238E27FC236}">
              <a16:creationId xmlns:a16="http://schemas.microsoft.com/office/drawing/2014/main" id="{2B27C863-424B-BAFC-558D-62AC74D610F4}"/>
            </a:ext>
          </a:extLst>
        </xdr:cNvPr>
        <xdr:cNvCxnSpPr/>
      </xdr:nvCxnSpPr>
      <xdr:spPr>
        <a:xfrm>
          <a:off x="15668625" y="3488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226</xdr:row>
      <xdr:rowOff>19050</xdr:rowOff>
    </xdr:from>
    <xdr:to>
      <xdr:col>68</xdr:col>
      <xdr:colOff>106045</xdr:colOff>
      <xdr:row>226</xdr:row>
      <xdr:rowOff>133350</xdr:rowOff>
    </xdr:to>
    <xdr:sp macro="" textlink="">
      <xdr:nvSpPr>
        <xdr:cNvPr id="54490" name="223">
          <a:extLst>
            <a:ext uri="{FF2B5EF4-FFF2-40B4-BE49-F238E27FC236}">
              <a16:creationId xmlns:a16="http://schemas.microsoft.com/office/drawing/2014/main" id="{F06284CB-C91D-5F46-8CA6-D1CE38F6E9B1}"/>
            </a:ext>
          </a:extLst>
        </xdr:cNvPr>
        <xdr:cNvSpPr/>
      </xdr:nvSpPr>
      <xdr:spPr>
        <a:xfrm>
          <a:off x="15668625" y="34671000"/>
          <a:ext cx="2344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226</xdr:row>
      <xdr:rowOff>76200</xdr:rowOff>
    </xdr:from>
    <xdr:to>
      <xdr:col>51</xdr:col>
      <xdr:colOff>28575</xdr:colOff>
      <xdr:row>226</xdr:row>
      <xdr:rowOff>76200</xdr:rowOff>
    </xdr:to>
    <xdr:cxnSp macro="">
      <xdr:nvCxnSpPr>
        <xdr:cNvPr id="54491" name="직선 화살표 연결선 54490">
          <a:extLst>
            <a:ext uri="{FF2B5EF4-FFF2-40B4-BE49-F238E27FC236}">
              <a16:creationId xmlns:a16="http://schemas.microsoft.com/office/drawing/2014/main" id="{8E47ACB8-5F56-1576-1A97-C26397B46D6E}"/>
            </a:ext>
          </a:extLst>
        </xdr:cNvPr>
        <xdr:cNvCxnSpPr/>
      </xdr:nvCxnSpPr>
      <xdr:spPr>
        <a:xfrm>
          <a:off x="15668625" y="3472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225</xdr:row>
      <xdr:rowOff>19050</xdr:rowOff>
    </xdr:from>
    <xdr:to>
      <xdr:col>55</xdr:col>
      <xdr:colOff>86995</xdr:colOff>
      <xdr:row>225</xdr:row>
      <xdr:rowOff>133350</xdr:rowOff>
    </xdr:to>
    <xdr:sp macro="" textlink="">
      <xdr:nvSpPr>
        <xdr:cNvPr id="54492" name="222">
          <a:extLst>
            <a:ext uri="{FF2B5EF4-FFF2-40B4-BE49-F238E27FC236}">
              <a16:creationId xmlns:a16="http://schemas.microsoft.com/office/drawing/2014/main" id="{873FDABD-A20A-D4FE-9F69-8C92EC613475}"/>
            </a:ext>
          </a:extLst>
        </xdr:cNvPr>
        <xdr:cNvSpPr/>
      </xdr:nvSpPr>
      <xdr:spPr>
        <a:xfrm>
          <a:off x="15668625" y="34518600"/>
          <a:ext cx="5918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225</xdr:row>
      <xdr:rowOff>76200</xdr:rowOff>
    </xdr:from>
    <xdr:to>
      <xdr:col>51</xdr:col>
      <xdr:colOff>28575</xdr:colOff>
      <xdr:row>225</xdr:row>
      <xdr:rowOff>76200</xdr:rowOff>
    </xdr:to>
    <xdr:cxnSp macro="">
      <xdr:nvCxnSpPr>
        <xdr:cNvPr id="54493" name="직선 화살표 연결선 54492">
          <a:extLst>
            <a:ext uri="{FF2B5EF4-FFF2-40B4-BE49-F238E27FC236}">
              <a16:creationId xmlns:a16="http://schemas.microsoft.com/office/drawing/2014/main" id="{357BDD18-E925-3D50-1E8D-4F2E6151DADC}"/>
            </a:ext>
          </a:extLst>
        </xdr:cNvPr>
        <xdr:cNvCxnSpPr/>
      </xdr:nvCxnSpPr>
      <xdr:spPr>
        <a:xfrm>
          <a:off x="15668625" y="3457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224</xdr:row>
      <xdr:rowOff>19050</xdr:rowOff>
    </xdr:from>
    <xdr:to>
      <xdr:col>72</xdr:col>
      <xdr:colOff>106045</xdr:colOff>
      <xdr:row>224</xdr:row>
      <xdr:rowOff>133350</xdr:rowOff>
    </xdr:to>
    <xdr:sp macro="" textlink="">
      <xdr:nvSpPr>
        <xdr:cNvPr id="54494" name="221">
          <a:extLst>
            <a:ext uri="{FF2B5EF4-FFF2-40B4-BE49-F238E27FC236}">
              <a16:creationId xmlns:a16="http://schemas.microsoft.com/office/drawing/2014/main" id="{83D09229-FFD8-60DC-809D-4F6FE1905117}"/>
            </a:ext>
          </a:extLst>
        </xdr:cNvPr>
        <xdr:cNvSpPr/>
      </xdr:nvSpPr>
      <xdr:spPr>
        <a:xfrm>
          <a:off x="15668625" y="34366200"/>
          <a:ext cx="28778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224</xdr:row>
      <xdr:rowOff>76200</xdr:rowOff>
    </xdr:from>
    <xdr:to>
      <xdr:col>51</xdr:col>
      <xdr:colOff>28575</xdr:colOff>
      <xdr:row>224</xdr:row>
      <xdr:rowOff>76200</xdr:rowOff>
    </xdr:to>
    <xdr:cxnSp macro="">
      <xdr:nvCxnSpPr>
        <xdr:cNvPr id="54495" name="직선 화살표 연결선 54494">
          <a:extLst>
            <a:ext uri="{FF2B5EF4-FFF2-40B4-BE49-F238E27FC236}">
              <a16:creationId xmlns:a16="http://schemas.microsoft.com/office/drawing/2014/main" id="{CF34F9FE-8583-0E91-2D0D-567B609219FB}"/>
            </a:ext>
          </a:extLst>
        </xdr:cNvPr>
        <xdr:cNvCxnSpPr/>
      </xdr:nvCxnSpPr>
      <xdr:spPr>
        <a:xfrm>
          <a:off x="15668625" y="3442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223</xdr:row>
      <xdr:rowOff>19050</xdr:rowOff>
    </xdr:from>
    <xdr:to>
      <xdr:col>59</xdr:col>
      <xdr:colOff>125095</xdr:colOff>
      <xdr:row>223</xdr:row>
      <xdr:rowOff>133350</xdr:rowOff>
    </xdr:to>
    <xdr:sp macro="" textlink="">
      <xdr:nvSpPr>
        <xdr:cNvPr id="54496" name="220">
          <a:extLst>
            <a:ext uri="{FF2B5EF4-FFF2-40B4-BE49-F238E27FC236}">
              <a16:creationId xmlns:a16="http://schemas.microsoft.com/office/drawing/2014/main" id="{AC80398C-86E9-0E45-46B3-50B72CD9BB98}"/>
            </a:ext>
          </a:extLst>
        </xdr:cNvPr>
        <xdr:cNvSpPr/>
      </xdr:nvSpPr>
      <xdr:spPr>
        <a:xfrm>
          <a:off x="15954375" y="342138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223</xdr:row>
      <xdr:rowOff>76200</xdr:rowOff>
    </xdr:from>
    <xdr:to>
      <xdr:col>53</xdr:col>
      <xdr:colOff>47625</xdr:colOff>
      <xdr:row>223</xdr:row>
      <xdr:rowOff>76200</xdr:rowOff>
    </xdr:to>
    <xdr:cxnSp macro="">
      <xdr:nvCxnSpPr>
        <xdr:cNvPr id="54497" name="직선 화살표 연결선 54496">
          <a:extLst>
            <a:ext uri="{FF2B5EF4-FFF2-40B4-BE49-F238E27FC236}">
              <a16:creationId xmlns:a16="http://schemas.microsoft.com/office/drawing/2014/main" id="{30DFA3EE-455D-74D9-A508-0DB389DB4816}"/>
            </a:ext>
          </a:extLst>
        </xdr:cNvPr>
        <xdr:cNvCxnSpPr/>
      </xdr:nvCxnSpPr>
      <xdr:spPr>
        <a:xfrm>
          <a:off x="15954375" y="3427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222</xdr:row>
      <xdr:rowOff>19050</xdr:rowOff>
    </xdr:from>
    <xdr:to>
      <xdr:col>59</xdr:col>
      <xdr:colOff>125095</xdr:colOff>
      <xdr:row>222</xdr:row>
      <xdr:rowOff>133350</xdr:rowOff>
    </xdr:to>
    <xdr:sp macro="" textlink="">
      <xdr:nvSpPr>
        <xdr:cNvPr id="54498" name="219">
          <a:extLst>
            <a:ext uri="{FF2B5EF4-FFF2-40B4-BE49-F238E27FC236}">
              <a16:creationId xmlns:a16="http://schemas.microsoft.com/office/drawing/2014/main" id="{BFFF1C2A-DA81-A41E-9D92-3EA3F8BA85F3}"/>
            </a:ext>
          </a:extLst>
        </xdr:cNvPr>
        <xdr:cNvSpPr/>
      </xdr:nvSpPr>
      <xdr:spPr>
        <a:xfrm>
          <a:off x="15954375" y="340614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222</xdr:row>
      <xdr:rowOff>76200</xdr:rowOff>
    </xdr:from>
    <xdr:to>
      <xdr:col>53</xdr:col>
      <xdr:colOff>47625</xdr:colOff>
      <xdr:row>222</xdr:row>
      <xdr:rowOff>76200</xdr:rowOff>
    </xdr:to>
    <xdr:cxnSp macro="">
      <xdr:nvCxnSpPr>
        <xdr:cNvPr id="54499" name="직선 화살표 연결선 54498">
          <a:extLst>
            <a:ext uri="{FF2B5EF4-FFF2-40B4-BE49-F238E27FC236}">
              <a16:creationId xmlns:a16="http://schemas.microsoft.com/office/drawing/2014/main" id="{981D9889-3921-0624-2298-F2E500930B40}"/>
            </a:ext>
          </a:extLst>
        </xdr:cNvPr>
        <xdr:cNvCxnSpPr/>
      </xdr:nvCxnSpPr>
      <xdr:spPr>
        <a:xfrm>
          <a:off x="15954375" y="3411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221</xdr:row>
      <xdr:rowOff>19050</xdr:rowOff>
    </xdr:from>
    <xdr:to>
      <xdr:col>59</xdr:col>
      <xdr:colOff>125095</xdr:colOff>
      <xdr:row>221</xdr:row>
      <xdr:rowOff>133350</xdr:rowOff>
    </xdr:to>
    <xdr:sp macro="" textlink="">
      <xdr:nvSpPr>
        <xdr:cNvPr id="54500" name="218">
          <a:extLst>
            <a:ext uri="{FF2B5EF4-FFF2-40B4-BE49-F238E27FC236}">
              <a16:creationId xmlns:a16="http://schemas.microsoft.com/office/drawing/2014/main" id="{E0B52F9F-CA0C-37CC-A5FE-B8923BD42ABF}"/>
            </a:ext>
          </a:extLst>
        </xdr:cNvPr>
        <xdr:cNvSpPr/>
      </xdr:nvSpPr>
      <xdr:spPr>
        <a:xfrm>
          <a:off x="15954375" y="339090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221</xdr:row>
      <xdr:rowOff>76200</xdr:rowOff>
    </xdr:from>
    <xdr:to>
      <xdr:col>53</xdr:col>
      <xdr:colOff>47625</xdr:colOff>
      <xdr:row>221</xdr:row>
      <xdr:rowOff>76200</xdr:rowOff>
    </xdr:to>
    <xdr:cxnSp macro="">
      <xdr:nvCxnSpPr>
        <xdr:cNvPr id="54501" name="직선 화살표 연결선 54500">
          <a:extLst>
            <a:ext uri="{FF2B5EF4-FFF2-40B4-BE49-F238E27FC236}">
              <a16:creationId xmlns:a16="http://schemas.microsoft.com/office/drawing/2014/main" id="{ACEB42E5-4355-E78A-FEFE-3F65886BD872}"/>
            </a:ext>
          </a:extLst>
        </xdr:cNvPr>
        <xdr:cNvCxnSpPr/>
      </xdr:nvCxnSpPr>
      <xdr:spPr>
        <a:xfrm>
          <a:off x="15954375" y="3396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220</xdr:row>
      <xdr:rowOff>19050</xdr:rowOff>
    </xdr:from>
    <xdr:to>
      <xdr:col>59</xdr:col>
      <xdr:colOff>125095</xdr:colOff>
      <xdr:row>220</xdr:row>
      <xdr:rowOff>133350</xdr:rowOff>
    </xdr:to>
    <xdr:sp macro="" textlink="">
      <xdr:nvSpPr>
        <xdr:cNvPr id="54502" name="217">
          <a:extLst>
            <a:ext uri="{FF2B5EF4-FFF2-40B4-BE49-F238E27FC236}">
              <a16:creationId xmlns:a16="http://schemas.microsoft.com/office/drawing/2014/main" id="{F2EF043F-40C7-785C-7C07-F10C999098F9}"/>
            </a:ext>
          </a:extLst>
        </xdr:cNvPr>
        <xdr:cNvSpPr/>
      </xdr:nvSpPr>
      <xdr:spPr>
        <a:xfrm>
          <a:off x="15954375" y="337566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220</xdr:row>
      <xdr:rowOff>76200</xdr:rowOff>
    </xdr:from>
    <xdr:to>
      <xdr:col>53</xdr:col>
      <xdr:colOff>47625</xdr:colOff>
      <xdr:row>220</xdr:row>
      <xdr:rowOff>76200</xdr:rowOff>
    </xdr:to>
    <xdr:cxnSp macro="">
      <xdr:nvCxnSpPr>
        <xdr:cNvPr id="54503" name="직선 화살표 연결선 54502">
          <a:extLst>
            <a:ext uri="{FF2B5EF4-FFF2-40B4-BE49-F238E27FC236}">
              <a16:creationId xmlns:a16="http://schemas.microsoft.com/office/drawing/2014/main" id="{56FF1736-E43C-0210-DC1C-39EBD62A410D}"/>
            </a:ext>
          </a:extLst>
        </xdr:cNvPr>
        <xdr:cNvCxnSpPr/>
      </xdr:nvCxnSpPr>
      <xdr:spPr>
        <a:xfrm>
          <a:off x="15954375" y="3381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219</xdr:row>
      <xdr:rowOff>19050</xdr:rowOff>
    </xdr:from>
    <xdr:to>
      <xdr:col>59</xdr:col>
      <xdr:colOff>125095</xdr:colOff>
      <xdr:row>219</xdr:row>
      <xdr:rowOff>133350</xdr:rowOff>
    </xdr:to>
    <xdr:sp macro="" textlink="">
      <xdr:nvSpPr>
        <xdr:cNvPr id="54504" name="216">
          <a:extLst>
            <a:ext uri="{FF2B5EF4-FFF2-40B4-BE49-F238E27FC236}">
              <a16:creationId xmlns:a16="http://schemas.microsoft.com/office/drawing/2014/main" id="{E57EF350-58F8-E66E-0A42-4022ACC3AD6E}"/>
            </a:ext>
          </a:extLst>
        </xdr:cNvPr>
        <xdr:cNvSpPr/>
      </xdr:nvSpPr>
      <xdr:spPr>
        <a:xfrm>
          <a:off x="15954375" y="336042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219</xdr:row>
      <xdr:rowOff>76200</xdr:rowOff>
    </xdr:from>
    <xdr:to>
      <xdr:col>53</xdr:col>
      <xdr:colOff>47625</xdr:colOff>
      <xdr:row>219</xdr:row>
      <xdr:rowOff>76200</xdr:rowOff>
    </xdr:to>
    <xdr:cxnSp macro="">
      <xdr:nvCxnSpPr>
        <xdr:cNvPr id="54505" name="직선 화살표 연결선 54504">
          <a:extLst>
            <a:ext uri="{FF2B5EF4-FFF2-40B4-BE49-F238E27FC236}">
              <a16:creationId xmlns:a16="http://schemas.microsoft.com/office/drawing/2014/main" id="{BF7B47F3-E5F9-4EF6-559F-ED93EC983C26}"/>
            </a:ext>
          </a:extLst>
        </xdr:cNvPr>
        <xdr:cNvCxnSpPr/>
      </xdr:nvCxnSpPr>
      <xdr:spPr>
        <a:xfrm>
          <a:off x="15954375" y="3366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218</xdr:row>
      <xdr:rowOff>19050</xdr:rowOff>
    </xdr:from>
    <xdr:to>
      <xdr:col>59</xdr:col>
      <xdr:colOff>125095</xdr:colOff>
      <xdr:row>218</xdr:row>
      <xdr:rowOff>133350</xdr:rowOff>
    </xdr:to>
    <xdr:sp macro="" textlink="">
      <xdr:nvSpPr>
        <xdr:cNvPr id="54506" name="215">
          <a:extLst>
            <a:ext uri="{FF2B5EF4-FFF2-40B4-BE49-F238E27FC236}">
              <a16:creationId xmlns:a16="http://schemas.microsoft.com/office/drawing/2014/main" id="{2E597919-3EB6-2CB5-3C81-C297273A6882}"/>
            </a:ext>
          </a:extLst>
        </xdr:cNvPr>
        <xdr:cNvSpPr/>
      </xdr:nvSpPr>
      <xdr:spPr>
        <a:xfrm>
          <a:off x="15954375" y="334518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218</xdr:row>
      <xdr:rowOff>76200</xdr:rowOff>
    </xdr:from>
    <xdr:to>
      <xdr:col>53</xdr:col>
      <xdr:colOff>47625</xdr:colOff>
      <xdr:row>218</xdr:row>
      <xdr:rowOff>76200</xdr:rowOff>
    </xdr:to>
    <xdr:cxnSp macro="">
      <xdr:nvCxnSpPr>
        <xdr:cNvPr id="54507" name="직선 화살표 연결선 54506">
          <a:extLst>
            <a:ext uri="{FF2B5EF4-FFF2-40B4-BE49-F238E27FC236}">
              <a16:creationId xmlns:a16="http://schemas.microsoft.com/office/drawing/2014/main" id="{778B151A-AC8D-A147-8278-0D6BF6BD8E86}"/>
            </a:ext>
          </a:extLst>
        </xdr:cNvPr>
        <xdr:cNvCxnSpPr/>
      </xdr:nvCxnSpPr>
      <xdr:spPr>
        <a:xfrm>
          <a:off x="15954375" y="3350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217</xdr:row>
      <xdr:rowOff>19050</xdr:rowOff>
    </xdr:from>
    <xdr:to>
      <xdr:col>59</xdr:col>
      <xdr:colOff>125095</xdr:colOff>
      <xdr:row>217</xdr:row>
      <xdr:rowOff>133350</xdr:rowOff>
    </xdr:to>
    <xdr:sp macro="" textlink="">
      <xdr:nvSpPr>
        <xdr:cNvPr id="54508" name="214">
          <a:extLst>
            <a:ext uri="{FF2B5EF4-FFF2-40B4-BE49-F238E27FC236}">
              <a16:creationId xmlns:a16="http://schemas.microsoft.com/office/drawing/2014/main" id="{BBE27760-91BA-C285-99B1-14DAAB27A39C}"/>
            </a:ext>
          </a:extLst>
        </xdr:cNvPr>
        <xdr:cNvSpPr/>
      </xdr:nvSpPr>
      <xdr:spPr>
        <a:xfrm>
          <a:off x="15954375" y="332994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217</xdr:row>
      <xdr:rowOff>76200</xdr:rowOff>
    </xdr:from>
    <xdr:to>
      <xdr:col>53</xdr:col>
      <xdr:colOff>47625</xdr:colOff>
      <xdr:row>217</xdr:row>
      <xdr:rowOff>76200</xdr:rowOff>
    </xdr:to>
    <xdr:cxnSp macro="">
      <xdr:nvCxnSpPr>
        <xdr:cNvPr id="54509" name="직선 화살표 연결선 54508">
          <a:extLst>
            <a:ext uri="{FF2B5EF4-FFF2-40B4-BE49-F238E27FC236}">
              <a16:creationId xmlns:a16="http://schemas.microsoft.com/office/drawing/2014/main" id="{5596AED1-9E1D-19E6-6177-B6197AEA3D25}"/>
            </a:ext>
          </a:extLst>
        </xdr:cNvPr>
        <xdr:cNvCxnSpPr/>
      </xdr:nvCxnSpPr>
      <xdr:spPr>
        <a:xfrm>
          <a:off x="15954375" y="3335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216</xdr:row>
      <xdr:rowOff>19050</xdr:rowOff>
    </xdr:from>
    <xdr:to>
      <xdr:col>59</xdr:col>
      <xdr:colOff>125095</xdr:colOff>
      <xdr:row>216</xdr:row>
      <xdr:rowOff>133350</xdr:rowOff>
    </xdr:to>
    <xdr:sp macro="" textlink="">
      <xdr:nvSpPr>
        <xdr:cNvPr id="54510" name="213">
          <a:extLst>
            <a:ext uri="{FF2B5EF4-FFF2-40B4-BE49-F238E27FC236}">
              <a16:creationId xmlns:a16="http://schemas.microsoft.com/office/drawing/2014/main" id="{C83D2D48-4FF0-41A3-5821-30E31E6DE48A}"/>
            </a:ext>
          </a:extLst>
        </xdr:cNvPr>
        <xdr:cNvSpPr/>
      </xdr:nvSpPr>
      <xdr:spPr>
        <a:xfrm>
          <a:off x="15954375" y="331470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216</xdr:row>
      <xdr:rowOff>76200</xdr:rowOff>
    </xdr:from>
    <xdr:to>
      <xdr:col>53</xdr:col>
      <xdr:colOff>47625</xdr:colOff>
      <xdr:row>216</xdr:row>
      <xdr:rowOff>76200</xdr:rowOff>
    </xdr:to>
    <xdr:cxnSp macro="">
      <xdr:nvCxnSpPr>
        <xdr:cNvPr id="54511" name="직선 화살표 연결선 54510">
          <a:extLst>
            <a:ext uri="{FF2B5EF4-FFF2-40B4-BE49-F238E27FC236}">
              <a16:creationId xmlns:a16="http://schemas.microsoft.com/office/drawing/2014/main" id="{152D7C5C-9ADE-AFF8-E14E-9BDE047BED35}"/>
            </a:ext>
          </a:extLst>
        </xdr:cNvPr>
        <xdr:cNvCxnSpPr/>
      </xdr:nvCxnSpPr>
      <xdr:spPr>
        <a:xfrm>
          <a:off x="15954375" y="3320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215</xdr:row>
      <xdr:rowOff>19050</xdr:rowOff>
    </xdr:from>
    <xdr:to>
      <xdr:col>59</xdr:col>
      <xdr:colOff>125095</xdr:colOff>
      <xdr:row>215</xdr:row>
      <xdr:rowOff>133350</xdr:rowOff>
    </xdr:to>
    <xdr:sp macro="" textlink="">
      <xdr:nvSpPr>
        <xdr:cNvPr id="54512" name="212">
          <a:extLst>
            <a:ext uri="{FF2B5EF4-FFF2-40B4-BE49-F238E27FC236}">
              <a16:creationId xmlns:a16="http://schemas.microsoft.com/office/drawing/2014/main" id="{D767DB60-A318-840C-7112-D1C1ABF3EC10}"/>
            </a:ext>
          </a:extLst>
        </xdr:cNvPr>
        <xdr:cNvSpPr/>
      </xdr:nvSpPr>
      <xdr:spPr>
        <a:xfrm>
          <a:off x="15954375" y="329946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215</xdr:row>
      <xdr:rowOff>76200</xdr:rowOff>
    </xdr:from>
    <xdr:to>
      <xdr:col>53</xdr:col>
      <xdr:colOff>47625</xdr:colOff>
      <xdr:row>215</xdr:row>
      <xdr:rowOff>76200</xdr:rowOff>
    </xdr:to>
    <xdr:cxnSp macro="">
      <xdr:nvCxnSpPr>
        <xdr:cNvPr id="54513" name="직선 화살표 연결선 54512">
          <a:extLst>
            <a:ext uri="{FF2B5EF4-FFF2-40B4-BE49-F238E27FC236}">
              <a16:creationId xmlns:a16="http://schemas.microsoft.com/office/drawing/2014/main" id="{3AA3DBD3-EDC7-5014-EFE6-DF52032B9DC7}"/>
            </a:ext>
          </a:extLst>
        </xdr:cNvPr>
        <xdr:cNvCxnSpPr/>
      </xdr:nvCxnSpPr>
      <xdr:spPr>
        <a:xfrm>
          <a:off x="15954375" y="3305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214</xdr:row>
      <xdr:rowOff>19050</xdr:rowOff>
    </xdr:from>
    <xdr:to>
      <xdr:col>59</xdr:col>
      <xdr:colOff>125095</xdr:colOff>
      <xdr:row>214</xdr:row>
      <xdr:rowOff>133350</xdr:rowOff>
    </xdr:to>
    <xdr:sp macro="" textlink="">
      <xdr:nvSpPr>
        <xdr:cNvPr id="54514" name="211">
          <a:extLst>
            <a:ext uri="{FF2B5EF4-FFF2-40B4-BE49-F238E27FC236}">
              <a16:creationId xmlns:a16="http://schemas.microsoft.com/office/drawing/2014/main" id="{8EA3F0C0-BAB8-CBA4-7D9E-1DFD26A0D2E1}"/>
            </a:ext>
          </a:extLst>
        </xdr:cNvPr>
        <xdr:cNvSpPr/>
      </xdr:nvSpPr>
      <xdr:spPr>
        <a:xfrm>
          <a:off x="15954375" y="328422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214</xdr:row>
      <xdr:rowOff>76200</xdr:rowOff>
    </xdr:from>
    <xdr:to>
      <xdr:col>53</xdr:col>
      <xdr:colOff>47625</xdr:colOff>
      <xdr:row>214</xdr:row>
      <xdr:rowOff>76200</xdr:rowOff>
    </xdr:to>
    <xdr:cxnSp macro="">
      <xdr:nvCxnSpPr>
        <xdr:cNvPr id="54515" name="직선 화살표 연결선 54514">
          <a:extLst>
            <a:ext uri="{FF2B5EF4-FFF2-40B4-BE49-F238E27FC236}">
              <a16:creationId xmlns:a16="http://schemas.microsoft.com/office/drawing/2014/main" id="{23C98108-2145-F287-B821-D5F10FABEFB8}"/>
            </a:ext>
          </a:extLst>
        </xdr:cNvPr>
        <xdr:cNvCxnSpPr/>
      </xdr:nvCxnSpPr>
      <xdr:spPr>
        <a:xfrm>
          <a:off x="15954375" y="3289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213</xdr:row>
      <xdr:rowOff>19050</xdr:rowOff>
    </xdr:from>
    <xdr:to>
      <xdr:col>59</xdr:col>
      <xdr:colOff>125095</xdr:colOff>
      <xdr:row>213</xdr:row>
      <xdr:rowOff>133350</xdr:rowOff>
    </xdr:to>
    <xdr:sp macro="" textlink="">
      <xdr:nvSpPr>
        <xdr:cNvPr id="54516" name="210">
          <a:extLst>
            <a:ext uri="{FF2B5EF4-FFF2-40B4-BE49-F238E27FC236}">
              <a16:creationId xmlns:a16="http://schemas.microsoft.com/office/drawing/2014/main" id="{4E73130B-0ACE-B703-ED8B-B3791D13814C}"/>
            </a:ext>
          </a:extLst>
        </xdr:cNvPr>
        <xdr:cNvSpPr/>
      </xdr:nvSpPr>
      <xdr:spPr>
        <a:xfrm>
          <a:off x="15954375" y="326898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213</xdr:row>
      <xdr:rowOff>76200</xdr:rowOff>
    </xdr:from>
    <xdr:to>
      <xdr:col>53</xdr:col>
      <xdr:colOff>47625</xdr:colOff>
      <xdr:row>213</xdr:row>
      <xdr:rowOff>76200</xdr:rowOff>
    </xdr:to>
    <xdr:cxnSp macro="">
      <xdr:nvCxnSpPr>
        <xdr:cNvPr id="54517" name="직선 화살표 연결선 54516">
          <a:extLst>
            <a:ext uri="{FF2B5EF4-FFF2-40B4-BE49-F238E27FC236}">
              <a16:creationId xmlns:a16="http://schemas.microsoft.com/office/drawing/2014/main" id="{0482EC32-ACE2-9B2A-3631-97168542D5F7}"/>
            </a:ext>
          </a:extLst>
        </xdr:cNvPr>
        <xdr:cNvCxnSpPr/>
      </xdr:nvCxnSpPr>
      <xdr:spPr>
        <a:xfrm>
          <a:off x="15954375" y="3274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212</xdr:row>
      <xdr:rowOff>19050</xdr:rowOff>
    </xdr:from>
    <xdr:to>
      <xdr:col>59</xdr:col>
      <xdr:colOff>125095</xdr:colOff>
      <xdr:row>212</xdr:row>
      <xdr:rowOff>133350</xdr:rowOff>
    </xdr:to>
    <xdr:sp macro="" textlink="">
      <xdr:nvSpPr>
        <xdr:cNvPr id="54518" name="209">
          <a:extLst>
            <a:ext uri="{FF2B5EF4-FFF2-40B4-BE49-F238E27FC236}">
              <a16:creationId xmlns:a16="http://schemas.microsoft.com/office/drawing/2014/main" id="{67079E5E-A43A-5BE9-CC91-021F9C47D2E8}"/>
            </a:ext>
          </a:extLst>
        </xdr:cNvPr>
        <xdr:cNvSpPr/>
      </xdr:nvSpPr>
      <xdr:spPr>
        <a:xfrm>
          <a:off x="15954375" y="325374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212</xdr:row>
      <xdr:rowOff>76200</xdr:rowOff>
    </xdr:from>
    <xdr:to>
      <xdr:col>53</xdr:col>
      <xdr:colOff>47625</xdr:colOff>
      <xdr:row>212</xdr:row>
      <xdr:rowOff>76200</xdr:rowOff>
    </xdr:to>
    <xdr:cxnSp macro="">
      <xdr:nvCxnSpPr>
        <xdr:cNvPr id="54519" name="직선 화살표 연결선 54518">
          <a:extLst>
            <a:ext uri="{FF2B5EF4-FFF2-40B4-BE49-F238E27FC236}">
              <a16:creationId xmlns:a16="http://schemas.microsoft.com/office/drawing/2014/main" id="{33F35A7A-5E5D-E5F2-8116-6B307C700B55}"/>
            </a:ext>
          </a:extLst>
        </xdr:cNvPr>
        <xdr:cNvCxnSpPr/>
      </xdr:nvCxnSpPr>
      <xdr:spPr>
        <a:xfrm>
          <a:off x="15954375" y="3259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211</xdr:row>
      <xdr:rowOff>19050</xdr:rowOff>
    </xdr:from>
    <xdr:to>
      <xdr:col>59</xdr:col>
      <xdr:colOff>125095</xdr:colOff>
      <xdr:row>211</xdr:row>
      <xdr:rowOff>133350</xdr:rowOff>
    </xdr:to>
    <xdr:sp macro="" textlink="">
      <xdr:nvSpPr>
        <xdr:cNvPr id="54520" name="208">
          <a:extLst>
            <a:ext uri="{FF2B5EF4-FFF2-40B4-BE49-F238E27FC236}">
              <a16:creationId xmlns:a16="http://schemas.microsoft.com/office/drawing/2014/main" id="{B6FEF112-4ED8-4E79-921E-CEC76AFEC290}"/>
            </a:ext>
          </a:extLst>
        </xdr:cNvPr>
        <xdr:cNvSpPr/>
      </xdr:nvSpPr>
      <xdr:spPr>
        <a:xfrm>
          <a:off x="15954375" y="323850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211</xdr:row>
      <xdr:rowOff>76200</xdr:rowOff>
    </xdr:from>
    <xdr:to>
      <xdr:col>53</xdr:col>
      <xdr:colOff>47625</xdr:colOff>
      <xdr:row>211</xdr:row>
      <xdr:rowOff>76200</xdr:rowOff>
    </xdr:to>
    <xdr:cxnSp macro="">
      <xdr:nvCxnSpPr>
        <xdr:cNvPr id="54521" name="직선 화살표 연결선 54520">
          <a:extLst>
            <a:ext uri="{FF2B5EF4-FFF2-40B4-BE49-F238E27FC236}">
              <a16:creationId xmlns:a16="http://schemas.microsoft.com/office/drawing/2014/main" id="{586BDBD7-694C-92DF-8FD3-DCCC3EED1F0D}"/>
            </a:ext>
          </a:extLst>
        </xdr:cNvPr>
        <xdr:cNvCxnSpPr/>
      </xdr:nvCxnSpPr>
      <xdr:spPr>
        <a:xfrm>
          <a:off x="15954375" y="3244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210</xdr:row>
      <xdr:rowOff>19050</xdr:rowOff>
    </xdr:from>
    <xdr:to>
      <xdr:col>59</xdr:col>
      <xdr:colOff>125095</xdr:colOff>
      <xdr:row>210</xdr:row>
      <xdr:rowOff>133350</xdr:rowOff>
    </xdr:to>
    <xdr:sp macro="" textlink="">
      <xdr:nvSpPr>
        <xdr:cNvPr id="54522" name="207">
          <a:extLst>
            <a:ext uri="{FF2B5EF4-FFF2-40B4-BE49-F238E27FC236}">
              <a16:creationId xmlns:a16="http://schemas.microsoft.com/office/drawing/2014/main" id="{8D1221C7-847F-9741-7A1C-E1D3424FE80D}"/>
            </a:ext>
          </a:extLst>
        </xdr:cNvPr>
        <xdr:cNvSpPr/>
      </xdr:nvSpPr>
      <xdr:spPr>
        <a:xfrm>
          <a:off x="15954375" y="322326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210</xdr:row>
      <xdr:rowOff>76200</xdr:rowOff>
    </xdr:from>
    <xdr:to>
      <xdr:col>53</xdr:col>
      <xdr:colOff>47625</xdr:colOff>
      <xdr:row>210</xdr:row>
      <xdr:rowOff>76200</xdr:rowOff>
    </xdr:to>
    <xdr:cxnSp macro="">
      <xdr:nvCxnSpPr>
        <xdr:cNvPr id="54523" name="직선 화살표 연결선 54522">
          <a:extLst>
            <a:ext uri="{FF2B5EF4-FFF2-40B4-BE49-F238E27FC236}">
              <a16:creationId xmlns:a16="http://schemas.microsoft.com/office/drawing/2014/main" id="{23CBFBA0-02C4-52BC-D707-EEE35BE3BE32}"/>
            </a:ext>
          </a:extLst>
        </xdr:cNvPr>
        <xdr:cNvCxnSpPr/>
      </xdr:nvCxnSpPr>
      <xdr:spPr>
        <a:xfrm>
          <a:off x="15954375" y="3228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209</xdr:row>
      <xdr:rowOff>19050</xdr:rowOff>
    </xdr:from>
    <xdr:to>
      <xdr:col>59</xdr:col>
      <xdr:colOff>125095</xdr:colOff>
      <xdr:row>209</xdr:row>
      <xdr:rowOff>133350</xdr:rowOff>
    </xdr:to>
    <xdr:sp macro="" textlink="">
      <xdr:nvSpPr>
        <xdr:cNvPr id="54524" name="206">
          <a:extLst>
            <a:ext uri="{FF2B5EF4-FFF2-40B4-BE49-F238E27FC236}">
              <a16:creationId xmlns:a16="http://schemas.microsoft.com/office/drawing/2014/main" id="{E2A4F3B0-AB1F-3CD5-60F5-E7F0DFCADE3F}"/>
            </a:ext>
          </a:extLst>
        </xdr:cNvPr>
        <xdr:cNvSpPr/>
      </xdr:nvSpPr>
      <xdr:spPr>
        <a:xfrm>
          <a:off x="15954375" y="32080200"/>
          <a:ext cx="877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209</xdr:row>
      <xdr:rowOff>76200</xdr:rowOff>
    </xdr:from>
    <xdr:to>
      <xdr:col>53</xdr:col>
      <xdr:colOff>47625</xdr:colOff>
      <xdr:row>209</xdr:row>
      <xdr:rowOff>76200</xdr:rowOff>
    </xdr:to>
    <xdr:cxnSp macro="">
      <xdr:nvCxnSpPr>
        <xdr:cNvPr id="54525" name="직선 화살표 연결선 54524">
          <a:extLst>
            <a:ext uri="{FF2B5EF4-FFF2-40B4-BE49-F238E27FC236}">
              <a16:creationId xmlns:a16="http://schemas.microsoft.com/office/drawing/2014/main" id="{9E59A71D-E260-E207-33AF-29966344F048}"/>
            </a:ext>
          </a:extLst>
        </xdr:cNvPr>
        <xdr:cNvCxnSpPr/>
      </xdr:nvCxnSpPr>
      <xdr:spPr>
        <a:xfrm>
          <a:off x="15954375" y="3213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208</xdr:row>
      <xdr:rowOff>19050</xdr:rowOff>
    </xdr:from>
    <xdr:to>
      <xdr:col>55</xdr:col>
      <xdr:colOff>86995</xdr:colOff>
      <xdr:row>208</xdr:row>
      <xdr:rowOff>133350</xdr:rowOff>
    </xdr:to>
    <xdr:sp macro="" textlink="">
      <xdr:nvSpPr>
        <xdr:cNvPr id="54526" name="205">
          <a:extLst>
            <a:ext uri="{FF2B5EF4-FFF2-40B4-BE49-F238E27FC236}">
              <a16:creationId xmlns:a16="http://schemas.microsoft.com/office/drawing/2014/main" id="{B6EE049A-7083-A074-E51A-99D796BC0465}"/>
            </a:ext>
          </a:extLst>
        </xdr:cNvPr>
        <xdr:cNvSpPr/>
      </xdr:nvSpPr>
      <xdr:spPr>
        <a:xfrm>
          <a:off x="15954375" y="31927800"/>
          <a:ext cx="3060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208</xdr:row>
      <xdr:rowOff>76200</xdr:rowOff>
    </xdr:from>
    <xdr:to>
      <xdr:col>53</xdr:col>
      <xdr:colOff>47625</xdr:colOff>
      <xdr:row>208</xdr:row>
      <xdr:rowOff>76200</xdr:rowOff>
    </xdr:to>
    <xdr:cxnSp macro="">
      <xdr:nvCxnSpPr>
        <xdr:cNvPr id="54527" name="직선 화살표 연결선 54526">
          <a:extLst>
            <a:ext uri="{FF2B5EF4-FFF2-40B4-BE49-F238E27FC236}">
              <a16:creationId xmlns:a16="http://schemas.microsoft.com/office/drawing/2014/main" id="{F9330570-9CDD-EF34-D233-DAF18B5E92BD}"/>
            </a:ext>
          </a:extLst>
        </xdr:cNvPr>
        <xdr:cNvCxnSpPr/>
      </xdr:nvCxnSpPr>
      <xdr:spPr>
        <a:xfrm>
          <a:off x="15954375" y="3198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207</xdr:row>
      <xdr:rowOff>19050</xdr:rowOff>
    </xdr:from>
    <xdr:to>
      <xdr:col>59</xdr:col>
      <xdr:colOff>125095</xdr:colOff>
      <xdr:row>207</xdr:row>
      <xdr:rowOff>133350</xdr:rowOff>
    </xdr:to>
    <xdr:sp macro="" textlink="">
      <xdr:nvSpPr>
        <xdr:cNvPr id="54528" name="204">
          <a:extLst>
            <a:ext uri="{FF2B5EF4-FFF2-40B4-BE49-F238E27FC236}">
              <a16:creationId xmlns:a16="http://schemas.microsoft.com/office/drawing/2014/main" id="{686F4C08-DEDE-2F6F-148F-3348BC6B1B4C}"/>
            </a:ext>
          </a:extLst>
        </xdr:cNvPr>
        <xdr:cNvSpPr/>
      </xdr:nvSpPr>
      <xdr:spPr>
        <a:xfrm>
          <a:off x="15954375" y="31775400"/>
          <a:ext cx="877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207</xdr:row>
      <xdr:rowOff>76200</xdr:rowOff>
    </xdr:from>
    <xdr:to>
      <xdr:col>53</xdr:col>
      <xdr:colOff>47625</xdr:colOff>
      <xdr:row>207</xdr:row>
      <xdr:rowOff>76200</xdr:rowOff>
    </xdr:to>
    <xdr:cxnSp macro="">
      <xdr:nvCxnSpPr>
        <xdr:cNvPr id="54529" name="직선 화살표 연결선 54528">
          <a:extLst>
            <a:ext uri="{FF2B5EF4-FFF2-40B4-BE49-F238E27FC236}">
              <a16:creationId xmlns:a16="http://schemas.microsoft.com/office/drawing/2014/main" id="{1509E139-7956-2D71-A970-4DBF777AE95E}"/>
            </a:ext>
          </a:extLst>
        </xdr:cNvPr>
        <xdr:cNvCxnSpPr/>
      </xdr:nvCxnSpPr>
      <xdr:spPr>
        <a:xfrm>
          <a:off x="15954375" y="3183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28575</xdr:colOff>
      <xdr:row>206</xdr:row>
      <xdr:rowOff>19050</xdr:rowOff>
    </xdr:from>
    <xdr:to>
      <xdr:col>72</xdr:col>
      <xdr:colOff>106045</xdr:colOff>
      <xdr:row>206</xdr:row>
      <xdr:rowOff>133350</xdr:rowOff>
    </xdr:to>
    <xdr:sp macro="" textlink="">
      <xdr:nvSpPr>
        <xdr:cNvPr id="54530" name="203">
          <a:extLst>
            <a:ext uri="{FF2B5EF4-FFF2-40B4-BE49-F238E27FC236}">
              <a16:creationId xmlns:a16="http://schemas.microsoft.com/office/drawing/2014/main" id="{31F65533-7579-A7CB-69C8-88416B342112}"/>
            </a:ext>
          </a:extLst>
        </xdr:cNvPr>
        <xdr:cNvSpPr/>
      </xdr:nvSpPr>
      <xdr:spPr>
        <a:xfrm>
          <a:off x="15668625" y="31623000"/>
          <a:ext cx="28778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28575</xdr:colOff>
      <xdr:row>206</xdr:row>
      <xdr:rowOff>76200</xdr:rowOff>
    </xdr:from>
    <xdr:to>
      <xdr:col>51</xdr:col>
      <xdr:colOff>28575</xdr:colOff>
      <xdr:row>206</xdr:row>
      <xdr:rowOff>76200</xdr:rowOff>
    </xdr:to>
    <xdr:cxnSp macro="">
      <xdr:nvCxnSpPr>
        <xdr:cNvPr id="54531" name="직선 화살표 연결선 54530">
          <a:extLst>
            <a:ext uri="{FF2B5EF4-FFF2-40B4-BE49-F238E27FC236}">
              <a16:creationId xmlns:a16="http://schemas.microsoft.com/office/drawing/2014/main" id="{854EA450-615D-9573-B0DA-2B44343FFF22}"/>
            </a:ext>
          </a:extLst>
        </xdr:cNvPr>
        <xdr:cNvCxnSpPr/>
      </xdr:nvCxnSpPr>
      <xdr:spPr>
        <a:xfrm>
          <a:off x="15668625" y="3168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66675</xdr:colOff>
      <xdr:row>205</xdr:row>
      <xdr:rowOff>19050</xdr:rowOff>
    </xdr:from>
    <xdr:to>
      <xdr:col>46</xdr:col>
      <xdr:colOff>125095</xdr:colOff>
      <xdr:row>205</xdr:row>
      <xdr:rowOff>133350</xdr:rowOff>
    </xdr:to>
    <xdr:sp macro="" textlink="">
      <xdr:nvSpPr>
        <xdr:cNvPr id="54532" name="202">
          <a:extLst>
            <a:ext uri="{FF2B5EF4-FFF2-40B4-BE49-F238E27FC236}">
              <a16:creationId xmlns:a16="http://schemas.microsoft.com/office/drawing/2014/main" id="{75FB29D8-12D4-D5D0-2226-E55A30C5BC23}"/>
            </a:ext>
          </a:extLst>
        </xdr:cNvPr>
        <xdr:cNvSpPr/>
      </xdr:nvSpPr>
      <xdr:spPr>
        <a:xfrm>
          <a:off x="14773275" y="31470600"/>
          <a:ext cx="3251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66675</xdr:colOff>
      <xdr:row>205</xdr:row>
      <xdr:rowOff>76200</xdr:rowOff>
    </xdr:from>
    <xdr:to>
      <xdr:col>46</xdr:col>
      <xdr:colOff>123825</xdr:colOff>
      <xdr:row>205</xdr:row>
      <xdr:rowOff>76200</xdr:rowOff>
    </xdr:to>
    <xdr:cxnSp macro="">
      <xdr:nvCxnSpPr>
        <xdr:cNvPr id="54533" name="직선 화살표 연결선 54532">
          <a:extLst>
            <a:ext uri="{FF2B5EF4-FFF2-40B4-BE49-F238E27FC236}">
              <a16:creationId xmlns:a16="http://schemas.microsoft.com/office/drawing/2014/main" id="{7FEA115D-188C-0A6C-AE59-E31EA66A230B}"/>
            </a:ext>
          </a:extLst>
        </xdr:cNvPr>
        <xdr:cNvCxnSpPr/>
      </xdr:nvCxnSpPr>
      <xdr:spPr>
        <a:xfrm>
          <a:off x="14773275" y="31527750"/>
          <a:ext cx="323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66675</xdr:colOff>
      <xdr:row>204</xdr:row>
      <xdr:rowOff>19050</xdr:rowOff>
    </xdr:from>
    <xdr:to>
      <xdr:col>46</xdr:col>
      <xdr:colOff>125095</xdr:colOff>
      <xdr:row>204</xdr:row>
      <xdr:rowOff>133350</xdr:rowOff>
    </xdr:to>
    <xdr:sp macro="" textlink="">
      <xdr:nvSpPr>
        <xdr:cNvPr id="54534" name="201">
          <a:extLst>
            <a:ext uri="{FF2B5EF4-FFF2-40B4-BE49-F238E27FC236}">
              <a16:creationId xmlns:a16="http://schemas.microsoft.com/office/drawing/2014/main" id="{C22853F2-A772-0882-EC41-D35501EE8975}"/>
            </a:ext>
          </a:extLst>
        </xdr:cNvPr>
        <xdr:cNvSpPr/>
      </xdr:nvSpPr>
      <xdr:spPr>
        <a:xfrm>
          <a:off x="14773275" y="31318200"/>
          <a:ext cx="3251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66675</xdr:colOff>
      <xdr:row>204</xdr:row>
      <xdr:rowOff>76200</xdr:rowOff>
    </xdr:from>
    <xdr:to>
      <xdr:col>46</xdr:col>
      <xdr:colOff>123825</xdr:colOff>
      <xdr:row>204</xdr:row>
      <xdr:rowOff>76200</xdr:rowOff>
    </xdr:to>
    <xdr:cxnSp macro="">
      <xdr:nvCxnSpPr>
        <xdr:cNvPr id="54535" name="직선 화살표 연결선 54534">
          <a:extLst>
            <a:ext uri="{FF2B5EF4-FFF2-40B4-BE49-F238E27FC236}">
              <a16:creationId xmlns:a16="http://schemas.microsoft.com/office/drawing/2014/main" id="{E0A434DB-D8B7-0A43-DEED-17947703B701}"/>
            </a:ext>
          </a:extLst>
        </xdr:cNvPr>
        <xdr:cNvCxnSpPr/>
      </xdr:nvCxnSpPr>
      <xdr:spPr>
        <a:xfrm>
          <a:off x="14773275" y="31375350"/>
          <a:ext cx="323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66675</xdr:colOff>
      <xdr:row>203</xdr:row>
      <xdr:rowOff>19050</xdr:rowOff>
    </xdr:from>
    <xdr:to>
      <xdr:col>46</xdr:col>
      <xdr:colOff>125095</xdr:colOff>
      <xdr:row>203</xdr:row>
      <xdr:rowOff>133350</xdr:rowOff>
    </xdr:to>
    <xdr:sp macro="" textlink="">
      <xdr:nvSpPr>
        <xdr:cNvPr id="54536" name="200">
          <a:extLst>
            <a:ext uri="{FF2B5EF4-FFF2-40B4-BE49-F238E27FC236}">
              <a16:creationId xmlns:a16="http://schemas.microsoft.com/office/drawing/2014/main" id="{050D81CA-A5FA-5455-C7A7-9D737F2F5FE3}"/>
            </a:ext>
          </a:extLst>
        </xdr:cNvPr>
        <xdr:cNvSpPr/>
      </xdr:nvSpPr>
      <xdr:spPr>
        <a:xfrm>
          <a:off x="14773275" y="31165800"/>
          <a:ext cx="3251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66675</xdr:colOff>
      <xdr:row>203</xdr:row>
      <xdr:rowOff>76200</xdr:rowOff>
    </xdr:from>
    <xdr:to>
      <xdr:col>46</xdr:col>
      <xdr:colOff>123825</xdr:colOff>
      <xdr:row>203</xdr:row>
      <xdr:rowOff>76200</xdr:rowOff>
    </xdr:to>
    <xdr:cxnSp macro="">
      <xdr:nvCxnSpPr>
        <xdr:cNvPr id="54537" name="직선 화살표 연결선 54536">
          <a:extLst>
            <a:ext uri="{FF2B5EF4-FFF2-40B4-BE49-F238E27FC236}">
              <a16:creationId xmlns:a16="http://schemas.microsoft.com/office/drawing/2014/main" id="{673F50C1-504F-72F2-EFA2-9B771DD4FB88}"/>
            </a:ext>
          </a:extLst>
        </xdr:cNvPr>
        <xdr:cNvCxnSpPr/>
      </xdr:nvCxnSpPr>
      <xdr:spPr>
        <a:xfrm>
          <a:off x="14773275" y="31222950"/>
          <a:ext cx="323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104775</xdr:colOff>
      <xdr:row>202</xdr:row>
      <xdr:rowOff>19050</xdr:rowOff>
    </xdr:from>
    <xdr:to>
      <xdr:col>46</xdr:col>
      <xdr:colOff>125095</xdr:colOff>
      <xdr:row>202</xdr:row>
      <xdr:rowOff>133350</xdr:rowOff>
    </xdr:to>
    <xdr:sp macro="" textlink="">
      <xdr:nvSpPr>
        <xdr:cNvPr id="54538" name="199">
          <a:extLst>
            <a:ext uri="{FF2B5EF4-FFF2-40B4-BE49-F238E27FC236}">
              <a16:creationId xmlns:a16="http://schemas.microsoft.com/office/drawing/2014/main" id="{0A838943-A046-116B-9D5B-C1E4C9D2034C}"/>
            </a:ext>
          </a:extLst>
        </xdr:cNvPr>
        <xdr:cNvSpPr/>
      </xdr:nvSpPr>
      <xdr:spPr>
        <a:xfrm>
          <a:off x="14277975" y="31013400"/>
          <a:ext cx="820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104775</xdr:colOff>
      <xdr:row>202</xdr:row>
      <xdr:rowOff>76200</xdr:rowOff>
    </xdr:from>
    <xdr:to>
      <xdr:col>40</xdr:col>
      <xdr:colOff>104775</xdr:colOff>
      <xdr:row>202</xdr:row>
      <xdr:rowOff>76200</xdr:rowOff>
    </xdr:to>
    <xdr:cxnSp macro="">
      <xdr:nvCxnSpPr>
        <xdr:cNvPr id="54539" name="직선 화살표 연결선 54538">
          <a:extLst>
            <a:ext uri="{FF2B5EF4-FFF2-40B4-BE49-F238E27FC236}">
              <a16:creationId xmlns:a16="http://schemas.microsoft.com/office/drawing/2014/main" id="{EB43D1B3-22A9-6D09-AA23-8F89E2C7C68E}"/>
            </a:ext>
          </a:extLst>
        </xdr:cNvPr>
        <xdr:cNvCxnSpPr/>
      </xdr:nvCxnSpPr>
      <xdr:spPr>
        <a:xfrm>
          <a:off x="14277975" y="3107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66675</xdr:colOff>
      <xdr:row>201</xdr:row>
      <xdr:rowOff>19050</xdr:rowOff>
    </xdr:from>
    <xdr:to>
      <xdr:col>55</xdr:col>
      <xdr:colOff>86995</xdr:colOff>
      <xdr:row>201</xdr:row>
      <xdr:rowOff>133350</xdr:rowOff>
    </xdr:to>
    <xdr:sp macro="" textlink="">
      <xdr:nvSpPr>
        <xdr:cNvPr id="54540" name="198">
          <a:extLst>
            <a:ext uri="{FF2B5EF4-FFF2-40B4-BE49-F238E27FC236}">
              <a16:creationId xmlns:a16="http://schemas.microsoft.com/office/drawing/2014/main" id="{78F7D854-3F99-09ED-6D0A-FA7D39C10F0E}"/>
            </a:ext>
          </a:extLst>
        </xdr:cNvPr>
        <xdr:cNvSpPr/>
      </xdr:nvSpPr>
      <xdr:spPr>
        <a:xfrm>
          <a:off x="14506575" y="30861000"/>
          <a:ext cx="1753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66675</xdr:colOff>
      <xdr:row>201</xdr:row>
      <xdr:rowOff>76200</xdr:rowOff>
    </xdr:from>
    <xdr:to>
      <xdr:col>50</xdr:col>
      <xdr:colOff>51436</xdr:colOff>
      <xdr:row>201</xdr:row>
      <xdr:rowOff>76200</xdr:rowOff>
    </xdr:to>
    <xdr:cxnSp macro="">
      <xdr:nvCxnSpPr>
        <xdr:cNvPr id="54541" name="직선 화살표 연결선 54540">
          <a:extLst>
            <a:ext uri="{FF2B5EF4-FFF2-40B4-BE49-F238E27FC236}">
              <a16:creationId xmlns:a16="http://schemas.microsoft.com/office/drawing/2014/main" id="{0FD1EE2E-DF3C-BA9E-75A8-E7577F553A90}"/>
            </a:ext>
          </a:extLst>
        </xdr:cNvPr>
        <xdr:cNvCxnSpPr/>
      </xdr:nvCxnSpPr>
      <xdr:spPr>
        <a:xfrm>
          <a:off x="14506575" y="30918150"/>
          <a:ext cx="1051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28575</xdr:colOff>
      <xdr:row>200</xdr:row>
      <xdr:rowOff>19050</xdr:rowOff>
    </xdr:from>
    <xdr:to>
      <xdr:col>57</xdr:col>
      <xdr:colOff>67945</xdr:colOff>
      <xdr:row>200</xdr:row>
      <xdr:rowOff>133350</xdr:rowOff>
    </xdr:to>
    <xdr:sp macro="" textlink="">
      <xdr:nvSpPr>
        <xdr:cNvPr id="54542" name="197">
          <a:extLst>
            <a:ext uri="{FF2B5EF4-FFF2-40B4-BE49-F238E27FC236}">
              <a16:creationId xmlns:a16="http://schemas.microsoft.com/office/drawing/2014/main" id="{FDA8DB07-164A-D04F-1D9B-1DF980E4FD68}"/>
            </a:ext>
          </a:extLst>
        </xdr:cNvPr>
        <xdr:cNvSpPr/>
      </xdr:nvSpPr>
      <xdr:spPr>
        <a:xfrm>
          <a:off x="14601825" y="30708600"/>
          <a:ext cx="1906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28575</xdr:colOff>
      <xdr:row>200</xdr:row>
      <xdr:rowOff>76200</xdr:rowOff>
    </xdr:from>
    <xdr:to>
      <xdr:col>50</xdr:col>
      <xdr:colOff>33338</xdr:colOff>
      <xdr:row>200</xdr:row>
      <xdr:rowOff>76200</xdr:rowOff>
    </xdr:to>
    <xdr:cxnSp macro="">
      <xdr:nvCxnSpPr>
        <xdr:cNvPr id="54543" name="직선 화살표 연결선 54542">
          <a:extLst>
            <a:ext uri="{FF2B5EF4-FFF2-40B4-BE49-F238E27FC236}">
              <a16:creationId xmlns:a16="http://schemas.microsoft.com/office/drawing/2014/main" id="{6155EA25-DBA6-DEF4-1F4D-7E8149FA4F16}"/>
            </a:ext>
          </a:extLst>
        </xdr:cNvPr>
        <xdr:cNvCxnSpPr/>
      </xdr:nvCxnSpPr>
      <xdr:spPr>
        <a:xfrm>
          <a:off x="14601825" y="30765750"/>
          <a:ext cx="9382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47625</xdr:colOff>
      <xdr:row>199</xdr:row>
      <xdr:rowOff>19050</xdr:rowOff>
    </xdr:from>
    <xdr:to>
      <xdr:col>59</xdr:col>
      <xdr:colOff>125095</xdr:colOff>
      <xdr:row>199</xdr:row>
      <xdr:rowOff>133350</xdr:rowOff>
    </xdr:to>
    <xdr:sp macro="" textlink="">
      <xdr:nvSpPr>
        <xdr:cNvPr id="54544" name="196">
          <a:extLst>
            <a:ext uri="{FF2B5EF4-FFF2-40B4-BE49-F238E27FC236}">
              <a16:creationId xmlns:a16="http://schemas.microsoft.com/office/drawing/2014/main" id="{F93C4592-F55F-DE19-631A-7F5A59BE6E45}"/>
            </a:ext>
          </a:extLst>
        </xdr:cNvPr>
        <xdr:cNvSpPr/>
      </xdr:nvSpPr>
      <xdr:spPr>
        <a:xfrm>
          <a:off x="15954375" y="305562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47625</xdr:colOff>
      <xdr:row>199</xdr:row>
      <xdr:rowOff>76200</xdr:rowOff>
    </xdr:from>
    <xdr:to>
      <xdr:col>53</xdr:col>
      <xdr:colOff>47625</xdr:colOff>
      <xdr:row>199</xdr:row>
      <xdr:rowOff>76200</xdr:rowOff>
    </xdr:to>
    <xdr:cxnSp macro="">
      <xdr:nvCxnSpPr>
        <xdr:cNvPr id="54545" name="직선 화살표 연결선 54544">
          <a:extLst>
            <a:ext uri="{FF2B5EF4-FFF2-40B4-BE49-F238E27FC236}">
              <a16:creationId xmlns:a16="http://schemas.microsoft.com/office/drawing/2014/main" id="{9FED2AB6-F16D-6C6D-F9B9-5F40ECA4A1BD}"/>
            </a:ext>
          </a:extLst>
        </xdr:cNvPr>
        <xdr:cNvCxnSpPr/>
      </xdr:nvCxnSpPr>
      <xdr:spPr>
        <a:xfrm>
          <a:off x="15954375" y="3061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47625</xdr:colOff>
      <xdr:row>198</xdr:row>
      <xdr:rowOff>19050</xdr:rowOff>
    </xdr:from>
    <xdr:to>
      <xdr:col>53</xdr:col>
      <xdr:colOff>48895</xdr:colOff>
      <xdr:row>198</xdr:row>
      <xdr:rowOff>133350</xdr:rowOff>
    </xdr:to>
    <xdr:sp macro="" textlink="">
      <xdr:nvSpPr>
        <xdr:cNvPr id="54546" name="195">
          <a:extLst>
            <a:ext uri="{FF2B5EF4-FFF2-40B4-BE49-F238E27FC236}">
              <a16:creationId xmlns:a16="http://schemas.microsoft.com/office/drawing/2014/main" id="{43A95C7D-E0CF-B819-331C-5663DBB4388D}"/>
            </a:ext>
          </a:extLst>
        </xdr:cNvPr>
        <xdr:cNvSpPr/>
      </xdr:nvSpPr>
      <xdr:spPr>
        <a:xfrm>
          <a:off x="15821025" y="30403800"/>
          <a:ext cx="1346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47625</xdr:colOff>
      <xdr:row>198</xdr:row>
      <xdr:rowOff>76200</xdr:rowOff>
    </xdr:from>
    <xdr:to>
      <xdr:col>52</xdr:col>
      <xdr:colOff>47625</xdr:colOff>
      <xdr:row>198</xdr:row>
      <xdr:rowOff>76200</xdr:rowOff>
    </xdr:to>
    <xdr:cxnSp macro="">
      <xdr:nvCxnSpPr>
        <xdr:cNvPr id="54547" name="직선 화살표 연결선 54546">
          <a:extLst>
            <a:ext uri="{FF2B5EF4-FFF2-40B4-BE49-F238E27FC236}">
              <a16:creationId xmlns:a16="http://schemas.microsoft.com/office/drawing/2014/main" id="{CEFF0EA6-1704-D6D2-18A0-02DB44840779}"/>
            </a:ext>
          </a:extLst>
        </xdr:cNvPr>
        <xdr:cNvCxnSpPr/>
      </xdr:nvCxnSpPr>
      <xdr:spPr>
        <a:xfrm>
          <a:off x="15821025" y="3046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197</xdr:row>
      <xdr:rowOff>19050</xdr:rowOff>
    </xdr:from>
    <xdr:to>
      <xdr:col>52</xdr:col>
      <xdr:colOff>67945</xdr:colOff>
      <xdr:row>197</xdr:row>
      <xdr:rowOff>133350</xdr:rowOff>
    </xdr:to>
    <xdr:sp macro="" textlink="">
      <xdr:nvSpPr>
        <xdr:cNvPr id="54548" name="194">
          <a:extLst>
            <a:ext uri="{FF2B5EF4-FFF2-40B4-BE49-F238E27FC236}">
              <a16:creationId xmlns:a16="http://schemas.microsoft.com/office/drawing/2014/main" id="{C2B50289-09FE-375F-5BAD-AE46348578EE}"/>
            </a:ext>
          </a:extLst>
        </xdr:cNvPr>
        <xdr:cNvSpPr/>
      </xdr:nvSpPr>
      <xdr:spPr>
        <a:xfrm>
          <a:off x="15097125" y="302514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197</xdr:row>
      <xdr:rowOff>76200</xdr:rowOff>
    </xdr:from>
    <xdr:to>
      <xdr:col>50</xdr:col>
      <xdr:colOff>36195</xdr:colOff>
      <xdr:row>197</xdr:row>
      <xdr:rowOff>76200</xdr:rowOff>
    </xdr:to>
    <xdr:cxnSp macro="">
      <xdr:nvCxnSpPr>
        <xdr:cNvPr id="54549" name="직선 화살표 연결선 54548">
          <a:extLst>
            <a:ext uri="{FF2B5EF4-FFF2-40B4-BE49-F238E27FC236}">
              <a16:creationId xmlns:a16="http://schemas.microsoft.com/office/drawing/2014/main" id="{16B36B7E-21D3-A194-298E-D5DA49AB9D7F}"/>
            </a:ext>
          </a:extLst>
        </xdr:cNvPr>
        <xdr:cNvCxnSpPr/>
      </xdr:nvCxnSpPr>
      <xdr:spPr>
        <a:xfrm>
          <a:off x="15097125" y="30308550"/>
          <a:ext cx="4457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196</xdr:row>
      <xdr:rowOff>19050</xdr:rowOff>
    </xdr:from>
    <xdr:to>
      <xdr:col>46</xdr:col>
      <xdr:colOff>125095</xdr:colOff>
      <xdr:row>196</xdr:row>
      <xdr:rowOff>133350</xdr:rowOff>
    </xdr:to>
    <xdr:sp macro="" textlink="">
      <xdr:nvSpPr>
        <xdr:cNvPr id="54550" name="193">
          <a:extLst>
            <a:ext uri="{FF2B5EF4-FFF2-40B4-BE49-F238E27FC236}">
              <a16:creationId xmlns:a16="http://schemas.microsoft.com/office/drawing/2014/main" id="{40726D9F-071D-D255-B976-5B69A0389BE4}"/>
            </a:ext>
          </a:extLst>
        </xdr:cNvPr>
        <xdr:cNvSpPr/>
      </xdr:nvSpPr>
      <xdr:spPr>
        <a:xfrm>
          <a:off x="14144625" y="300990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196</xdr:row>
      <xdr:rowOff>76200</xdr:rowOff>
    </xdr:from>
    <xdr:to>
      <xdr:col>41</xdr:col>
      <xdr:colOff>123825</xdr:colOff>
      <xdr:row>196</xdr:row>
      <xdr:rowOff>76200</xdr:rowOff>
    </xdr:to>
    <xdr:cxnSp macro="">
      <xdr:nvCxnSpPr>
        <xdr:cNvPr id="54551" name="직선 화살표 연결선 54550">
          <a:extLst>
            <a:ext uri="{FF2B5EF4-FFF2-40B4-BE49-F238E27FC236}">
              <a16:creationId xmlns:a16="http://schemas.microsoft.com/office/drawing/2014/main" id="{E81514F5-CE63-2142-09F1-F8AEC0B0CFBD}"/>
            </a:ext>
          </a:extLst>
        </xdr:cNvPr>
        <xdr:cNvCxnSpPr/>
      </xdr:nvCxnSpPr>
      <xdr:spPr>
        <a:xfrm>
          <a:off x="14144625" y="3015615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195</xdr:row>
      <xdr:rowOff>19050</xdr:rowOff>
    </xdr:from>
    <xdr:to>
      <xdr:col>59</xdr:col>
      <xdr:colOff>125095</xdr:colOff>
      <xdr:row>195</xdr:row>
      <xdr:rowOff>133350</xdr:rowOff>
    </xdr:to>
    <xdr:sp macro="" textlink="">
      <xdr:nvSpPr>
        <xdr:cNvPr id="54552" name="192">
          <a:extLst>
            <a:ext uri="{FF2B5EF4-FFF2-40B4-BE49-F238E27FC236}">
              <a16:creationId xmlns:a16="http://schemas.microsoft.com/office/drawing/2014/main" id="{CE65F3C3-3CCB-55AD-016D-5B767D956CE4}"/>
            </a:ext>
          </a:extLst>
        </xdr:cNvPr>
        <xdr:cNvSpPr/>
      </xdr:nvSpPr>
      <xdr:spPr>
        <a:xfrm>
          <a:off x="14144625" y="29946600"/>
          <a:ext cx="26873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195</xdr:row>
      <xdr:rowOff>76200</xdr:rowOff>
    </xdr:from>
    <xdr:to>
      <xdr:col>45</xdr:col>
      <xdr:colOff>17185</xdr:colOff>
      <xdr:row>195</xdr:row>
      <xdr:rowOff>76200</xdr:rowOff>
    </xdr:to>
    <xdr:cxnSp macro="">
      <xdr:nvCxnSpPr>
        <xdr:cNvPr id="54553" name="직선 화살표 연결선 54552">
          <a:extLst>
            <a:ext uri="{FF2B5EF4-FFF2-40B4-BE49-F238E27FC236}">
              <a16:creationId xmlns:a16="http://schemas.microsoft.com/office/drawing/2014/main" id="{ECA6C12F-85B3-2DB8-5CE1-2B9520F2AC60}"/>
            </a:ext>
          </a:extLst>
        </xdr:cNvPr>
        <xdr:cNvCxnSpPr/>
      </xdr:nvCxnSpPr>
      <xdr:spPr>
        <a:xfrm>
          <a:off x="14144625" y="30003750"/>
          <a:ext cx="7125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146</xdr:row>
      <xdr:rowOff>19050</xdr:rowOff>
    </xdr:from>
    <xdr:to>
      <xdr:col>53</xdr:col>
      <xdr:colOff>67945</xdr:colOff>
      <xdr:row>146</xdr:row>
      <xdr:rowOff>133350</xdr:rowOff>
    </xdr:to>
    <xdr:sp macro="" textlink="">
      <xdr:nvSpPr>
        <xdr:cNvPr id="54554" name="143">
          <a:extLst>
            <a:ext uri="{FF2B5EF4-FFF2-40B4-BE49-F238E27FC236}">
              <a16:creationId xmlns:a16="http://schemas.microsoft.com/office/drawing/2014/main" id="{3E4E9A4F-E7C6-0066-409F-6D00CD341246}"/>
            </a:ext>
          </a:extLst>
        </xdr:cNvPr>
        <xdr:cNvSpPr/>
      </xdr:nvSpPr>
      <xdr:spPr>
        <a:xfrm>
          <a:off x="15878175" y="224790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104775</xdr:colOff>
      <xdr:row>146</xdr:row>
      <xdr:rowOff>76200</xdr:rowOff>
    </xdr:from>
    <xdr:to>
      <xdr:col>52</xdr:col>
      <xdr:colOff>104775</xdr:colOff>
      <xdr:row>146</xdr:row>
      <xdr:rowOff>76200</xdr:rowOff>
    </xdr:to>
    <xdr:cxnSp macro="">
      <xdr:nvCxnSpPr>
        <xdr:cNvPr id="54555" name="직선 화살표 연결선 54554">
          <a:extLst>
            <a:ext uri="{FF2B5EF4-FFF2-40B4-BE49-F238E27FC236}">
              <a16:creationId xmlns:a16="http://schemas.microsoft.com/office/drawing/2014/main" id="{C91FE4A1-DFDB-20E2-E97D-22671524DC63}"/>
            </a:ext>
          </a:extLst>
        </xdr:cNvPr>
        <xdr:cNvCxnSpPr/>
      </xdr:nvCxnSpPr>
      <xdr:spPr>
        <a:xfrm>
          <a:off x="15878175" y="2253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145</xdr:row>
      <xdr:rowOff>19050</xdr:rowOff>
    </xdr:from>
    <xdr:to>
      <xdr:col>53</xdr:col>
      <xdr:colOff>67945</xdr:colOff>
      <xdr:row>145</xdr:row>
      <xdr:rowOff>133350</xdr:rowOff>
    </xdr:to>
    <xdr:sp macro="" textlink="">
      <xdr:nvSpPr>
        <xdr:cNvPr id="54556" name="142">
          <a:extLst>
            <a:ext uri="{FF2B5EF4-FFF2-40B4-BE49-F238E27FC236}">
              <a16:creationId xmlns:a16="http://schemas.microsoft.com/office/drawing/2014/main" id="{36DB0823-AB77-4D36-FE0F-EEF7590D710C}"/>
            </a:ext>
          </a:extLst>
        </xdr:cNvPr>
        <xdr:cNvSpPr/>
      </xdr:nvSpPr>
      <xdr:spPr>
        <a:xfrm>
          <a:off x="15878175" y="223266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104775</xdr:colOff>
      <xdr:row>145</xdr:row>
      <xdr:rowOff>76200</xdr:rowOff>
    </xdr:from>
    <xdr:to>
      <xdr:col>52</xdr:col>
      <xdr:colOff>104775</xdr:colOff>
      <xdr:row>145</xdr:row>
      <xdr:rowOff>76200</xdr:rowOff>
    </xdr:to>
    <xdr:cxnSp macro="">
      <xdr:nvCxnSpPr>
        <xdr:cNvPr id="54557" name="직선 화살표 연결선 54556">
          <a:extLst>
            <a:ext uri="{FF2B5EF4-FFF2-40B4-BE49-F238E27FC236}">
              <a16:creationId xmlns:a16="http://schemas.microsoft.com/office/drawing/2014/main" id="{C1DC8B47-4264-B19A-75D8-3A67C13EC64C}"/>
            </a:ext>
          </a:extLst>
        </xdr:cNvPr>
        <xdr:cNvCxnSpPr/>
      </xdr:nvCxnSpPr>
      <xdr:spPr>
        <a:xfrm>
          <a:off x="15878175" y="2238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104775</xdr:colOff>
      <xdr:row>144</xdr:row>
      <xdr:rowOff>19050</xdr:rowOff>
    </xdr:from>
    <xdr:to>
      <xdr:col>52</xdr:col>
      <xdr:colOff>67945</xdr:colOff>
      <xdr:row>144</xdr:row>
      <xdr:rowOff>133350</xdr:rowOff>
    </xdr:to>
    <xdr:sp macro="" textlink="">
      <xdr:nvSpPr>
        <xdr:cNvPr id="54558" name="141">
          <a:extLst>
            <a:ext uri="{FF2B5EF4-FFF2-40B4-BE49-F238E27FC236}">
              <a16:creationId xmlns:a16="http://schemas.microsoft.com/office/drawing/2014/main" id="{1F43070A-4E4A-9A07-597B-03A2AE444624}"/>
            </a:ext>
          </a:extLst>
        </xdr:cNvPr>
        <xdr:cNvSpPr/>
      </xdr:nvSpPr>
      <xdr:spPr>
        <a:xfrm>
          <a:off x="15744825" y="221742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104775</xdr:colOff>
      <xdr:row>144</xdr:row>
      <xdr:rowOff>76200</xdr:rowOff>
    </xdr:from>
    <xdr:to>
      <xdr:col>51</xdr:col>
      <xdr:colOff>104775</xdr:colOff>
      <xdr:row>144</xdr:row>
      <xdr:rowOff>76200</xdr:rowOff>
    </xdr:to>
    <xdr:cxnSp macro="">
      <xdr:nvCxnSpPr>
        <xdr:cNvPr id="54559" name="직선 화살표 연결선 54558">
          <a:extLst>
            <a:ext uri="{FF2B5EF4-FFF2-40B4-BE49-F238E27FC236}">
              <a16:creationId xmlns:a16="http://schemas.microsoft.com/office/drawing/2014/main" id="{06E1DEED-683E-DE8C-8A12-EA117433E51D}"/>
            </a:ext>
          </a:extLst>
        </xdr:cNvPr>
        <xdr:cNvCxnSpPr/>
      </xdr:nvCxnSpPr>
      <xdr:spPr>
        <a:xfrm>
          <a:off x="15744825" y="2223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104775</xdr:colOff>
      <xdr:row>143</xdr:row>
      <xdr:rowOff>19050</xdr:rowOff>
    </xdr:from>
    <xdr:to>
      <xdr:col>53</xdr:col>
      <xdr:colOff>67945</xdr:colOff>
      <xdr:row>143</xdr:row>
      <xdr:rowOff>133350</xdr:rowOff>
    </xdr:to>
    <xdr:sp macro="" textlink="">
      <xdr:nvSpPr>
        <xdr:cNvPr id="54560" name="140">
          <a:extLst>
            <a:ext uri="{FF2B5EF4-FFF2-40B4-BE49-F238E27FC236}">
              <a16:creationId xmlns:a16="http://schemas.microsoft.com/office/drawing/2014/main" id="{EABA27DB-C132-302C-B2F0-2BEBAB0C7264}"/>
            </a:ext>
          </a:extLst>
        </xdr:cNvPr>
        <xdr:cNvSpPr/>
      </xdr:nvSpPr>
      <xdr:spPr>
        <a:xfrm>
          <a:off x="15744825" y="22021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104775</xdr:colOff>
      <xdr:row>143</xdr:row>
      <xdr:rowOff>76200</xdr:rowOff>
    </xdr:from>
    <xdr:to>
      <xdr:col>51</xdr:col>
      <xdr:colOff>104775</xdr:colOff>
      <xdr:row>143</xdr:row>
      <xdr:rowOff>76200</xdr:rowOff>
    </xdr:to>
    <xdr:cxnSp macro="">
      <xdr:nvCxnSpPr>
        <xdr:cNvPr id="54561" name="직선 화살표 연결선 54560">
          <a:extLst>
            <a:ext uri="{FF2B5EF4-FFF2-40B4-BE49-F238E27FC236}">
              <a16:creationId xmlns:a16="http://schemas.microsoft.com/office/drawing/2014/main" id="{0976E020-203A-9429-168A-2BAE2D1D97F7}"/>
            </a:ext>
          </a:extLst>
        </xdr:cNvPr>
        <xdr:cNvCxnSpPr/>
      </xdr:nvCxnSpPr>
      <xdr:spPr>
        <a:xfrm>
          <a:off x="15744825" y="2207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28575</xdr:colOff>
      <xdr:row>142</xdr:row>
      <xdr:rowOff>19050</xdr:rowOff>
    </xdr:from>
    <xdr:to>
      <xdr:col>53</xdr:col>
      <xdr:colOff>10795</xdr:colOff>
      <xdr:row>142</xdr:row>
      <xdr:rowOff>133350</xdr:rowOff>
    </xdr:to>
    <xdr:sp macro="" textlink="">
      <xdr:nvSpPr>
        <xdr:cNvPr id="54562" name="139">
          <a:extLst>
            <a:ext uri="{FF2B5EF4-FFF2-40B4-BE49-F238E27FC236}">
              <a16:creationId xmlns:a16="http://schemas.microsoft.com/office/drawing/2014/main" id="{875F497B-DD81-33EC-D82F-57B2C59FAB1B}"/>
            </a:ext>
          </a:extLst>
        </xdr:cNvPr>
        <xdr:cNvSpPr/>
      </xdr:nvSpPr>
      <xdr:spPr>
        <a:xfrm>
          <a:off x="15801975" y="21869400"/>
          <a:ext cx="115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28575</xdr:colOff>
      <xdr:row>142</xdr:row>
      <xdr:rowOff>76200</xdr:rowOff>
    </xdr:from>
    <xdr:to>
      <xdr:col>52</xdr:col>
      <xdr:colOff>28575</xdr:colOff>
      <xdr:row>142</xdr:row>
      <xdr:rowOff>76200</xdr:rowOff>
    </xdr:to>
    <xdr:cxnSp macro="">
      <xdr:nvCxnSpPr>
        <xdr:cNvPr id="54563" name="직선 화살표 연결선 54562">
          <a:extLst>
            <a:ext uri="{FF2B5EF4-FFF2-40B4-BE49-F238E27FC236}">
              <a16:creationId xmlns:a16="http://schemas.microsoft.com/office/drawing/2014/main" id="{7E1486F4-BEAD-1325-0545-65A8BD4A0656}"/>
            </a:ext>
          </a:extLst>
        </xdr:cNvPr>
        <xdr:cNvCxnSpPr/>
      </xdr:nvCxnSpPr>
      <xdr:spPr>
        <a:xfrm>
          <a:off x="15801975" y="2192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104775</xdr:colOff>
      <xdr:row>141</xdr:row>
      <xdr:rowOff>19050</xdr:rowOff>
    </xdr:from>
    <xdr:to>
      <xdr:col>52</xdr:col>
      <xdr:colOff>29845</xdr:colOff>
      <xdr:row>141</xdr:row>
      <xdr:rowOff>133350</xdr:rowOff>
    </xdr:to>
    <xdr:sp macro="" textlink="">
      <xdr:nvSpPr>
        <xdr:cNvPr id="54564" name="138">
          <a:extLst>
            <a:ext uri="{FF2B5EF4-FFF2-40B4-BE49-F238E27FC236}">
              <a16:creationId xmlns:a16="http://schemas.microsoft.com/office/drawing/2014/main" id="{664EE444-F75F-DE67-C9D5-2AA89DBA0FF8}"/>
            </a:ext>
          </a:extLst>
        </xdr:cNvPr>
        <xdr:cNvSpPr/>
      </xdr:nvSpPr>
      <xdr:spPr>
        <a:xfrm>
          <a:off x="15744825" y="21717000"/>
          <a:ext cx="584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104775</xdr:colOff>
      <xdr:row>141</xdr:row>
      <xdr:rowOff>76200</xdr:rowOff>
    </xdr:from>
    <xdr:to>
      <xdr:col>51</xdr:col>
      <xdr:colOff>104775</xdr:colOff>
      <xdr:row>141</xdr:row>
      <xdr:rowOff>76200</xdr:rowOff>
    </xdr:to>
    <xdr:cxnSp macro="">
      <xdr:nvCxnSpPr>
        <xdr:cNvPr id="54565" name="직선 화살표 연결선 54564">
          <a:extLst>
            <a:ext uri="{FF2B5EF4-FFF2-40B4-BE49-F238E27FC236}">
              <a16:creationId xmlns:a16="http://schemas.microsoft.com/office/drawing/2014/main" id="{8ECABCFA-5DBF-18CE-0C37-A757A64ED153}"/>
            </a:ext>
          </a:extLst>
        </xdr:cNvPr>
        <xdr:cNvCxnSpPr/>
      </xdr:nvCxnSpPr>
      <xdr:spPr>
        <a:xfrm>
          <a:off x="15744825" y="2177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104775</xdr:colOff>
      <xdr:row>140</xdr:row>
      <xdr:rowOff>19050</xdr:rowOff>
    </xdr:from>
    <xdr:to>
      <xdr:col>51</xdr:col>
      <xdr:colOff>67945</xdr:colOff>
      <xdr:row>140</xdr:row>
      <xdr:rowOff>133350</xdr:rowOff>
    </xdr:to>
    <xdr:sp macro="" textlink="">
      <xdr:nvSpPr>
        <xdr:cNvPr id="54566" name="137">
          <a:extLst>
            <a:ext uri="{FF2B5EF4-FFF2-40B4-BE49-F238E27FC236}">
              <a16:creationId xmlns:a16="http://schemas.microsoft.com/office/drawing/2014/main" id="{72FA790D-4A6B-1569-9EC7-F329D1EB7DDB}"/>
            </a:ext>
          </a:extLst>
        </xdr:cNvPr>
        <xdr:cNvSpPr/>
      </xdr:nvSpPr>
      <xdr:spPr>
        <a:xfrm>
          <a:off x="15478125" y="215646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104775</xdr:colOff>
      <xdr:row>140</xdr:row>
      <xdr:rowOff>76200</xdr:rowOff>
    </xdr:from>
    <xdr:to>
      <xdr:col>49</xdr:col>
      <xdr:colOff>104775</xdr:colOff>
      <xdr:row>140</xdr:row>
      <xdr:rowOff>76200</xdr:rowOff>
    </xdr:to>
    <xdr:cxnSp macro="">
      <xdr:nvCxnSpPr>
        <xdr:cNvPr id="54567" name="직선 화살표 연결선 54566">
          <a:extLst>
            <a:ext uri="{FF2B5EF4-FFF2-40B4-BE49-F238E27FC236}">
              <a16:creationId xmlns:a16="http://schemas.microsoft.com/office/drawing/2014/main" id="{01627AC1-0BD5-7E30-6FD3-BF8483837DE7}"/>
            </a:ext>
          </a:extLst>
        </xdr:cNvPr>
        <xdr:cNvCxnSpPr/>
      </xdr:nvCxnSpPr>
      <xdr:spPr>
        <a:xfrm>
          <a:off x="15478125" y="2162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104775</xdr:colOff>
      <xdr:row>139</xdr:row>
      <xdr:rowOff>19050</xdr:rowOff>
    </xdr:from>
    <xdr:to>
      <xdr:col>53</xdr:col>
      <xdr:colOff>10795</xdr:colOff>
      <xdr:row>139</xdr:row>
      <xdr:rowOff>133350</xdr:rowOff>
    </xdr:to>
    <xdr:sp macro="" textlink="">
      <xdr:nvSpPr>
        <xdr:cNvPr id="54568" name="136">
          <a:extLst>
            <a:ext uri="{FF2B5EF4-FFF2-40B4-BE49-F238E27FC236}">
              <a16:creationId xmlns:a16="http://schemas.microsoft.com/office/drawing/2014/main" id="{6A108803-6A6E-5799-F88A-16CFAF6E0358}"/>
            </a:ext>
          </a:extLst>
        </xdr:cNvPr>
        <xdr:cNvSpPr/>
      </xdr:nvSpPr>
      <xdr:spPr>
        <a:xfrm>
          <a:off x="15478125" y="21412200"/>
          <a:ext cx="4394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104775</xdr:colOff>
      <xdr:row>139</xdr:row>
      <xdr:rowOff>76200</xdr:rowOff>
    </xdr:from>
    <xdr:to>
      <xdr:col>49</xdr:col>
      <xdr:colOff>104775</xdr:colOff>
      <xdr:row>139</xdr:row>
      <xdr:rowOff>76200</xdr:rowOff>
    </xdr:to>
    <xdr:cxnSp macro="">
      <xdr:nvCxnSpPr>
        <xdr:cNvPr id="54569" name="직선 화살표 연결선 54568">
          <a:extLst>
            <a:ext uri="{FF2B5EF4-FFF2-40B4-BE49-F238E27FC236}">
              <a16:creationId xmlns:a16="http://schemas.microsoft.com/office/drawing/2014/main" id="{E7281DA9-A8DD-E30A-743C-82A94E3B0FB2}"/>
            </a:ext>
          </a:extLst>
        </xdr:cNvPr>
        <xdr:cNvCxnSpPr/>
      </xdr:nvCxnSpPr>
      <xdr:spPr>
        <a:xfrm>
          <a:off x="15478125" y="2146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138</xdr:row>
      <xdr:rowOff>19050</xdr:rowOff>
    </xdr:from>
    <xdr:to>
      <xdr:col>53</xdr:col>
      <xdr:colOff>67945</xdr:colOff>
      <xdr:row>138</xdr:row>
      <xdr:rowOff>133350</xdr:rowOff>
    </xdr:to>
    <xdr:sp macro="" textlink="">
      <xdr:nvSpPr>
        <xdr:cNvPr id="54570" name="135">
          <a:extLst>
            <a:ext uri="{FF2B5EF4-FFF2-40B4-BE49-F238E27FC236}">
              <a16:creationId xmlns:a16="http://schemas.microsoft.com/office/drawing/2014/main" id="{95621CE8-6C20-4DA1-1883-F42D08901E09}"/>
            </a:ext>
          </a:extLst>
        </xdr:cNvPr>
        <xdr:cNvSpPr/>
      </xdr:nvSpPr>
      <xdr:spPr>
        <a:xfrm>
          <a:off x="15878175" y="212598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104775</xdr:colOff>
      <xdr:row>138</xdr:row>
      <xdr:rowOff>76200</xdr:rowOff>
    </xdr:from>
    <xdr:to>
      <xdr:col>52</xdr:col>
      <xdr:colOff>104775</xdr:colOff>
      <xdr:row>138</xdr:row>
      <xdr:rowOff>76200</xdr:rowOff>
    </xdr:to>
    <xdr:cxnSp macro="">
      <xdr:nvCxnSpPr>
        <xdr:cNvPr id="54571" name="직선 화살표 연결선 54570">
          <a:extLst>
            <a:ext uri="{FF2B5EF4-FFF2-40B4-BE49-F238E27FC236}">
              <a16:creationId xmlns:a16="http://schemas.microsoft.com/office/drawing/2014/main" id="{590D89F0-8E64-FF7E-6FB8-725631D3BDFF}"/>
            </a:ext>
          </a:extLst>
        </xdr:cNvPr>
        <xdr:cNvCxnSpPr/>
      </xdr:nvCxnSpPr>
      <xdr:spPr>
        <a:xfrm>
          <a:off x="15878175" y="2131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137</xdr:row>
      <xdr:rowOff>19050</xdr:rowOff>
    </xdr:from>
    <xdr:to>
      <xdr:col>53</xdr:col>
      <xdr:colOff>67945</xdr:colOff>
      <xdr:row>137</xdr:row>
      <xdr:rowOff>133350</xdr:rowOff>
    </xdr:to>
    <xdr:sp macro="" textlink="">
      <xdr:nvSpPr>
        <xdr:cNvPr id="54572" name="134">
          <a:extLst>
            <a:ext uri="{FF2B5EF4-FFF2-40B4-BE49-F238E27FC236}">
              <a16:creationId xmlns:a16="http://schemas.microsoft.com/office/drawing/2014/main" id="{6399F6F6-BFAD-47BD-DF1B-78FB9454FE21}"/>
            </a:ext>
          </a:extLst>
        </xdr:cNvPr>
        <xdr:cNvSpPr/>
      </xdr:nvSpPr>
      <xdr:spPr>
        <a:xfrm>
          <a:off x="15878175" y="211074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104775</xdr:colOff>
      <xdr:row>137</xdr:row>
      <xdr:rowOff>76200</xdr:rowOff>
    </xdr:from>
    <xdr:to>
      <xdr:col>52</xdr:col>
      <xdr:colOff>104775</xdr:colOff>
      <xdr:row>137</xdr:row>
      <xdr:rowOff>76200</xdr:rowOff>
    </xdr:to>
    <xdr:cxnSp macro="">
      <xdr:nvCxnSpPr>
        <xdr:cNvPr id="54573" name="직선 화살표 연결선 54572">
          <a:extLst>
            <a:ext uri="{FF2B5EF4-FFF2-40B4-BE49-F238E27FC236}">
              <a16:creationId xmlns:a16="http://schemas.microsoft.com/office/drawing/2014/main" id="{CB6113CF-D26A-F021-478B-319E89AC7F42}"/>
            </a:ext>
          </a:extLst>
        </xdr:cNvPr>
        <xdr:cNvCxnSpPr/>
      </xdr:nvCxnSpPr>
      <xdr:spPr>
        <a:xfrm>
          <a:off x="15878175" y="2116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104775</xdr:colOff>
      <xdr:row>136</xdr:row>
      <xdr:rowOff>19050</xdr:rowOff>
    </xdr:from>
    <xdr:to>
      <xdr:col>52</xdr:col>
      <xdr:colOff>67945</xdr:colOff>
      <xdr:row>136</xdr:row>
      <xdr:rowOff>133350</xdr:rowOff>
    </xdr:to>
    <xdr:sp macro="" textlink="">
      <xdr:nvSpPr>
        <xdr:cNvPr id="54574" name="133">
          <a:extLst>
            <a:ext uri="{FF2B5EF4-FFF2-40B4-BE49-F238E27FC236}">
              <a16:creationId xmlns:a16="http://schemas.microsoft.com/office/drawing/2014/main" id="{B7BE61B9-B4A5-0A59-CA91-471CAB179890}"/>
            </a:ext>
          </a:extLst>
        </xdr:cNvPr>
        <xdr:cNvSpPr/>
      </xdr:nvSpPr>
      <xdr:spPr>
        <a:xfrm>
          <a:off x="15744825" y="209550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104775</xdr:colOff>
      <xdr:row>136</xdr:row>
      <xdr:rowOff>76200</xdr:rowOff>
    </xdr:from>
    <xdr:to>
      <xdr:col>51</xdr:col>
      <xdr:colOff>104775</xdr:colOff>
      <xdr:row>136</xdr:row>
      <xdr:rowOff>76200</xdr:rowOff>
    </xdr:to>
    <xdr:cxnSp macro="">
      <xdr:nvCxnSpPr>
        <xdr:cNvPr id="54575" name="직선 화살표 연결선 54574">
          <a:extLst>
            <a:ext uri="{FF2B5EF4-FFF2-40B4-BE49-F238E27FC236}">
              <a16:creationId xmlns:a16="http://schemas.microsoft.com/office/drawing/2014/main" id="{5FBDC78A-1C98-4061-631B-06018E60CBDB}"/>
            </a:ext>
          </a:extLst>
        </xdr:cNvPr>
        <xdr:cNvCxnSpPr/>
      </xdr:nvCxnSpPr>
      <xdr:spPr>
        <a:xfrm>
          <a:off x="15744825" y="2101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104775</xdr:colOff>
      <xdr:row>135</xdr:row>
      <xdr:rowOff>19050</xdr:rowOff>
    </xdr:from>
    <xdr:to>
      <xdr:col>51</xdr:col>
      <xdr:colOff>67945</xdr:colOff>
      <xdr:row>135</xdr:row>
      <xdr:rowOff>133350</xdr:rowOff>
    </xdr:to>
    <xdr:sp macro="" textlink="">
      <xdr:nvSpPr>
        <xdr:cNvPr id="54576" name="132">
          <a:extLst>
            <a:ext uri="{FF2B5EF4-FFF2-40B4-BE49-F238E27FC236}">
              <a16:creationId xmlns:a16="http://schemas.microsoft.com/office/drawing/2014/main" id="{9CB6C9EF-3B3C-1A7A-433D-20EE551FD894}"/>
            </a:ext>
          </a:extLst>
        </xdr:cNvPr>
        <xdr:cNvSpPr/>
      </xdr:nvSpPr>
      <xdr:spPr>
        <a:xfrm>
          <a:off x="15478125" y="208026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104775</xdr:colOff>
      <xdr:row>135</xdr:row>
      <xdr:rowOff>76200</xdr:rowOff>
    </xdr:from>
    <xdr:to>
      <xdr:col>49</xdr:col>
      <xdr:colOff>104775</xdr:colOff>
      <xdr:row>135</xdr:row>
      <xdr:rowOff>76200</xdr:rowOff>
    </xdr:to>
    <xdr:cxnSp macro="">
      <xdr:nvCxnSpPr>
        <xdr:cNvPr id="54577" name="직선 화살표 연결선 54576">
          <a:extLst>
            <a:ext uri="{FF2B5EF4-FFF2-40B4-BE49-F238E27FC236}">
              <a16:creationId xmlns:a16="http://schemas.microsoft.com/office/drawing/2014/main" id="{A4BF6332-4C9E-CE74-C850-140F1C0F9597}"/>
            </a:ext>
          </a:extLst>
        </xdr:cNvPr>
        <xdr:cNvCxnSpPr/>
      </xdr:nvCxnSpPr>
      <xdr:spPr>
        <a:xfrm>
          <a:off x="15478125" y="2085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104775</xdr:colOff>
      <xdr:row>134</xdr:row>
      <xdr:rowOff>19050</xdr:rowOff>
    </xdr:from>
    <xdr:to>
      <xdr:col>53</xdr:col>
      <xdr:colOff>67945</xdr:colOff>
      <xdr:row>134</xdr:row>
      <xdr:rowOff>133350</xdr:rowOff>
    </xdr:to>
    <xdr:sp macro="" textlink="">
      <xdr:nvSpPr>
        <xdr:cNvPr id="54578" name="131">
          <a:extLst>
            <a:ext uri="{FF2B5EF4-FFF2-40B4-BE49-F238E27FC236}">
              <a16:creationId xmlns:a16="http://schemas.microsoft.com/office/drawing/2014/main" id="{750DF294-AEB3-2A51-420D-FB3ECFE66C58}"/>
            </a:ext>
          </a:extLst>
        </xdr:cNvPr>
        <xdr:cNvSpPr/>
      </xdr:nvSpPr>
      <xdr:spPr>
        <a:xfrm>
          <a:off x="15478125" y="20650200"/>
          <a:ext cx="496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104775</xdr:colOff>
      <xdr:row>134</xdr:row>
      <xdr:rowOff>76200</xdr:rowOff>
    </xdr:from>
    <xdr:to>
      <xdr:col>49</xdr:col>
      <xdr:colOff>104775</xdr:colOff>
      <xdr:row>134</xdr:row>
      <xdr:rowOff>76200</xdr:rowOff>
    </xdr:to>
    <xdr:cxnSp macro="">
      <xdr:nvCxnSpPr>
        <xdr:cNvPr id="54579" name="직선 화살표 연결선 54578">
          <a:extLst>
            <a:ext uri="{FF2B5EF4-FFF2-40B4-BE49-F238E27FC236}">
              <a16:creationId xmlns:a16="http://schemas.microsoft.com/office/drawing/2014/main" id="{2CC0EC09-3F10-B2D9-CA13-36B29F68E00C}"/>
            </a:ext>
          </a:extLst>
        </xdr:cNvPr>
        <xdr:cNvCxnSpPr/>
      </xdr:nvCxnSpPr>
      <xdr:spPr>
        <a:xfrm>
          <a:off x="15478125" y="2070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133</xdr:row>
      <xdr:rowOff>19050</xdr:rowOff>
    </xdr:from>
    <xdr:to>
      <xdr:col>53</xdr:col>
      <xdr:colOff>67945</xdr:colOff>
      <xdr:row>133</xdr:row>
      <xdr:rowOff>133350</xdr:rowOff>
    </xdr:to>
    <xdr:sp macro="" textlink="">
      <xdr:nvSpPr>
        <xdr:cNvPr id="54580" name="130">
          <a:extLst>
            <a:ext uri="{FF2B5EF4-FFF2-40B4-BE49-F238E27FC236}">
              <a16:creationId xmlns:a16="http://schemas.microsoft.com/office/drawing/2014/main" id="{670860EB-CB05-6E2D-5EB3-E6D3F1E98547}"/>
            </a:ext>
          </a:extLst>
        </xdr:cNvPr>
        <xdr:cNvSpPr/>
      </xdr:nvSpPr>
      <xdr:spPr>
        <a:xfrm>
          <a:off x="15097125" y="204978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133</xdr:row>
      <xdr:rowOff>76200</xdr:rowOff>
    </xdr:from>
    <xdr:to>
      <xdr:col>46</xdr:col>
      <xdr:colOff>123825</xdr:colOff>
      <xdr:row>133</xdr:row>
      <xdr:rowOff>76200</xdr:rowOff>
    </xdr:to>
    <xdr:cxnSp macro="">
      <xdr:nvCxnSpPr>
        <xdr:cNvPr id="54581" name="직선 화살표 연결선 54580">
          <a:extLst>
            <a:ext uri="{FF2B5EF4-FFF2-40B4-BE49-F238E27FC236}">
              <a16:creationId xmlns:a16="http://schemas.microsoft.com/office/drawing/2014/main" id="{15B8C590-8115-DCBE-A74D-CE6E1BDB914F}"/>
            </a:ext>
          </a:extLst>
        </xdr:cNvPr>
        <xdr:cNvCxnSpPr/>
      </xdr:nvCxnSpPr>
      <xdr:spPr>
        <a:xfrm>
          <a:off x="15097125" y="2055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132</xdr:row>
      <xdr:rowOff>19050</xdr:rowOff>
    </xdr:from>
    <xdr:to>
      <xdr:col>53</xdr:col>
      <xdr:colOff>67945</xdr:colOff>
      <xdr:row>132</xdr:row>
      <xdr:rowOff>133350</xdr:rowOff>
    </xdr:to>
    <xdr:sp macro="" textlink="">
      <xdr:nvSpPr>
        <xdr:cNvPr id="54582" name="129">
          <a:extLst>
            <a:ext uri="{FF2B5EF4-FFF2-40B4-BE49-F238E27FC236}">
              <a16:creationId xmlns:a16="http://schemas.microsoft.com/office/drawing/2014/main" id="{E87D4CAC-4C23-E3B1-406F-4808233D39DA}"/>
            </a:ext>
          </a:extLst>
        </xdr:cNvPr>
        <xdr:cNvSpPr/>
      </xdr:nvSpPr>
      <xdr:spPr>
        <a:xfrm>
          <a:off x="15097125" y="203454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132</xdr:row>
      <xdr:rowOff>76200</xdr:rowOff>
    </xdr:from>
    <xdr:to>
      <xdr:col>46</xdr:col>
      <xdr:colOff>123825</xdr:colOff>
      <xdr:row>132</xdr:row>
      <xdr:rowOff>76200</xdr:rowOff>
    </xdr:to>
    <xdr:cxnSp macro="">
      <xdr:nvCxnSpPr>
        <xdr:cNvPr id="54583" name="직선 화살표 연결선 54582">
          <a:extLst>
            <a:ext uri="{FF2B5EF4-FFF2-40B4-BE49-F238E27FC236}">
              <a16:creationId xmlns:a16="http://schemas.microsoft.com/office/drawing/2014/main" id="{BC4206AD-DB69-11B0-A9EF-8A5254A7F6E7}"/>
            </a:ext>
          </a:extLst>
        </xdr:cNvPr>
        <xdr:cNvCxnSpPr/>
      </xdr:nvCxnSpPr>
      <xdr:spPr>
        <a:xfrm>
          <a:off x="15097125" y="2040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131</xdr:row>
      <xdr:rowOff>19050</xdr:rowOff>
    </xdr:from>
    <xdr:to>
      <xdr:col>54</xdr:col>
      <xdr:colOff>67945</xdr:colOff>
      <xdr:row>131</xdr:row>
      <xdr:rowOff>133350</xdr:rowOff>
    </xdr:to>
    <xdr:sp macro="" textlink="">
      <xdr:nvSpPr>
        <xdr:cNvPr id="54584" name="128">
          <a:extLst>
            <a:ext uri="{FF2B5EF4-FFF2-40B4-BE49-F238E27FC236}">
              <a16:creationId xmlns:a16="http://schemas.microsoft.com/office/drawing/2014/main" id="{14248279-82B0-3FB1-A3D5-B9E8696455FF}"/>
            </a:ext>
          </a:extLst>
        </xdr:cNvPr>
        <xdr:cNvSpPr/>
      </xdr:nvSpPr>
      <xdr:spPr>
        <a:xfrm>
          <a:off x="15097125" y="20193000"/>
          <a:ext cx="1010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131</xdr:row>
      <xdr:rowOff>76200</xdr:rowOff>
    </xdr:from>
    <xdr:to>
      <xdr:col>46</xdr:col>
      <xdr:colOff>123825</xdr:colOff>
      <xdr:row>131</xdr:row>
      <xdr:rowOff>76200</xdr:rowOff>
    </xdr:to>
    <xdr:cxnSp macro="">
      <xdr:nvCxnSpPr>
        <xdr:cNvPr id="54585" name="직선 화살표 연결선 54584">
          <a:extLst>
            <a:ext uri="{FF2B5EF4-FFF2-40B4-BE49-F238E27FC236}">
              <a16:creationId xmlns:a16="http://schemas.microsoft.com/office/drawing/2014/main" id="{679734E0-E247-3133-478F-1A6318616F9E}"/>
            </a:ext>
          </a:extLst>
        </xdr:cNvPr>
        <xdr:cNvCxnSpPr/>
      </xdr:nvCxnSpPr>
      <xdr:spPr>
        <a:xfrm>
          <a:off x="15097125" y="2025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130</xdr:row>
      <xdr:rowOff>19050</xdr:rowOff>
    </xdr:from>
    <xdr:to>
      <xdr:col>53</xdr:col>
      <xdr:colOff>67945</xdr:colOff>
      <xdr:row>130</xdr:row>
      <xdr:rowOff>133350</xdr:rowOff>
    </xdr:to>
    <xdr:sp macro="" textlink="">
      <xdr:nvSpPr>
        <xdr:cNvPr id="54586" name="127">
          <a:extLst>
            <a:ext uri="{FF2B5EF4-FFF2-40B4-BE49-F238E27FC236}">
              <a16:creationId xmlns:a16="http://schemas.microsoft.com/office/drawing/2014/main" id="{23C2D15A-9825-AA32-0F7A-9FD497945374}"/>
            </a:ext>
          </a:extLst>
        </xdr:cNvPr>
        <xdr:cNvSpPr/>
      </xdr:nvSpPr>
      <xdr:spPr>
        <a:xfrm>
          <a:off x="15097125" y="200406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130</xdr:row>
      <xdr:rowOff>76200</xdr:rowOff>
    </xdr:from>
    <xdr:to>
      <xdr:col>46</xdr:col>
      <xdr:colOff>123825</xdr:colOff>
      <xdr:row>130</xdr:row>
      <xdr:rowOff>76200</xdr:rowOff>
    </xdr:to>
    <xdr:cxnSp macro="">
      <xdr:nvCxnSpPr>
        <xdr:cNvPr id="54587" name="직선 화살표 연결선 54586">
          <a:extLst>
            <a:ext uri="{FF2B5EF4-FFF2-40B4-BE49-F238E27FC236}">
              <a16:creationId xmlns:a16="http://schemas.microsoft.com/office/drawing/2014/main" id="{7C88D392-5528-6005-36C5-26DF7A58FA0B}"/>
            </a:ext>
          </a:extLst>
        </xdr:cNvPr>
        <xdr:cNvCxnSpPr/>
      </xdr:nvCxnSpPr>
      <xdr:spPr>
        <a:xfrm>
          <a:off x="15097125" y="2009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129</xdr:row>
      <xdr:rowOff>19050</xdr:rowOff>
    </xdr:from>
    <xdr:to>
      <xdr:col>54</xdr:col>
      <xdr:colOff>67945</xdr:colOff>
      <xdr:row>129</xdr:row>
      <xdr:rowOff>133350</xdr:rowOff>
    </xdr:to>
    <xdr:sp macro="" textlink="">
      <xdr:nvSpPr>
        <xdr:cNvPr id="54588" name="126">
          <a:extLst>
            <a:ext uri="{FF2B5EF4-FFF2-40B4-BE49-F238E27FC236}">
              <a16:creationId xmlns:a16="http://schemas.microsoft.com/office/drawing/2014/main" id="{CD63BA1A-E282-E9BD-B6C9-8061745B808A}"/>
            </a:ext>
          </a:extLst>
        </xdr:cNvPr>
        <xdr:cNvSpPr/>
      </xdr:nvSpPr>
      <xdr:spPr>
        <a:xfrm>
          <a:off x="15097125" y="19888200"/>
          <a:ext cx="1010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129</xdr:row>
      <xdr:rowOff>76200</xdr:rowOff>
    </xdr:from>
    <xdr:to>
      <xdr:col>46</xdr:col>
      <xdr:colOff>123825</xdr:colOff>
      <xdr:row>129</xdr:row>
      <xdr:rowOff>76200</xdr:rowOff>
    </xdr:to>
    <xdr:cxnSp macro="">
      <xdr:nvCxnSpPr>
        <xdr:cNvPr id="54589" name="직선 화살표 연결선 54588">
          <a:extLst>
            <a:ext uri="{FF2B5EF4-FFF2-40B4-BE49-F238E27FC236}">
              <a16:creationId xmlns:a16="http://schemas.microsoft.com/office/drawing/2014/main" id="{7B1A4D1B-DA18-E86A-3EF6-A712FB2D4564}"/>
            </a:ext>
          </a:extLst>
        </xdr:cNvPr>
        <xdr:cNvCxnSpPr/>
      </xdr:nvCxnSpPr>
      <xdr:spPr>
        <a:xfrm>
          <a:off x="15097125" y="1994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114</xdr:row>
      <xdr:rowOff>19050</xdr:rowOff>
    </xdr:from>
    <xdr:to>
      <xdr:col>53</xdr:col>
      <xdr:colOff>67945</xdr:colOff>
      <xdr:row>114</xdr:row>
      <xdr:rowOff>133350</xdr:rowOff>
    </xdr:to>
    <xdr:sp macro="" textlink="">
      <xdr:nvSpPr>
        <xdr:cNvPr id="54590" name="111">
          <a:extLst>
            <a:ext uri="{FF2B5EF4-FFF2-40B4-BE49-F238E27FC236}">
              <a16:creationId xmlns:a16="http://schemas.microsoft.com/office/drawing/2014/main" id="{016EEEEE-389C-50C1-847A-A82EC6D6716A}"/>
            </a:ext>
          </a:extLst>
        </xdr:cNvPr>
        <xdr:cNvSpPr/>
      </xdr:nvSpPr>
      <xdr:spPr>
        <a:xfrm>
          <a:off x="15097125" y="176022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114</xdr:row>
      <xdr:rowOff>76200</xdr:rowOff>
    </xdr:from>
    <xdr:to>
      <xdr:col>46</xdr:col>
      <xdr:colOff>123825</xdr:colOff>
      <xdr:row>114</xdr:row>
      <xdr:rowOff>76200</xdr:rowOff>
    </xdr:to>
    <xdr:cxnSp macro="">
      <xdr:nvCxnSpPr>
        <xdr:cNvPr id="54591" name="직선 화살표 연결선 54590">
          <a:extLst>
            <a:ext uri="{FF2B5EF4-FFF2-40B4-BE49-F238E27FC236}">
              <a16:creationId xmlns:a16="http://schemas.microsoft.com/office/drawing/2014/main" id="{3BE16DBB-4DE2-E8CE-C50D-146F792A090B}"/>
            </a:ext>
          </a:extLst>
        </xdr:cNvPr>
        <xdr:cNvCxnSpPr/>
      </xdr:nvCxnSpPr>
      <xdr:spPr>
        <a:xfrm>
          <a:off x="15097125" y="1765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112</xdr:row>
      <xdr:rowOff>19050</xdr:rowOff>
    </xdr:from>
    <xdr:to>
      <xdr:col>52</xdr:col>
      <xdr:colOff>67945</xdr:colOff>
      <xdr:row>112</xdr:row>
      <xdr:rowOff>133350</xdr:rowOff>
    </xdr:to>
    <xdr:sp macro="" textlink="">
      <xdr:nvSpPr>
        <xdr:cNvPr id="54592" name="109">
          <a:extLst>
            <a:ext uri="{FF2B5EF4-FFF2-40B4-BE49-F238E27FC236}">
              <a16:creationId xmlns:a16="http://schemas.microsoft.com/office/drawing/2014/main" id="{E4849D14-DDF3-D4D9-ED35-38A6367CC27A}"/>
            </a:ext>
          </a:extLst>
        </xdr:cNvPr>
        <xdr:cNvSpPr/>
      </xdr:nvSpPr>
      <xdr:spPr>
        <a:xfrm>
          <a:off x="15097125" y="172974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112</xdr:row>
      <xdr:rowOff>76200</xdr:rowOff>
    </xdr:from>
    <xdr:to>
      <xdr:col>46</xdr:col>
      <xdr:colOff>123825</xdr:colOff>
      <xdr:row>112</xdr:row>
      <xdr:rowOff>76200</xdr:rowOff>
    </xdr:to>
    <xdr:cxnSp macro="">
      <xdr:nvCxnSpPr>
        <xdr:cNvPr id="54593" name="직선 화살표 연결선 54592">
          <a:extLst>
            <a:ext uri="{FF2B5EF4-FFF2-40B4-BE49-F238E27FC236}">
              <a16:creationId xmlns:a16="http://schemas.microsoft.com/office/drawing/2014/main" id="{15F48E3D-36F0-CF92-0CBB-8DB87BC75282}"/>
            </a:ext>
          </a:extLst>
        </xdr:cNvPr>
        <xdr:cNvCxnSpPr/>
      </xdr:nvCxnSpPr>
      <xdr:spPr>
        <a:xfrm>
          <a:off x="15097125" y="1735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111</xdr:row>
      <xdr:rowOff>19050</xdr:rowOff>
    </xdr:from>
    <xdr:to>
      <xdr:col>53</xdr:col>
      <xdr:colOff>67945</xdr:colOff>
      <xdr:row>111</xdr:row>
      <xdr:rowOff>133350</xdr:rowOff>
    </xdr:to>
    <xdr:sp macro="" textlink="">
      <xdr:nvSpPr>
        <xdr:cNvPr id="54594" name="108">
          <a:extLst>
            <a:ext uri="{FF2B5EF4-FFF2-40B4-BE49-F238E27FC236}">
              <a16:creationId xmlns:a16="http://schemas.microsoft.com/office/drawing/2014/main" id="{27CBF1EC-25FC-B784-C91D-636602B57AA9}"/>
            </a:ext>
          </a:extLst>
        </xdr:cNvPr>
        <xdr:cNvSpPr/>
      </xdr:nvSpPr>
      <xdr:spPr>
        <a:xfrm>
          <a:off x="15097125" y="171450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111</xdr:row>
      <xdr:rowOff>76200</xdr:rowOff>
    </xdr:from>
    <xdr:to>
      <xdr:col>46</xdr:col>
      <xdr:colOff>123825</xdr:colOff>
      <xdr:row>111</xdr:row>
      <xdr:rowOff>76200</xdr:rowOff>
    </xdr:to>
    <xdr:cxnSp macro="">
      <xdr:nvCxnSpPr>
        <xdr:cNvPr id="54595" name="직선 화살표 연결선 54594">
          <a:extLst>
            <a:ext uri="{FF2B5EF4-FFF2-40B4-BE49-F238E27FC236}">
              <a16:creationId xmlns:a16="http://schemas.microsoft.com/office/drawing/2014/main" id="{15C152D0-2EF8-0ACC-4069-0994DE0EB693}"/>
            </a:ext>
          </a:extLst>
        </xdr:cNvPr>
        <xdr:cNvCxnSpPr/>
      </xdr:nvCxnSpPr>
      <xdr:spPr>
        <a:xfrm>
          <a:off x="15097125" y="1720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109</xdr:row>
      <xdr:rowOff>19050</xdr:rowOff>
    </xdr:from>
    <xdr:to>
      <xdr:col>52</xdr:col>
      <xdr:colOff>67945</xdr:colOff>
      <xdr:row>109</xdr:row>
      <xdr:rowOff>133350</xdr:rowOff>
    </xdr:to>
    <xdr:sp macro="" textlink="">
      <xdr:nvSpPr>
        <xdr:cNvPr id="54596" name="106">
          <a:extLst>
            <a:ext uri="{FF2B5EF4-FFF2-40B4-BE49-F238E27FC236}">
              <a16:creationId xmlns:a16="http://schemas.microsoft.com/office/drawing/2014/main" id="{069F6211-61A8-D740-0BFC-BF25475DB991}"/>
            </a:ext>
          </a:extLst>
        </xdr:cNvPr>
        <xdr:cNvSpPr/>
      </xdr:nvSpPr>
      <xdr:spPr>
        <a:xfrm>
          <a:off x="15097125" y="168402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109</xdr:row>
      <xdr:rowOff>76200</xdr:rowOff>
    </xdr:from>
    <xdr:to>
      <xdr:col>46</xdr:col>
      <xdr:colOff>123825</xdr:colOff>
      <xdr:row>109</xdr:row>
      <xdr:rowOff>76200</xdr:rowOff>
    </xdr:to>
    <xdr:cxnSp macro="">
      <xdr:nvCxnSpPr>
        <xdr:cNvPr id="54597" name="직선 화살표 연결선 54596">
          <a:extLst>
            <a:ext uri="{FF2B5EF4-FFF2-40B4-BE49-F238E27FC236}">
              <a16:creationId xmlns:a16="http://schemas.microsoft.com/office/drawing/2014/main" id="{AE944A67-999B-875D-2C60-9827E3A4A69F}"/>
            </a:ext>
          </a:extLst>
        </xdr:cNvPr>
        <xdr:cNvCxnSpPr/>
      </xdr:nvCxnSpPr>
      <xdr:spPr>
        <a:xfrm>
          <a:off x="15097125" y="1689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108</xdr:row>
      <xdr:rowOff>19050</xdr:rowOff>
    </xdr:from>
    <xdr:to>
      <xdr:col>53</xdr:col>
      <xdr:colOff>67945</xdr:colOff>
      <xdr:row>108</xdr:row>
      <xdr:rowOff>133350</xdr:rowOff>
    </xdr:to>
    <xdr:sp macro="" textlink="">
      <xdr:nvSpPr>
        <xdr:cNvPr id="54598" name="105">
          <a:extLst>
            <a:ext uri="{FF2B5EF4-FFF2-40B4-BE49-F238E27FC236}">
              <a16:creationId xmlns:a16="http://schemas.microsoft.com/office/drawing/2014/main" id="{4ABD2E85-041E-6B3D-59E7-09A5EA3494B6}"/>
            </a:ext>
          </a:extLst>
        </xdr:cNvPr>
        <xdr:cNvSpPr/>
      </xdr:nvSpPr>
      <xdr:spPr>
        <a:xfrm>
          <a:off x="15097125" y="16687800"/>
          <a:ext cx="877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108</xdr:row>
      <xdr:rowOff>76200</xdr:rowOff>
    </xdr:from>
    <xdr:to>
      <xdr:col>46</xdr:col>
      <xdr:colOff>123825</xdr:colOff>
      <xdr:row>108</xdr:row>
      <xdr:rowOff>76200</xdr:rowOff>
    </xdr:to>
    <xdr:cxnSp macro="">
      <xdr:nvCxnSpPr>
        <xdr:cNvPr id="54599" name="직선 화살표 연결선 54598">
          <a:extLst>
            <a:ext uri="{FF2B5EF4-FFF2-40B4-BE49-F238E27FC236}">
              <a16:creationId xmlns:a16="http://schemas.microsoft.com/office/drawing/2014/main" id="{61A496A3-E78C-B612-E3F9-99EE31018414}"/>
            </a:ext>
          </a:extLst>
        </xdr:cNvPr>
        <xdr:cNvCxnSpPr/>
      </xdr:nvCxnSpPr>
      <xdr:spPr>
        <a:xfrm>
          <a:off x="15097125" y="1674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103</xdr:row>
      <xdr:rowOff>19050</xdr:rowOff>
    </xdr:from>
    <xdr:to>
      <xdr:col>52</xdr:col>
      <xdr:colOff>67945</xdr:colOff>
      <xdr:row>103</xdr:row>
      <xdr:rowOff>133350</xdr:rowOff>
    </xdr:to>
    <xdr:sp macro="" textlink="">
      <xdr:nvSpPr>
        <xdr:cNvPr id="54600" name="100">
          <a:extLst>
            <a:ext uri="{FF2B5EF4-FFF2-40B4-BE49-F238E27FC236}">
              <a16:creationId xmlns:a16="http://schemas.microsoft.com/office/drawing/2014/main" id="{1FCD764C-D769-14E4-86DE-E9B107BCC81E}"/>
            </a:ext>
          </a:extLst>
        </xdr:cNvPr>
        <xdr:cNvSpPr/>
      </xdr:nvSpPr>
      <xdr:spPr>
        <a:xfrm>
          <a:off x="15097125" y="159258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103</xdr:row>
      <xdr:rowOff>76200</xdr:rowOff>
    </xdr:from>
    <xdr:to>
      <xdr:col>46</xdr:col>
      <xdr:colOff>123825</xdr:colOff>
      <xdr:row>103</xdr:row>
      <xdr:rowOff>76200</xdr:rowOff>
    </xdr:to>
    <xdr:cxnSp macro="">
      <xdr:nvCxnSpPr>
        <xdr:cNvPr id="54601" name="직선 화살표 연결선 54600">
          <a:extLst>
            <a:ext uri="{FF2B5EF4-FFF2-40B4-BE49-F238E27FC236}">
              <a16:creationId xmlns:a16="http://schemas.microsoft.com/office/drawing/2014/main" id="{F048C61D-47BB-A0E6-3824-2E98A64DA51F}"/>
            </a:ext>
          </a:extLst>
        </xdr:cNvPr>
        <xdr:cNvCxnSpPr/>
      </xdr:nvCxnSpPr>
      <xdr:spPr>
        <a:xfrm>
          <a:off x="15097125" y="1598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102</xdr:row>
      <xdr:rowOff>19050</xdr:rowOff>
    </xdr:from>
    <xdr:to>
      <xdr:col>52</xdr:col>
      <xdr:colOff>67945</xdr:colOff>
      <xdr:row>102</xdr:row>
      <xdr:rowOff>133350</xdr:rowOff>
    </xdr:to>
    <xdr:sp macro="" textlink="">
      <xdr:nvSpPr>
        <xdr:cNvPr id="54602" name="99">
          <a:extLst>
            <a:ext uri="{FF2B5EF4-FFF2-40B4-BE49-F238E27FC236}">
              <a16:creationId xmlns:a16="http://schemas.microsoft.com/office/drawing/2014/main" id="{3EF70D64-A0C1-A762-26B4-F8D5D3BA3844}"/>
            </a:ext>
          </a:extLst>
        </xdr:cNvPr>
        <xdr:cNvSpPr/>
      </xdr:nvSpPr>
      <xdr:spPr>
        <a:xfrm>
          <a:off x="15097125" y="157734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102</xdr:row>
      <xdr:rowOff>76200</xdr:rowOff>
    </xdr:from>
    <xdr:to>
      <xdr:col>46</xdr:col>
      <xdr:colOff>123825</xdr:colOff>
      <xdr:row>102</xdr:row>
      <xdr:rowOff>76200</xdr:rowOff>
    </xdr:to>
    <xdr:cxnSp macro="">
      <xdr:nvCxnSpPr>
        <xdr:cNvPr id="54603" name="직선 화살표 연결선 54602">
          <a:extLst>
            <a:ext uri="{FF2B5EF4-FFF2-40B4-BE49-F238E27FC236}">
              <a16:creationId xmlns:a16="http://schemas.microsoft.com/office/drawing/2014/main" id="{313FE1CB-D8D7-AFBB-D95A-7C616DCD2F04}"/>
            </a:ext>
          </a:extLst>
        </xdr:cNvPr>
        <xdr:cNvCxnSpPr/>
      </xdr:nvCxnSpPr>
      <xdr:spPr>
        <a:xfrm>
          <a:off x="15097125" y="1583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101</xdr:row>
      <xdr:rowOff>19050</xdr:rowOff>
    </xdr:from>
    <xdr:to>
      <xdr:col>52</xdr:col>
      <xdr:colOff>67945</xdr:colOff>
      <xdr:row>101</xdr:row>
      <xdr:rowOff>133350</xdr:rowOff>
    </xdr:to>
    <xdr:sp macro="" textlink="">
      <xdr:nvSpPr>
        <xdr:cNvPr id="54604" name="98">
          <a:extLst>
            <a:ext uri="{FF2B5EF4-FFF2-40B4-BE49-F238E27FC236}">
              <a16:creationId xmlns:a16="http://schemas.microsoft.com/office/drawing/2014/main" id="{F5A2E5A0-9C17-6F2A-5566-10D301A02B7C}"/>
            </a:ext>
          </a:extLst>
        </xdr:cNvPr>
        <xdr:cNvSpPr/>
      </xdr:nvSpPr>
      <xdr:spPr>
        <a:xfrm>
          <a:off x="15097125" y="15621000"/>
          <a:ext cx="744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101</xdr:row>
      <xdr:rowOff>76200</xdr:rowOff>
    </xdr:from>
    <xdr:to>
      <xdr:col>46</xdr:col>
      <xdr:colOff>123825</xdr:colOff>
      <xdr:row>101</xdr:row>
      <xdr:rowOff>76200</xdr:rowOff>
    </xdr:to>
    <xdr:cxnSp macro="">
      <xdr:nvCxnSpPr>
        <xdr:cNvPr id="54605" name="직선 화살표 연결선 54604">
          <a:extLst>
            <a:ext uri="{FF2B5EF4-FFF2-40B4-BE49-F238E27FC236}">
              <a16:creationId xmlns:a16="http://schemas.microsoft.com/office/drawing/2014/main" id="{3850ABC4-FA2F-D332-BABE-EB565C9FD0A4}"/>
            </a:ext>
          </a:extLst>
        </xdr:cNvPr>
        <xdr:cNvCxnSpPr/>
      </xdr:nvCxnSpPr>
      <xdr:spPr>
        <a:xfrm>
          <a:off x="15097125" y="1567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100</xdr:row>
      <xdr:rowOff>19050</xdr:rowOff>
    </xdr:from>
    <xdr:to>
      <xdr:col>51</xdr:col>
      <xdr:colOff>29845</xdr:colOff>
      <xdr:row>100</xdr:row>
      <xdr:rowOff>133350</xdr:rowOff>
    </xdr:to>
    <xdr:sp macro="" textlink="">
      <xdr:nvSpPr>
        <xdr:cNvPr id="54606" name="97">
          <a:extLst>
            <a:ext uri="{FF2B5EF4-FFF2-40B4-BE49-F238E27FC236}">
              <a16:creationId xmlns:a16="http://schemas.microsoft.com/office/drawing/2014/main" id="{4C6B5E20-07E6-EAC2-A594-DAF319165852}"/>
            </a:ext>
          </a:extLst>
        </xdr:cNvPr>
        <xdr:cNvSpPr/>
      </xdr:nvSpPr>
      <xdr:spPr>
        <a:xfrm>
          <a:off x="15097125" y="15468600"/>
          <a:ext cx="572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100</xdr:row>
      <xdr:rowOff>76200</xdr:rowOff>
    </xdr:from>
    <xdr:to>
      <xdr:col>46</xdr:col>
      <xdr:colOff>123825</xdr:colOff>
      <xdr:row>100</xdr:row>
      <xdr:rowOff>76200</xdr:rowOff>
    </xdr:to>
    <xdr:cxnSp macro="">
      <xdr:nvCxnSpPr>
        <xdr:cNvPr id="54607" name="직선 화살표 연결선 54606">
          <a:extLst>
            <a:ext uri="{FF2B5EF4-FFF2-40B4-BE49-F238E27FC236}">
              <a16:creationId xmlns:a16="http://schemas.microsoft.com/office/drawing/2014/main" id="{19FF8E45-43A5-5BEF-3F8D-161B34DC04CB}"/>
            </a:ext>
          </a:extLst>
        </xdr:cNvPr>
        <xdr:cNvCxnSpPr/>
      </xdr:nvCxnSpPr>
      <xdr:spPr>
        <a:xfrm>
          <a:off x="15097125" y="1552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81</xdr:row>
      <xdr:rowOff>19050</xdr:rowOff>
    </xdr:from>
    <xdr:to>
      <xdr:col>53</xdr:col>
      <xdr:colOff>67945</xdr:colOff>
      <xdr:row>81</xdr:row>
      <xdr:rowOff>133350</xdr:rowOff>
    </xdr:to>
    <xdr:sp macro="" textlink="">
      <xdr:nvSpPr>
        <xdr:cNvPr id="54608" name="78">
          <a:extLst>
            <a:ext uri="{FF2B5EF4-FFF2-40B4-BE49-F238E27FC236}">
              <a16:creationId xmlns:a16="http://schemas.microsoft.com/office/drawing/2014/main" id="{0B1ABAC4-36C9-0766-67B8-F4FE5FCB04B0}"/>
            </a:ext>
          </a:extLst>
        </xdr:cNvPr>
        <xdr:cNvSpPr/>
      </xdr:nvSpPr>
      <xdr:spPr>
        <a:xfrm>
          <a:off x="15097125" y="12573000"/>
          <a:ext cx="877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81</xdr:row>
      <xdr:rowOff>76200</xdr:rowOff>
    </xdr:from>
    <xdr:to>
      <xdr:col>46</xdr:col>
      <xdr:colOff>123825</xdr:colOff>
      <xdr:row>81</xdr:row>
      <xdr:rowOff>76200</xdr:rowOff>
    </xdr:to>
    <xdr:cxnSp macro="">
      <xdr:nvCxnSpPr>
        <xdr:cNvPr id="54609" name="직선 화살표 연결선 54608">
          <a:extLst>
            <a:ext uri="{FF2B5EF4-FFF2-40B4-BE49-F238E27FC236}">
              <a16:creationId xmlns:a16="http://schemas.microsoft.com/office/drawing/2014/main" id="{F6250926-AD33-461E-F9B5-A2D599C966FD}"/>
            </a:ext>
          </a:extLst>
        </xdr:cNvPr>
        <xdr:cNvCxnSpPr/>
      </xdr:nvCxnSpPr>
      <xdr:spPr>
        <a:xfrm>
          <a:off x="15097125" y="1263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80</xdr:row>
      <xdr:rowOff>19050</xdr:rowOff>
    </xdr:from>
    <xdr:to>
      <xdr:col>54</xdr:col>
      <xdr:colOff>67945</xdr:colOff>
      <xdr:row>80</xdr:row>
      <xdr:rowOff>133350</xdr:rowOff>
    </xdr:to>
    <xdr:sp macro="" textlink="">
      <xdr:nvSpPr>
        <xdr:cNvPr id="54610" name="77">
          <a:extLst>
            <a:ext uri="{FF2B5EF4-FFF2-40B4-BE49-F238E27FC236}">
              <a16:creationId xmlns:a16="http://schemas.microsoft.com/office/drawing/2014/main" id="{C0B879C3-7F71-30B3-5FF2-60B22FE4323E}"/>
            </a:ext>
          </a:extLst>
        </xdr:cNvPr>
        <xdr:cNvSpPr/>
      </xdr:nvSpPr>
      <xdr:spPr>
        <a:xfrm>
          <a:off x="15097125" y="12420600"/>
          <a:ext cx="1010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80</xdr:row>
      <xdr:rowOff>76200</xdr:rowOff>
    </xdr:from>
    <xdr:to>
      <xdr:col>46</xdr:col>
      <xdr:colOff>123825</xdr:colOff>
      <xdr:row>80</xdr:row>
      <xdr:rowOff>76200</xdr:rowOff>
    </xdr:to>
    <xdr:cxnSp macro="">
      <xdr:nvCxnSpPr>
        <xdr:cNvPr id="54611" name="직선 화살표 연결선 54610">
          <a:extLst>
            <a:ext uri="{FF2B5EF4-FFF2-40B4-BE49-F238E27FC236}">
              <a16:creationId xmlns:a16="http://schemas.microsoft.com/office/drawing/2014/main" id="{35ED089C-BCFC-968B-036C-FC19A7787A9F}"/>
            </a:ext>
          </a:extLst>
        </xdr:cNvPr>
        <xdr:cNvCxnSpPr/>
      </xdr:nvCxnSpPr>
      <xdr:spPr>
        <a:xfrm>
          <a:off x="15097125" y="1247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104775</xdr:colOff>
      <xdr:row>79</xdr:row>
      <xdr:rowOff>19050</xdr:rowOff>
    </xdr:from>
    <xdr:to>
      <xdr:col>43</xdr:col>
      <xdr:colOff>67945</xdr:colOff>
      <xdr:row>79</xdr:row>
      <xdr:rowOff>133350</xdr:rowOff>
    </xdr:to>
    <xdr:sp macro="" textlink="">
      <xdr:nvSpPr>
        <xdr:cNvPr id="54612" name="76">
          <a:extLst>
            <a:ext uri="{FF2B5EF4-FFF2-40B4-BE49-F238E27FC236}">
              <a16:creationId xmlns:a16="http://schemas.microsoft.com/office/drawing/2014/main" id="{247FE456-995E-B555-57BA-7DD96020000E}"/>
            </a:ext>
          </a:extLst>
        </xdr:cNvPr>
        <xdr:cNvSpPr/>
      </xdr:nvSpPr>
      <xdr:spPr>
        <a:xfrm>
          <a:off x="14277975" y="12268200"/>
          <a:ext cx="363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104775</xdr:colOff>
      <xdr:row>79</xdr:row>
      <xdr:rowOff>76200</xdr:rowOff>
    </xdr:from>
    <xdr:to>
      <xdr:col>43</xdr:col>
      <xdr:colOff>66675</xdr:colOff>
      <xdr:row>79</xdr:row>
      <xdr:rowOff>76200</xdr:rowOff>
    </xdr:to>
    <xdr:cxnSp macro="">
      <xdr:nvCxnSpPr>
        <xdr:cNvPr id="54613" name="직선 화살표 연결선 54612">
          <a:extLst>
            <a:ext uri="{FF2B5EF4-FFF2-40B4-BE49-F238E27FC236}">
              <a16:creationId xmlns:a16="http://schemas.microsoft.com/office/drawing/2014/main" id="{A234C722-9F70-D722-0132-997315DBE121}"/>
            </a:ext>
          </a:extLst>
        </xdr:cNvPr>
        <xdr:cNvCxnSpPr/>
      </xdr:nvCxnSpPr>
      <xdr:spPr>
        <a:xfrm>
          <a:off x="14277975" y="12325350"/>
          <a:ext cx="3619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78</xdr:row>
      <xdr:rowOff>19050</xdr:rowOff>
    </xdr:from>
    <xdr:to>
      <xdr:col>51</xdr:col>
      <xdr:colOff>67945</xdr:colOff>
      <xdr:row>78</xdr:row>
      <xdr:rowOff>133350</xdr:rowOff>
    </xdr:to>
    <xdr:sp macro="" textlink="">
      <xdr:nvSpPr>
        <xdr:cNvPr id="54614" name="75">
          <a:extLst>
            <a:ext uri="{FF2B5EF4-FFF2-40B4-BE49-F238E27FC236}">
              <a16:creationId xmlns:a16="http://schemas.microsoft.com/office/drawing/2014/main" id="{28AE159C-4CF8-6D2B-C14B-9108FE7559B6}"/>
            </a:ext>
          </a:extLst>
        </xdr:cNvPr>
        <xdr:cNvSpPr/>
      </xdr:nvSpPr>
      <xdr:spPr>
        <a:xfrm>
          <a:off x="15097125" y="121158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78</xdr:row>
      <xdr:rowOff>76200</xdr:rowOff>
    </xdr:from>
    <xdr:to>
      <xdr:col>49</xdr:col>
      <xdr:colOff>28575</xdr:colOff>
      <xdr:row>78</xdr:row>
      <xdr:rowOff>76200</xdr:rowOff>
    </xdr:to>
    <xdr:cxnSp macro="">
      <xdr:nvCxnSpPr>
        <xdr:cNvPr id="54615" name="직선 화살표 연결선 54614">
          <a:extLst>
            <a:ext uri="{FF2B5EF4-FFF2-40B4-BE49-F238E27FC236}">
              <a16:creationId xmlns:a16="http://schemas.microsoft.com/office/drawing/2014/main" id="{961F1655-5091-B0AA-64C3-C6F1FE07554F}"/>
            </a:ext>
          </a:extLst>
        </xdr:cNvPr>
        <xdr:cNvCxnSpPr/>
      </xdr:nvCxnSpPr>
      <xdr:spPr>
        <a:xfrm>
          <a:off x="15097125" y="121729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77</xdr:row>
      <xdr:rowOff>19050</xdr:rowOff>
    </xdr:from>
    <xdr:to>
      <xdr:col>51</xdr:col>
      <xdr:colOff>67945</xdr:colOff>
      <xdr:row>77</xdr:row>
      <xdr:rowOff>133350</xdr:rowOff>
    </xdr:to>
    <xdr:sp macro="" textlink="">
      <xdr:nvSpPr>
        <xdr:cNvPr id="54616" name="74">
          <a:extLst>
            <a:ext uri="{FF2B5EF4-FFF2-40B4-BE49-F238E27FC236}">
              <a16:creationId xmlns:a16="http://schemas.microsoft.com/office/drawing/2014/main" id="{1A7E0532-C55C-E73C-0E73-7CED8C06B822}"/>
            </a:ext>
          </a:extLst>
        </xdr:cNvPr>
        <xdr:cNvSpPr/>
      </xdr:nvSpPr>
      <xdr:spPr>
        <a:xfrm>
          <a:off x="15097125" y="119634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77</xdr:row>
      <xdr:rowOff>76200</xdr:rowOff>
    </xdr:from>
    <xdr:to>
      <xdr:col>49</xdr:col>
      <xdr:colOff>28575</xdr:colOff>
      <xdr:row>77</xdr:row>
      <xdr:rowOff>76200</xdr:rowOff>
    </xdr:to>
    <xdr:cxnSp macro="">
      <xdr:nvCxnSpPr>
        <xdr:cNvPr id="54617" name="직선 화살표 연결선 54616">
          <a:extLst>
            <a:ext uri="{FF2B5EF4-FFF2-40B4-BE49-F238E27FC236}">
              <a16:creationId xmlns:a16="http://schemas.microsoft.com/office/drawing/2014/main" id="{BAFA8A82-D0DC-3929-5523-DE5EA8AB2947}"/>
            </a:ext>
          </a:extLst>
        </xdr:cNvPr>
        <xdr:cNvCxnSpPr/>
      </xdr:nvCxnSpPr>
      <xdr:spPr>
        <a:xfrm>
          <a:off x="15097125" y="120205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76</xdr:row>
      <xdr:rowOff>19050</xdr:rowOff>
    </xdr:from>
    <xdr:to>
      <xdr:col>51</xdr:col>
      <xdr:colOff>67945</xdr:colOff>
      <xdr:row>76</xdr:row>
      <xdr:rowOff>133350</xdr:rowOff>
    </xdr:to>
    <xdr:sp macro="" textlink="">
      <xdr:nvSpPr>
        <xdr:cNvPr id="54618" name="73">
          <a:extLst>
            <a:ext uri="{FF2B5EF4-FFF2-40B4-BE49-F238E27FC236}">
              <a16:creationId xmlns:a16="http://schemas.microsoft.com/office/drawing/2014/main" id="{0A9842FE-CF81-1ADD-07C5-9B67EA65A667}"/>
            </a:ext>
          </a:extLst>
        </xdr:cNvPr>
        <xdr:cNvSpPr/>
      </xdr:nvSpPr>
      <xdr:spPr>
        <a:xfrm>
          <a:off x="15097125" y="118110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76</xdr:row>
      <xdr:rowOff>76200</xdr:rowOff>
    </xdr:from>
    <xdr:to>
      <xdr:col>49</xdr:col>
      <xdr:colOff>28575</xdr:colOff>
      <xdr:row>76</xdr:row>
      <xdr:rowOff>76200</xdr:rowOff>
    </xdr:to>
    <xdr:cxnSp macro="">
      <xdr:nvCxnSpPr>
        <xdr:cNvPr id="54619" name="직선 화살표 연결선 54618">
          <a:extLst>
            <a:ext uri="{FF2B5EF4-FFF2-40B4-BE49-F238E27FC236}">
              <a16:creationId xmlns:a16="http://schemas.microsoft.com/office/drawing/2014/main" id="{C9C4099C-BE06-CB0F-1D0C-4D340184586A}"/>
            </a:ext>
          </a:extLst>
        </xdr:cNvPr>
        <xdr:cNvCxnSpPr/>
      </xdr:nvCxnSpPr>
      <xdr:spPr>
        <a:xfrm>
          <a:off x="15097125" y="118681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75</xdr:row>
      <xdr:rowOff>19050</xdr:rowOff>
    </xdr:from>
    <xdr:to>
      <xdr:col>51</xdr:col>
      <xdr:colOff>67945</xdr:colOff>
      <xdr:row>75</xdr:row>
      <xdr:rowOff>133350</xdr:rowOff>
    </xdr:to>
    <xdr:sp macro="" textlink="">
      <xdr:nvSpPr>
        <xdr:cNvPr id="54620" name="72">
          <a:extLst>
            <a:ext uri="{FF2B5EF4-FFF2-40B4-BE49-F238E27FC236}">
              <a16:creationId xmlns:a16="http://schemas.microsoft.com/office/drawing/2014/main" id="{990D76C5-F4BF-8B38-7A1D-1155F1BDFA13}"/>
            </a:ext>
          </a:extLst>
        </xdr:cNvPr>
        <xdr:cNvSpPr/>
      </xdr:nvSpPr>
      <xdr:spPr>
        <a:xfrm>
          <a:off x="15097125" y="116586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75</xdr:row>
      <xdr:rowOff>76200</xdr:rowOff>
    </xdr:from>
    <xdr:to>
      <xdr:col>49</xdr:col>
      <xdr:colOff>28575</xdr:colOff>
      <xdr:row>75</xdr:row>
      <xdr:rowOff>76200</xdr:rowOff>
    </xdr:to>
    <xdr:cxnSp macro="">
      <xdr:nvCxnSpPr>
        <xdr:cNvPr id="54621" name="직선 화살표 연결선 54620">
          <a:extLst>
            <a:ext uri="{FF2B5EF4-FFF2-40B4-BE49-F238E27FC236}">
              <a16:creationId xmlns:a16="http://schemas.microsoft.com/office/drawing/2014/main" id="{E64B63F0-14C0-C59D-3DC7-57234A7AC3D0}"/>
            </a:ext>
          </a:extLst>
        </xdr:cNvPr>
        <xdr:cNvCxnSpPr/>
      </xdr:nvCxnSpPr>
      <xdr:spPr>
        <a:xfrm>
          <a:off x="15097125" y="117157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74</xdr:row>
      <xdr:rowOff>19050</xdr:rowOff>
    </xdr:from>
    <xdr:to>
      <xdr:col>51</xdr:col>
      <xdr:colOff>67945</xdr:colOff>
      <xdr:row>74</xdr:row>
      <xdr:rowOff>133350</xdr:rowOff>
    </xdr:to>
    <xdr:sp macro="" textlink="">
      <xdr:nvSpPr>
        <xdr:cNvPr id="54622" name="71">
          <a:extLst>
            <a:ext uri="{FF2B5EF4-FFF2-40B4-BE49-F238E27FC236}">
              <a16:creationId xmlns:a16="http://schemas.microsoft.com/office/drawing/2014/main" id="{66CEC87A-E721-649E-D3FB-C57028D0B8F3}"/>
            </a:ext>
          </a:extLst>
        </xdr:cNvPr>
        <xdr:cNvSpPr/>
      </xdr:nvSpPr>
      <xdr:spPr>
        <a:xfrm>
          <a:off x="15097125" y="115062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74</xdr:row>
      <xdr:rowOff>76200</xdr:rowOff>
    </xdr:from>
    <xdr:to>
      <xdr:col>49</xdr:col>
      <xdr:colOff>28575</xdr:colOff>
      <xdr:row>74</xdr:row>
      <xdr:rowOff>76200</xdr:rowOff>
    </xdr:to>
    <xdr:cxnSp macro="">
      <xdr:nvCxnSpPr>
        <xdr:cNvPr id="54623" name="직선 화살표 연결선 54622">
          <a:extLst>
            <a:ext uri="{FF2B5EF4-FFF2-40B4-BE49-F238E27FC236}">
              <a16:creationId xmlns:a16="http://schemas.microsoft.com/office/drawing/2014/main" id="{EB13B389-A48D-1017-E7F4-E54B38925F5E}"/>
            </a:ext>
          </a:extLst>
        </xdr:cNvPr>
        <xdr:cNvCxnSpPr/>
      </xdr:nvCxnSpPr>
      <xdr:spPr>
        <a:xfrm>
          <a:off x="15097125" y="115633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73</xdr:row>
      <xdr:rowOff>19050</xdr:rowOff>
    </xdr:from>
    <xdr:to>
      <xdr:col>51</xdr:col>
      <xdr:colOff>67945</xdr:colOff>
      <xdr:row>73</xdr:row>
      <xdr:rowOff>133350</xdr:rowOff>
    </xdr:to>
    <xdr:sp macro="" textlink="">
      <xdr:nvSpPr>
        <xdr:cNvPr id="54624" name="70">
          <a:extLst>
            <a:ext uri="{FF2B5EF4-FFF2-40B4-BE49-F238E27FC236}">
              <a16:creationId xmlns:a16="http://schemas.microsoft.com/office/drawing/2014/main" id="{7B6609A9-28EA-C0C1-4C33-366897853013}"/>
            </a:ext>
          </a:extLst>
        </xdr:cNvPr>
        <xdr:cNvSpPr/>
      </xdr:nvSpPr>
      <xdr:spPr>
        <a:xfrm>
          <a:off x="15097125" y="113538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73</xdr:row>
      <xdr:rowOff>76200</xdr:rowOff>
    </xdr:from>
    <xdr:to>
      <xdr:col>49</xdr:col>
      <xdr:colOff>28575</xdr:colOff>
      <xdr:row>73</xdr:row>
      <xdr:rowOff>76200</xdr:rowOff>
    </xdr:to>
    <xdr:cxnSp macro="">
      <xdr:nvCxnSpPr>
        <xdr:cNvPr id="54625" name="직선 화살표 연결선 54624">
          <a:extLst>
            <a:ext uri="{FF2B5EF4-FFF2-40B4-BE49-F238E27FC236}">
              <a16:creationId xmlns:a16="http://schemas.microsoft.com/office/drawing/2014/main" id="{62D5E1B9-408D-11CD-D4DB-94D505F63F0D}"/>
            </a:ext>
          </a:extLst>
        </xdr:cNvPr>
        <xdr:cNvCxnSpPr/>
      </xdr:nvCxnSpPr>
      <xdr:spPr>
        <a:xfrm>
          <a:off x="15097125" y="114109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72</xdr:row>
      <xdr:rowOff>19050</xdr:rowOff>
    </xdr:from>
    <xdr:to>
      <xdr:col>51</xdr:col>
      <xdr:colOff>67945</xdr:colOff>
      <xdr:row>72</xdr:row>
      <xdr:rowOff>133350</xdr:rowOff>
    </xdr:to>
    <xdr:sp macro="" textlink="">
      <xdr:nvSpPr>
        <xdr:cNvPr id="54626" name="69">
          <a:extLst>
            <a:ext uri="{FF2B5EF4-FFF2-40B4-BE49-F238E27FC236}">
              <a16:creationId xmlns:a16="http://schemas.microsoft.com/office/drawing/2014/main" id="{2F204B48-2FF1-47FA-B306-57979213D68D}"/>
            </a:ext>
          </a:extLst>
        </xdr:cNvPr>
        <xdr:cNvSpPr/>
      </xdr:nvSpPr>
      <xdr:spPr>
        <a:xfrm>
          <a:off x="15097125" y="112014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72</xdr:row>
      <xdr:rowOff>76200</xdr:rowOff>
    </xdr:from>
    <xdr:to>
      <xdr:col>49</xdr:col>
      <xdr:colOff>28575</xdr:colOff>
      <xdr:row>72</xdr:row>
      <xdr:rowOff>76200</xdr:rowOff>
    </xdr:to>
    <xdr:cxnSp macro="">
      <xdr:nvCxnSpPr>
        <xdr:cNvPr id="54627" name="직선 화살표 연결선 54626">
          <a:extLst>
            <a:ext uri="{FF2B5EF4-FFF2-40B4-BE49-F238E27FC236}">
              <a16:creationId xmlns:a16="http://schemas.microsoft.com/office/drawing/2014/main" id="{0823BD8D-1111-97A6-1BAB-B3B40A1759C5}"/>
            </a:ext>
          </a:extLst>
        </xdr:cNvPr>
        <xdr:cNvCxnSpPr/>
      </xdr:nvCxnSpPr>
      <xdr:spPr>
        <a:xfrm>
          <a:off x="15097125" y="112585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71</xdr:row>
      <xdr:rowOff>19050</xdr:rowOff>
    </xdr:from>
    <xdr:to>
      <xdr:col>51</xdr:col>
      <xdr:colOff>67945</xdr:colOff>
      <xdr:row>71</xdr:row>
      <xdr:rowOff>133350</xdr:rowOff>
    </xdr:to>
    <xdr:sp macro="" textlink="">
      <xdr:nvSpPr>
        <xdr:cNvPr id="54628" name="68">
          <a:extLst>
            <a:ext uri="{FF2B5EF4-FFF2-40B4-BE49-F238E27FC236}">
              <a16:creationId xmlns:a16="http://schemas.microsoft.com/office/drawing/2014/main" id="{BFF50D7B-256C-CE40-0BD1-9284D7BA1318}"/>
            </a:ext>
          </a:extLst>
        </xdr:cNvPr>
        <xdr:cNvSpPr/>
      </xdr:nvSpPr>
      <xdr:spPr>
        <a:xfrm>
          <a:off x="15097125" y="110490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71</xdr:row>
      <xdr:rowOff>76200</xdr:rowOff>
    </xdr:from>
    <xdr:to>
      <xdr:col>49</xdr:col>
      <xdr:colOff>28575</xdr:colOff>
      <xdr:row>71</xdr:row>
      <xdr:rowOff>76200</xdr:rowOff>
    </xdr:to>
    <xdr:cxnSp macro="">
      <xdr:nvCxnSpPr>
        <xdr:cNvPr id="54629" name="직선 화살표 연결선 54628">
          <a:extLst>
            <a:ext uri="{FF2B5EF4-FFF2-40B4-BE49-F238E27FC236}">
              <a16:creationId xmlns:a16="http://schemas.microsoft.com/office/drawing/2014/main" id="{C4BA262B-97F7-36B3-F445-031937E268A0}"/>
            </a:ext>
          </a:extLst>
        </xdr:cNvPr>
        <xdr:cNvCxnSpPr/>
      </xdr:nvCxnSpPr>
      <xdr:spPr>
        <a:xfrm>
          <a:off x="15097125" y="111061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70</xdr:row>
      <xdr:rowOff>19050</xdr:rowOff>
    </xdr:from>
    <xdr:to>
      <xdr:col>51</xdr:col>
      <xdr:colOff>67945</xdr:colOff>
      <xdr:row>70</xdr:row>
      <xdr:rowOff>133350</xdr:rowOff>
    </xdr:to>
    <xdr:sp macro="" textlink="">
      <xdr:nvSpPr>
        <xdr:cNvPr id="54630" name="67">
          <a:extLst>
            <a:ext uri="{FF2B5EF4-FFF2-40B4-BE49-F238E27FC236}">
              <a16:creationId xmlns:a16="http://schemas.microsoft.com/office/drawing/2014/main" id="{E4824774-986C-E9A9-35A8-F34A5BF7DAE3}"/>
            </a:ext>
          </a:extLst>
        </xdr:cNvPr>
        <xdr:cNvSpPr/>
      </xdr:nvSpPr>
      <xdr:spPr>
        <a:xfrm>
          <a:off x="15097125" y="108966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70</xdr:row>
      <xdr:rowOff>76200</xdr:rowOff>
    </xdr:from>
    <xdr:to>
      <xdr:col>49</xdr:col>
      <xdr:colOff>28575</xdr:colOff>
      <xdr:row>70</xdr:row>
      <xdr:rowOff>76200</xdr:rowOff>
    </xdr:to>
    <xdr:cxnSp macro="">
      <xdr:nvCxnSpPr>
        <xdr:cNvPr id="54631" name="직선 화살표 연결선 54630">
          <a:extLst>
            <a:ext uri="{FF2B5EF4-FFF2-40B4-BE49-F238E27FC236}">
              <a16:creationId xmlns:a16="http://schemas.microsoft.com/office/drawing/2014/main" id="{8433EEC1-C1F4-646C-2887-92193238FBFC}"/>
            </a:ext>
          </a:extLst>
        </xdr:cNvPr>
        <xdr:cNvCxnSpPr/>
      </xdr:nvCxnSpPr>
      <xdr:spPr>
        <a:xfrm>
          <a:off x="15097125" y="109537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69</xdr:row>
      <xdr:rowOff>19050</xdr:rowOff>
    </xdr:from>
    <xdr:to>
      <xdr:col>51</xdr:col>
      <xdr:colOff>67945</xdr:colOff>
      <xdr:row>69</xdr:row>
      <xdr:rowOff>133350</xdr:rowOff>
    </xdr:to>
    <xdr:sp macro="" textlink="">
      <xdr:nvSpPr>
        <xdr:cNvPr id="54632" name="66">
          <a:extLst>
            <a:ext uri="{FF2B5EF4-FFF2-40B4-BE49-F238E27FC236}">
              <a16:creationId xmlns:a16="http://schemas.microsoft.com/office/drawing/2014/main" id="{B344A9A3-0E3B-16CE-7459-53B56279AD1D}"/>
            </a:ext>
          </a:extLst>
        </xdr:cNvPr>
        <xdr:cNvSpPr/>
      </xdr:nvSpPr>
      <xdr:spPr>
        <a:xfrm>
          <a:off x="15097125" y="107442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69</xdr:row>
      <xdr:rowOff>76200</xdr:rowOff>
    </xdr:from>
    <xdr:to>
      <xdr:col>49</xdr:col>
      <xdr:colOff>28575</xdr:colOff>
      <xdr:row>69</xdr:row>
      <xdr:rowOff>76200</xdr:rowOff>
    </xdr:to>
    <xdr:cxnSp macro="">
      <xdr:nvCxnSpPr>
        <xdr:cNvPr id="54633" name="직선 화살표 연결선 54632">
          <a:extLst>
            <a:ext uri="{FF2B5EF4-FFF2-40B4-BE49-F238E27FC236}">
              <a16:creationId xmlns:a16="http://schemas.microsoft.com/office/drawing/2014/main" id="{24897230-E496-EC0C-0C27-FC7109E008FD}"/>
            </a:ext>
          </a:extLst>
        </xdr:cNvPr>
        <xdr:cNvCxnSpPr/>
      </xdr:nvCxnSpPr>
      <xdr:spPr>
        <a:xfrm>
          <a:off x="15097125" y="108013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68</xdr:row>
      <xdr:rowOff>19050</xdr:rowOff>
    </xdr:from>
    <xdr:to>
      <xdr:col>51</xdr:col>
      <xdr:colOff>67945</xdr:colOff>
      <xdr:row>68</xdr:row>
      <xdr:rowOff>133350</xdr:rowOff>
    </xdr:to>
    <xdr:sp macro="" textlink="">
      <xdr:nvSpPr>
        <xdr:cNvPr id="54634" name="65">
          <a:extLst>
            <a:ext uri="{FF2B5EF4-FFF2-40B4-BE49-F238E27FC236}">
              <a16:creationId xmlns:a16="http://schemas.microsoft.com/office/drawing/2014/main" id="{C417208C-34DB-029F-EB9C-784246CB27A2}"/>
            </a:ext>
          </a:extLst>
        </xdr:cNvPr>
        <xdr:cNvSpPr/>
      </xdr:nvSpPr>
      <xdr:spPr>
        <a:xfrm>
          <a:off x="15097125" y="105918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68</xdr:row>
      <xdr:rowOff>76200</xdr:rowOff>
    </xdr:from>
    <xdr:to>
      <xdr:col>49</xdr:col>
      <xdr:colOff>28575</xdr:colOff>
      <xdr:row>68</xdr:row>
      <xdr:rowOff>76200</xdr:rowOff>
    </xdr:to>
    <xdr:cxnSp macro="">
      <xdr:nvCxnSpPr>
        <xdr:cNvPr id="54635" name="직선 화살표 연결선 54634">
          <a:extLst>
            <a:ext uri="{FF2B5EF4-FFF2-40B4-BE49-F238E27FC236}">
              <a16:creationId xmlns:a16="http://schemas.microsoft.com/office/drawing/2014/main" id="{382AFF3B-269E-2865-5395-ACD57DFCDBB2}"/>
            </a:ext>
          </a:extLst>
        </xdr:cNvPr>
        <xdr:cNvCxnSpPr/>
      </xdr:nvCxnSpPr>
      <xdr:spPr>
        <a:xfrm>
          <a:off x="15097125" y="106489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67</xdr:row>
      <xdr:rowOff>19050</xdr:rowOff>
    </xdr:from>
    <xdr:to>
      <xdr:col>51</xdr:col>
      <xdr:colOff>67945</xdr:colOff>
      <xdr:row>67</xdr:row>
      <xdr:rowOff>133350</xdr:rowOff>
    </xdr:to>
    <xdr:sp macro="" textlink="">
      <xdr:nvSpPr>
        <xdr:cNvPr id="54636" name="64">
          <a:extLst>
            <a:ext uri="{FF2B5EF4-FFF2-40B4-BE49-F238E27FC236}">
              <a16:creationId xmlns:a16="http://schemas.microsoft.com/office/drawing/2014/main" id="{18176236-BA68-6DFC-F166-14CC2630AC5F}"/>
            </a:ext>
          </a:extLst>
        </xdr:cNvPr>
        <xdr:cNvSpPr/>
      </xdr:nvSpPr>
      <xdr:spPr>
        <a:xfrm>
          <a:off x="15097125" y="104394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67</xdr:row>
      <xdr:rowOff>76200</xdr:rowOff>
    </xdr:from>
    <xdr:to>
      <xdr:col>46</xdr:col>
      <xdr:colOff>123825</xdr:colOff>
      <xdr:row>67</xdr:row>
      <xdr:rowOff>76200</xdr:rowOff>
    </xdr:to>
    <xdr:cxnSp macro="">
      <xdr:nvCxnSpPr>
        <xdr:cNvPr id="54637" name="직선 화살표 연결선 54636">
          <a:extLst>
            <a:ext uri="{FF2B5EF4-FFF2-40B4-BE49-F238E27FC236}">
              <a16:creationId xmlns:a16="http://schemas.microsoft.com/office/drawing/2014/main" id="{8B86C522-1C37-E48E-1A64-283DA41AC4BE}"/>
            </a:ext>
          </a:extLst>
        </xdr:cNvPr>
        <xdr:cNvCxnSpPr/>
      </xdr:nvCxnSpPr>
      <xdr:spPr>
        <a:xfrm>
          <a:off x="15097125"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66</xdr:row>
      <xdr:rowOff>19050</xdr:rowOff>
    </xdr:from>
    <xdr:to>
      <xdr:col>51</xdr:col>
      <xdr:colOff>67945</xdr:colOff>
      <xdr:row>66</xdr:row>
      <xdr:rowOff>133350</xdr:rowOff>
    </xdr:to>
    <xdr:sp macro="" textlink="">
      <xdr:nvSpPr>
        <xdr:cNvPr id="54638" name="63">
          <a:extLst>
            <a:ext uri="{FF2B5EF4-FFF2-40B4-BE49-F238E27FC236}">
              <a16:creationId xmlns:a16="http://schemas.microsoft.com/office/drawing/2014/main" id="{45E7F9E6-B3BB-C474-BD2F-F974A14B1A3D}"/>
            </a:ext>
          </a:extLst>
        </xdr:cNvPr>
        <xdr:cNvSpPr/>
      </xdr:nvSpPr>
      <xdr:spPr>
        <a:xfrm>
          <a:off x="15097125" y="102870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66</xdr:row>
      <xdr:rowOff>76200</xdr:rowOff>
    </xdr:from>
    <xdr:to>
      <xdr:col>49</xdr:col>
      <xdr:colOff>28575</xdr:colOff>
      <xdr:row>66</xdr:row>
      <xdr:rowOff>76200</xdr:rowOff>
    </xdr:to>
    <xdr:cxnSp macro="">
      <xdr:nvCxnSpPr>
        <xdr:cNvPr id="54639" name="직선 화살표 연결선 54638">
          <a:extLst>
            <a:ext uri="{FF2B5EF4-FFF2-40B4-BE49-F238E27FC236}">
              <a16:creationId xmlns:a16="http://schemas.microsoft.com/office/drawing/2014/main" id="{30B984CA-55F8-389E-BFD6-9A8E2524EC06}"/>
            </a:ext>
          </a:extLst>
        </xdr:cNvPr>
        <xdr:cNvCxnSpPr/>
      </xdr:nvCxnSpPr>
      <xdr:spPr>
        <a:xfrm>
          <a:off x="15097125" y="103441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65</xdr:row>
      <xdr:rowOff>19050</xdr:rowOff>
    </xdr:from>
    <xdr:to>
      <xdr:col>51</xdr:col>
      <xdr:colOff>67945</xdr:colOff>
      <xdr:row>65</xdr:row>
      <xdr:rowOff>133350</xdr:rowOff>
    </xdr:to>
    <xdr:sp macro="" textlink="">
      <xdr:nvSpPr>
        <xdr:cNvPr id="54640" name="62">
          <a:extLst>
            <a:ext uri="{FF2B5EF4-FFF2-40B4-BE49-F238E27FC236}">
              <a16:creationId xmlns:a16="http://schemas.microsoft.com/office/drawing/2014/main" id="{20B05D0A-C437-FBC4-B133-6243454D0443}"/>
            </a:ext>
          </a:extLst>
        </xdr:cNvPr>
        <xdr:cNvSpPr/>
      </xdr:nvSpPr>
      <xdr:spPr>
        <a:xfrm>
          <a:off x="15097125" y="101346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65</xdr:row>
      <xdr:rowOff>76200</xdr:rowOff>
    </xdr:from>
    <xdr:to>
      <xdr:col>49</xdr:col>
      <xdr:colOff>28575</xdr:colOff>
      <xdr:row>65</xdr:row>
      <xdr:rowOff>76200</xdr:rowOff>
    </xdr:to>
    <xdr:cxnSp macro="">
      <xdr:nvCxnSpPr>
        <xdr:cNvPr id="54641" name="직선 화살표 연결선 54640">
          <a:extLst>
            <a:ext uri="{FF2B5EF4-FFF2-40B4-BE49-F238E27FC236}">
              <a16:creationId xmlns:a16="http://schemas.microsoft.com/office/drawing/2014/main" id="{385465D6-CCB8-6AC2-1D45-550E25C70422}"/>
            </a:ext>
          </a:extLst>
        </xdr:cNvPr>
        <xdr:cNvCxnSpPr/>
      </xdr:nvCxnSpPr>
      <xdr:spPr>
        <a:xfrm>
          <a:off x="15097125" y="1019175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64</xdr:row>
      <xdr:rowOff>19050</xdr:rowOff>
    </xdr:from>
    <xdr:to>
      <xdr:col>51</xdr:col>
      <xdr:colOff>67945</xdr:colOff>
      <xdr:row>64</xdr:row>
      <xdr:rowOff>133350</xdr:rowOff>
    </xdr:to>
    <xdr:sp macro="" textlink="">
      <xdr:nvSpPr>
        <xdr:cNvPr id="54642" name="61">
          <a:extLst>
            <a:ext uri="{FF2B5EF4-FFF2-40B4-BE49-F238E27FC236}">
              <a16:creationId xmlns:a16="http://schemas.microsoft.com/office/drawing/2014/main" id="{33653E14-12C1-6516-F7B9-94E6D80D9EAF}"/>
            </a:ext>
          </a:extLst>
        </xdr:cNvPr>
        <xdr:cNvSpPr/>
      </xdr:nvSpPr>
      <xdr:spPr>
        <a:xfrm>
          <a:off x="15097125" y="99822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64</xdr:row>
      <xdr:rowOff>76200</xdr:rowOff>
    </xdr:from>
    <xdr:to>
      <xdr:col>46</xdr:col>
      <xdr:colOff>123825</xdr:colOff>
      <xdr:row>64</xdr:row>
      <xdr:rowOff>76200</xdr:rowOff>
    </xdr:to>
    <xdr:cxnSp macro="">
      <xdr:nvCxnSpPr>
        <xdr:cNvPr id="54643" name="직선 화살표 연결선 54642">
          <a:extLst>
            <a:ext uri="{FF2B5EF4-FFF2-40B4-BE49-F238E27FC236}">
              <a16:creationId xmlns:a16="http://schemas.microsoft.com/office/drawing/2014/main" id="{3401F65A-7ADB-D86D-718A-645B0248C4CC}"/>
            </a:ext>
          </a:extLst>
        </xdr:cNvPr>
        <xdr:cNvCxnSpPr/>
      </xdr:nvCxnSpPr>
      <xdr:spPr>
        <a:xfrm>
          <a:off x="15097125"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63</xdr:row>
      <xdr:rowOff>19050</xdr:rowOff>
    </xdr:from>
    <xdr:to>
      <xdr:col>51</xdr:col>
      <xdr:colOff>67945</xdr:colOff>
      <xdr:row>63</xdr:row>
      <xdr:rowOff>133350</xdr:rowOff>
    </xdr:to>
    <xdr:sp macro="" textlink="">
      <xdr:nvSpPr>
        <xdr:cNvPr id="54644" name="60">
          <a:extLst>
            <a:ext uri="{FF2B5EF4-FFF2-40B4-BE49-F238E27FC236}">
              <a16:creationId xmlns:a16="http://schemas.microsoft.com/office/drawing/2014/main" id="{34FC26AF-1816-0E19-AA0F-3FC71FD01DDD}"/>
            </a:ext>
          </a:extLst>
        </xdr:cNvPr>
        <xdr:cNvSpPr/>
      </xdr:nvSpPr>
      <xdr:spPr>
        <a:xfrm>
          <a:off x="15097125" y="9829800"/>
          <a:ext cx="610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63</xdr:row>
      <xdr:rowOff>76200</xdr:rowOff>
    </xdr:from>
    <xdr:to>
      <xdr:col>48</xdr:col>
      <xdr:colOff>121286</xdr:colOff>
      <xdr:row>63</xdr:row>
      <xdr:rowOff>76200</xdr:rowOff>
    </xdr:to>
    <xdr:cxnSp macro="">
      <xdr:nvCxnSpPr>
        <xdr:cNvPr id="54645" name="직선 화살표 연결선 54644">
          <a:extLst>
            <a:ext uri="{FF2B5EF4-FFF2-40B4-BE49-F238E27FC236}">
              <a16:creationId xmlns:a16="http://schemas.microsoft.com/office/drawing/2014/main" id="{71098C74-A491-2B12-0F59-A4883A475565}"/>
            </a:ext>
          </a:extLst>
        </xdr:cNvPr>
        <xdr:cNvCxnSpPr/>
      </xdr:nvCxnSpPr>
      <xdr:spPr>
        <a:xfrm>
          <a:off x="15097125" y="9886950"/>
          <a:ext cx="264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62</xdr:row>
      <xdr:rowOff>19050</xdr:rowOff>
    </xdr:from>
    <xdr:to>
      <xdr:col>42</xdr:col>
      <xdr:colOff>67945</xdr:colOff>
      <xdr:row>62</xdr:row>
      <xdr:rowOff>133350</xdr:rowOff>
    </xdr:to>
    <xdr:sp macro="" textlink="">
      <xdr:nvSpPr>
        <xdr:cNvPr id="54646" name="59">
          <a:extLst>
            <a:ext uri="{FF2B5EF4-FFF2-40B4-BE49-F238E27FC236}">
              <a16:creationId xmlns:a16="http://schemas.microsoft.com/office/drawing/2014/main" id="{FE93C815-07C7-EA1B-3FA5-9EF9BF3CBD8E}"/>
            </a:ext>
          </a:extLst>
        </xdr:cNvPr>
        <xdr:cNvSpPr/>
      </xdr:nvSpPr>
      <xdr:spPr>
        <a:xfrm>
          <a:off x="14144625" y="9677400"/>
          <a:ext cx="3632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62</xdr:row>
      <xdr:rowOff>76200</xdr:rowOff>
    </xdr:from>
    <xdr:to>
      <xdr:col>42</xdr:col>
      <xdr:colOff>30480</xdr:colOff>
      <xdr:row>62</xdr:row>
      <xdr:rowOff>76200</xdr:rowOff>
    </xdr:to>
    <xdr:cxnSp macro="">
      <xdr:nvCxnSpPr>
        <xdr:cNvPr id="54647" name="직선 화살표 연결선 54646">
          <a:extLst>
            <a:ext uri="{FF2B5EF4-FFF2-40B4-BE49-F238E27FC236}">
              <a16:creationId xmlns:a16="http://schemas.microsoft.com/office/drawing/2014/main" id="{D9C3F289-3FBF-94D7-FA84-1FE12FD3562D}"/>
            </a:ext>
          </a:extLst>
        </xdr:cNvPr>
        <xdr:cNvCxnSpPr/>
      </xdr:nvCxnSpPr>
      <xdr:spPr>
        <a:xfrm>
          <a:off x="14144625" y="9734550"/>
          <a:ext cx="325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61</xdr:row>
      <xdr:rowOff>19050</xdr:rowOff>
    </xdr:from>
    <xdr:to>
      <xdr:col>59</xdr:col>
      <xdr:colOff>125095</xdr:colOff>
      <xdr:row>61</xdr:row>
      <xdr:rowOff>133350</xdr:rowOff>
    </xdr:to>
    <xdr:sp macro="" textlink="">
      <xdr:nvSpPr>
        <xdr:cNvPr id="54648" name="58">
          <a:extLst>
            <a:ext uri="{FF2B5EF4-FFF2-40B4-BE49-F238E27FC236}">
              <a16:creationId xmlns:a16="http://schemas.microsoft.com/office/drawing/2014/main" id="{08E19D09-CBB0-510E-5364-D689D7E1BE45}"/>
            </a:ext>
          </a:extLst>
        </xdr:cNvPr>
        <xdr:cNvSpPr/>
      </xdr:nvSpPr>
      <xdr:spPr>
        <a:xfrm>
          <a:off x="14144625" y="9525000"/>
          <a:ext cx="26873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61</xdr:row>
      <xdr:rowOff>76200</xdr:rowOff>
    </xdr:from>
    <xdr:to>
      <xdr:col>44</xdr:col>
      <xdr:colOff>119962</xdr:colOff>
      <xdr:row>61</xdr:row>
      <xdr:rowOff>76200</xdr:rowOff>
    </xdr:to>
    <xdr:cxnSp macro="">
      <xdr:nvCxnSpPr>
        <xdr:cNvPr id="54649" name="직선 화살표 연결선 54648">
          <a:extLst>
            <a:ext uri="{FF2B5EF4-FFF2-40B4-BE49-F238E27FC236}">
              <a16:creationId xmlns:a16="http://schemas.microsoft.com/office/drawing/2014/main" id="{3E55A4BA-0617-120C-C836-C93D668D3E2F}"/>
            </a:ext>
          </a:extLst>
        </xdr:cNvPr>
        <xdr:cNvCxnSpPr/>
      </xdr:nvCxnSpPr>
      <xdr:spPr>
        <a:xfrm>
          <a:off x="14144625" y="9582150"/>
          <a:ext cx="6819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60</xdr:row>
      <xdr:rowOff>19050</xdr:rowOff>
    </xdr:from>
    <xdr:to>
      <xdr:col>59</xdr:col>
      <xdr:colOff>125095</xdr:colOff>
      <xdr:row>60</xdr:row>
      <xdr:rowOff>133350</xdr:rowOff>
    </xdr:to>
    <xdr:sp macro="" textlink="">
      <xdr:nvSpPr>
        <xdr:cNvPr id="54650" name="57">
          <a:extLst>
            <a:ext uri="{FF2B5EF4-FFF2-40B4-BE49-F238E27FC236}">
              <a16:creationId xmlns:a16="http://schemas.microsoft.com/office/drawing/2014/main" id="{13D157B2-9DA7-9F2C-AB11-8CAF5E7D2827}"/>
            </a:ext>
          </a:extLst>
        </xdr:cNvPr>
        <xdr:cNvSpPr/>
      </xdr:nvSpPr>
      <xdr:spPr>
        <a:xfrm>
          <a:off x="14144625" y="9372600"/>
          <a:ext cx="26873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60</xdr:row>
      <xdr:rowOff>76200</xdr:rowOff>
    </xdr:from>
    <xdr:to>
      <xdr:col>45</xdr:col>
      <xdr:colOff>24318</xdr:colOff>
      <xdr:row>60</xdr:row>
      <xdr:rowOff>76200</xdr:rowOff>
    </xdr:to>
    <xdr:cxnSp macro="">
      <xdr:nvCxnSpPr>
        <xdr:cNvPr id="54651" name="직선 화살표 연결선 54650">
          <a:extLst>
            <a:ext uri="{FF2B5EF4-FFF2-40B4-BE49-F238E27FC236}">
              <a16:creationId xmlns:a16="http://schemas.microsoft.com/office/drawing/2014/main" id="{62E5645E-AACF-AB91-1B72-CF83B5CE7F0A}"/>
            </a:ext>
          </a:extLst>
        </xdr:cNvPr>
        <xdr:cNvCxnSpPr/>
      </xdr:nvCxnSpPr>
      <xdr:spPr>
        <a:xfrm>
          <a:off x="14144625" y="9429750"/>
          <a:ext cx="719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59</xdr:row>
      <xdr:rowOff>19050</xdr:rowOff>
    </xdr:from>
    <xdr:to>
      <xdr:col>51</xdr:col>
      <xdr:colOff>67945</xdr:colOff>
      <xdr:row>59</xdr:row>
      <xdr:rowOff>133350</xdr:rowOff>
    </xdr:to>
    <xdr:sp macro="" textlink="">
      <xdr:nvSpPr>
        <xdr:cNvPr id="54652" name="56">
          <a:extLst>
            <a:ext uri="{FF2B5EF4-FFF2-40B4-BE49-F238E27FC236}">
              <a16:creationId xmlns:a16="http://schemas.microsoft.com/office/drawing/2014/main" id="{8FC470B7-1726-2C33-B847-464B6504CDF8}"/>
            </a:ext>
          </a:extLst>
        </xdr:cNvPr>
        <xdr:cNvSpPr/>
      </xdr:nvSpPr>
      <xdr:spPr>
        <a:xfrm>
          <a:off x="15097125" y="9220200"/>
          <a:ext cx="610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59</xdr:row>
      <xdr:rowOff>76200</xdr:rowOff>
    </xdr:from>
    <xdr:to>
      <xdr:col>49</xdr:col>
      <xdr:colOff>77343</xdr:colOff>
      <xdr:row>59</xdr:row>
      <xdr:rowOff>76200</xdr:rowOff>
    </xdr:to>
    <xdr:cxnSp macro="">
      <xdr:nvCxnSpPr>
        <xdr:cNvPr id="54653" name="직선 화살표 연결선 54652">
          <a:extLst>
            <a:ext uri="{FF2B5EF4-FFF2-40B4-BE49-F238E27FC236}">
              <a16:creationId xmlns:a16="http://schemas.microsoft.com/office/drawing/2014/main" id="{4A46B248-DF14-FFE8-2CD9-7055486A2E91}"/>
            </a:ext>
          </a:extLst>
        </xdr:cNvPr>
        <xdr:cNvCxnSpPr/>
      </xdr:nvCxnSpPr>
      <xdr:spPr>
        <a:xfrm>
          <a:off x="15097125" y="9277350"/>
          <a:ext cx="353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58</xdr:row>
      <xdr:rowOff>19050</xdr:rowOff>
    </xdr:from>
    <xdr:to>
      <xdr:col>37</xdr:col>
      <xdr:colOff>67945</xdr:colOff>
      <xdr:row>58</xdr:row>
      <xdr:rowOff>133350</xdr:rowOff>
    </xdr:to>
    <xdr:sp macro="" textlink="">
      <xdr:nvSpPr>
        <xdr:cNvPr id="54654" name="55">
          <a:extLst>
            <a:ext uri="{FF2B5EF4-FFF2-40B4-BE49-F238E27FC236}">
              <a16:creationId xmlns:a16="http://schemas.microsoft.com/office/drawing/2014/main" id="{61BA764C-C18E-3269-3B92-54DEC37C96C7}"/>
            </a:ext>
          </a:extLst>
        </xdr:cNvPr>
        <xdr:cNvSpPr/>
      </xdr:nvSpPr>
      <xdr:spPr>
        <a:xfrm>
          <a:off x="13611225" y="90678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58</xdr:row>
      <xdr:rowOff>76200</xdr:rowOff>
    </xdr:from>
    <xdr:to>
      <xdr:col>37</xdr:col>
      <xdr:colOff>66675</xdr:colOff>
      <xdr:row>58</xdr:row>
      <xdr:rowOff>76200</xdr:rowOff>
    </xdr:to>
    <xdr:cxnSp macro="">
      <xdr:nvCxnSpPr>
        <xdr:cNvPr id="54655" name="직선 화살표 연결선 54654">
          <a:extLst>
            <a:ext uri="{FF2B5EF4-FFF2-40B4-BE49-F238E27FC236}">
              <a16:creationId xmlns:a16="http://schemas.microsoft.com/office/drawing/2014/main" id="{E84E68AB-178F-7DDB-540B-5301478A50FA}"/>
            </a:ext>
          </a:extLst>
        </xdr:cNvPr>
        <xdr:cNvCxnSpPr/>
      </xdr:nvCxnSpPr>
      <xdr:spPr>
        <a:xfrm>
          <a:off x="13611225" y="912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57</xdr:row>
      <xdr:rowOff>19050</xdr:rowOff>
    </xdr:from>
    <xdr:to>
      <xdr:col>39</xdr:col>
      <xdr:colOff>67945</xdr:colOff>
      <xdr:row>57</xdr:row>
      <xdr:rowOff>133350</xdr:rowOff>
    </xdr:to>
    <xdr:sp macro="" textlink="">
      <xdr:nvSpPr>
        <xdr:cNvPr id="54656" name="54">
          <a:extLst>
            <a:ext uri="{FF2B5EF4-FFF2-40B4-BE49-F238E27FC236}">
              <a16:creationId xmlns:a16="http://schemas.microsoft.com/office/drawing/2014/main" id="{6E9E5A2F-D3AF-3C03-BB24-EB76DEB7892C}"/>
            </a:ext>
          </a:extLst>
        </xdr:cNvPr>
        <xdr:cNvSpPr/>
      </xdr:nvSpPr>
      <xdr:spPr>
        <a:xfrm>
          <a:off x="13611225" y="89154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57</xdr:row>
      <xdr:rowOff>76200</xdr:rowOff>
    </xdr:from>
    <xdr:to>
      <xdr:col>39</xdr:col>
      <xdr:colOff>66675</xdr:colOff>
      <xdr:row>57</xdr:row>
      <xdr:rowOff>76200</xdr:rowOff>
    </xdr:to>
    <xdr:cxnSp macro="">
      <xdr:nvCxnSpPr>
        <xdr:cNvPr id="54657" name="직선 화살표 연결선 54656">
          <a:extLst>
            <a:ext uri="{FF2B5EF4-FFF2-40B4-BE49-F238E27FC236}">
              <a16:creationId xmlns:a16="http://schemas.microsoft.com/office/drawing/2014/main" id="{37E944A1-3761-CA0A-3F4D-C30848E2D4CB}"/>
            </a:ext>
          </a:extLst>
        </xdr:cNvPr>
        <xdr:cNvCxnSpPr/>
      </xdr:nvCxnSpPr>
      <xdr:spPr>
        <a:xfrm>
          <a:off x="13611225" y="8972550"/>
          <a:ext cx="495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56</xdr:row>
      <xdr:rowOff>19050</xdr:rowOff>
    </xdr:from>
    <xdr:to>
      <xdr:col>36</xdr:col>
      <xdr:colOff>98425</xdr:colOff>
      <xdr:row>56</xdr:row>
      <xdr:rowOff>146050</xdr:rowOff>
    </xdr:to>
    <xdr:sp macro="" textlink="">
      <xdr:nvSpPr>
        <xdr:cNvPr id="54658" name="53">
          <a:extLst>
            <a:ext uri="{FF2B5EF4-FFF2-40B4-BE49-F238E27FC236}">
              <a16:creationId xmlns:a16="http://schemas.microsoft.com/office/drawing/2014/main" id="{0FA1371E-07F3-1026-39FA-B6A2729B80F8}"/>
            </a:ext>
          </a:extLst>
        </xdr:cNvPr>
        <xdr:cNvSpPr/>
      </xdr:nvSpPr>
      <xdr:spPr>
        <a:xfrm>
          <a:off x="13611225" y="87630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47625</xdr:colOff>
      <xdr:row>55</xdr:row>
      <xdr:rowOff>19050</xdr:rowOff>
    </xdr:from>
    <xdr:to>
      <xdr:col>39</xdr:col>
      <xdr:colOff>67945</xdr:colOff>
      <xdr:row>55</xdr:row>
      <xdr:rowOff>133350</xdr:rowOff>
    </xdr:to>
    <xdr:sp macro="" textlink="">
      <xdr:nvSpPr>
        <xdr:cNvPr id="54659" name="52">
          <a:extLst>
            <a:ext uri="{FF2B5EF4-FFF2-40B4-BE49-F238E27FC236}">
              <a16:creationId xmlns:a16="http://schemas.microsoft.com/office/drawing/2014/main" id="{E986C066-78FB-7AE0-26A9-0E0049D0F9DE}"/>
            </a:ext>
          </a:extLst>
        </xdr:cNvPr>
        <xdr:cNvSpPr/>
      </xdr:nvSpPr>
      <xdr:spPr>
        <a:xfrm>
          <a:off x="13820775" y="8610600"/>
          <a:ext cx="2870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47625</xdr:colOff>
      <xdr:row>55</xdr:row>
      <xdr:rowOff>76200</xdr:rowOff>
    </xdr:from>
    <xdr:to>
      <xdr:col>39</xdr:col>
      <xdr:colOff>66675</xdr:colOff>
      <xdr:row>55</xdr:row>
      <xdr:rowOff>76200</xdr:rowOff>
    </xdr:to>
    <xdr:cxnSp macro="">
      <xdr:nvCxnSpPr>
        <xdr:cNvPr id="54660" name="직선 화살표 연결선 54659">
          <a:extLst>
            <a:ext uri="{FF2B5EF4-FFF2-40B4-BE49-F238E27FC236}">
              <a16:creationId xmlns:a16="http://schemas.microsoft.com/office/drawing/2014/main" id="{AD1C84D8-CC10-9279-F7C0-9F5EA564B861}"/>
            </a:ext>
          </a:extLst>
        </xdr:cNvPr>
        <xdr:cNvCxnSpPr/>
      </xdr:nvCxnSpPr>
      <xdr:spPr>
        <a:xfrm>
          <a:off x="13820775" y="866775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104775</xdr:colOff>
      <xdr:row>54</xdr:row>
      <xdr:rowOff>19050</xdr:rowOff>
    </xdr:from>
    <xdr:to>
      <xdr:col>37</xdr:col>
      <xdr:colOff>67945</xdr:colOff>
      <xdr:row>54</xdr:row>
      <xdr:rowOff>133350</xdr:rowOff>
    </xdr:to>
    <xdr:sp macro="" textlink="">
      <xdr:nvSpPr>
        <xdr:cNvPr id="54661" name="51">
          <a:extLst>
            <a:ext uri="{FF2B5EF4-FFF2-40B4-BE49-F238E27FC236}">
              <a16:creationId xmlns:a16="http://schemas.microsoft.com/office/drawing/2014/main" id="{68C7902B-F2CE-6453-A793-4201D71C4287}"/>
            </a:ext>
          </a:extLst>
        </xdr:cNvPr>
        <xdr:cNvSpPr/>
      </xdr:nvSpPr>
      <xdr:spPr>
        <a:xfrm>
          <a:off x="13744575" y="84582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104775</xdr:colOff>
      <xdr:row>54</xdr:row>
      <xdr:rowOff>76200</xdr:rowOff>
    </xdr:from>
    <xdr:to>
      <xdr:col>37</xdr:col>
      <xdr:colOff>66675</xdr:colOff>
      <xdr:row>54</xdr:row>
      <xdr:rowOff>76200</xdr:rowOff>
    </xdr:to>
    <xdr:cxnSp macro="">
      <xdr:nvCxnSpPr>
        <xdr:cNvPr id="54662" name="직선 화살표 연결선 54661">
          <a:extLst>
            <a:ext uri="{FF2B5EF4-FFF2-40B4-BE49-F238E27FC236}">
              <a16:creationId xmlns:a16="http://schemas.microsoft.com/office/drawing/2014/main" id="{52EBBBAD-5046-D2A6-E449-130E712C7F30}"/>
            </a:ext>
          </a:extLst>
        </xdr:cNvPr>
        <xdr:cNvCxnSpPr/>
      </xdr:nvCxnSpPr>
      <xdr:spPr>
        <a:xfrm>
          <a:off x="13744575" y="85153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53</xdr:row>
      <xdr:rowOff>19050</xdr:rowOff>
    </xdr:from>
    <xdr:to>
      <xdr:col>36</xdr:col>
      <xdr:colOff>67945</xdr:colOff>
      <xdr:row>53</xdr:row>
      <xdr:rowOff>133350</xdr:rowOff>
    </xdr:to>
    <xdr:sp macro="" textlink="">
      <xdr:nvSpPr>
        <xdr:cNvPr id="54663" name="50">
          <a:extLst>
            <a:ext uri="{FF2B5EF4-FFF2-40B4-BE49-F238E27FC236}">
              <a16:creationId xmlns:a16="http://schemas.microsoft.com/office/drawing/2014/main" id="{6752D780-3D7F-0F9C-BEC4-AB16586CA2F5}"/>
            </a:ext>
          </a:extLst>
        </xdr:cNvPr>
        <xdr:cNvSpPr/>
      </xdr:nvSpPr>
      <xdr:spPr>
        <a:xfrm>
          <a:off x="13611225" y="83058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53</xdr:row>
      <xdr:rowOff>76200</xdr:rowOff>
    </xdr:from>
    <xdr:to>
      <xdr:col>36</xdr:col>
      <xdr:colOff>66675</xdr:colOff>
      <xdr:row>53</xdr:row>
      <xdr:rowOff>76200</xdr:rowOff>
    </xdr:to>
    <xdr:cxnSp macro="">
      <xdr:nvCxnSpPr>
        <xdr:cNvPr id="54664" name="직선 화살표 연결선 54663">
          <a:extLst>
            <a:ext uri="{FF2B5EF4-FFF2-40B4-BE49-F238E27FC236}">
              <a16:creationId xmlns:a16="http://schemas.microsoft.com/office/drawing/2014/main" id="{80BB7516-BB08-EC50-A23F-3A03318CDD57}"/>
            </a:ext>
          </a:extLst>
        </xdr:cNvPr>
        <xdr:cNvCxnSpPr/>
      </xdr:nvCxnSpPr>
      <xdr:spPr>
        <a:xfrm>
          <a:off x="13611225" y="83629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52</xdr:row>
      <xdr:rowOff>19050</xdr:rowOff>
    </xdr:from>
    <xdr:to>
      <xdr:col>37</xdr:col>
      <xdr:colOff>67945</xdr:colOff>
      <xdr:row>52</xdr:row>
      <xdr:rowOff>133350</xdr:rowOff>
    </xdr:to>
    <xdr:sp macro="" textlink="">
      <xdr:nvSpPr>
        <xdr:cNvPr id="54665" name="49">
          <a:extLst>
            <a:ext uri="{FF2B5EF4-FFF2-40B4-BE49-F238E27FC236}">
              <a16:creationId xmlns:a16="http://schemas.microsoft.com/office/drawing/2014/main" id="{B9208B72-610E-87BE-5765-B534BA147A77}"/>
            </a:ext>
          </a:extLst>
        </xdr:cNvPr>
        <xdr:cNvSpPr/>
      </xdr:nvSpPr>
      <xdr:spPr>
        <a:xfrm>
          <a:off x="13611225" y="8153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52</xdr:row>
      <xdr:rowOff>76200</xdr:rowOff>
    </xdr:from>
    <xdr:to>
      <xdr:col>37</xdr:col>
      <xdr:colOff>20955</xdr:colOff>
      <xdr:row>52</xdr:row>
      <xdr:rowOff>76200</xdr:rowOff>
    </xdr:to>
    <xdr:cxnSp macro="">
      <xdr:nvCxnSpPr>
        <xdr:cNvPr id="54666" name="직선 화살표 연결선 54665">
          <a:extLst>
            <a:ext uri="{FF2B5EF4-FFF2-40B4-BE49-F238E27FC236}">
              <a16:creationId xmlns:a16="http://schemas.microsoft.com/office/drawing/2014/main" id="{FC5F3CA1-2DC8-C61B-B902-5F8F796069B9}"/>
            </a:ext>
          </a:extLst>
        </xdr:cNvPr>
        <xdr:cNvCxnSpPr/>
      </xdr:nvCxnSpPr>
      <xdr:spPr>
        <a:xfrm>
          <a:off x="13611225" y="821055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51</xdr:row>
      <xdr:rowOff>19050</xdr:rowOff>
    </xdr:from>
    <xdr:to>
      <xdr:col>39</xdr:col>
      <xdr:colOff>67945</xdr:colOff>
      <xdr:row>51</xdr:row>
      <xdr:rowOff>133350</xdr:rowOff>
    </xdr:to>
    <xdr:sp macro="" textlink="">
      <xdr:nvSpPr>
        <xdr:cNvPr id="54667" name="48">
          <a:extLst>
            <a:ext uri="{FF2B5EF4-FFF2-40B4-BE49-F238E27FC236}">
              <a16:creationId xmlns:a16="http://schemas.microsoft.com/office/drawing/2014/main" id="{3BAFF863-1214-FD45-D5CB-490B3C7CCF91}"/>
            </a:ext>
          </a:extLst>
        </xdr:cNvPr>
        <xdr:cNvSpPr/>
      </xdr:nvSpPr>
      <xdr:spPr>
        <a:xfrm>
          <a:off x="13611225" y="8001000"/>
          <a:ext cx="496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51</xdr:row>
      <xdr:rowOff>76200</xdr:rowOff>
    </xdr:from>
    <xdr:to>
      <xdr:col>39</xdr:col>
      <xdr:colOff>34720</xdr:colOff>
      <xdr:row>51</xdr:row>
      <xdr:rowOff>76200</xdr:rowOff>
    </xdr:to>
    <xdr:cxnSp macro="">
      <xdr:nvCxnSpPr>
        <xdr:cNvPr id="54668" name="직선 화살표 연결선 54667">
          <a:extLst>
            <a:ext uri="{FF2B5EF4-FFF2-40B4-BE49-F238E27FC236}">
              <a16:creationId xmlns:a16="http://schemas.microsoft.com/office/drawing/2014/main" id="{48F19521-0686-1D60-EACF-3DB04535FC29}"/>
            </a:ext>
          </a:extLst>
        </xdr:cNvPr>
        <xdr:cNvCxnSpPr/>
      </xdr:nvCxnSpPr>
      <xdr:spPr>
        <a:xfrm>
          <a:off x="13611225" y="8058150"/>
          <a:ext cx="4633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50</xdr:row>
      <xdr:rowOff>19050</xdr:rowOff>
    </xdr:from>
    <xdr:to>
      <xdr:col>51</xdr:col>
      <xdr:colOff>67945</xdr:colOff>
      <xdr:row>50</xdr:row>
      <xdr:rowOff>133350</xdr:rowOff>
    </xdr:to>
    <xdr:sp macro="" textlink="">
      <xdr:nvSpPr>
        <xdr:cNvPr id="54669" name="47">
          <a:extLst>
            <a:ext uri="{FF2B5EF4-FFF2-40B4-BE49-F238E27FC236}">
              <a16:creationId xmlns:a16="http://schemas.microsoft.com/office/drawing/2014/main" id="{3222A84D-11F0-C445-EDAC-74D93883D074}"/>
            </a:ext>
          </a:extLst>
        </xdr:cNvPr>
        <xdr:cNvSpPr/>
      </xdr:nvSpPr>
      <xdr:spPr>
        <a:xfrm>
          <a:off x="13611225" y="7848600"/>
          <a:ext cx="2096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50</xdr:row>
      <xdr:rowOff>76200</xdr:rowOff>
    </xdr:from>
    <xdr:to>
      <xdr:col>49</xdr:col>
      <xdr:colOff>49599</xdr:colOff>
      <xdr:row>50</xdr:row>
      <xdr:rowOff>76200</xdr:rowOff>
    </xdr:to>
    <xdr:cxnSp macro="">
      <xdr:nvCxnSpPr>
        <xdr:cNvPr id="54670" name="직선 화살표 연결선 54669">
          <a:extLst>
            <a:ext uri="{FF2B5EF4-FFF2-40B4-BE49-F238E27FC236}">
              <a16:creationId xmlns:a16="http://schemas.microsoft.com/office/drawing/2014/main" id="{FEC6E835-8CA7-3276-5245-D07D565AE2DB}"/>
            </a:ext>
          </a:extLst>
        </xdr:cNvPr>
        <xdr:cNvCxnSpPr/>
      </xdr:nvCxnSpPr>
      <xdr:spPr>
        <a:xfrm>
          <a:off x="13611225" y="7905750"/>
          <a:ext cx="18117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104775</xdr:colOff>
      <xdr:row>49</xdr:row>
      <xdr:rowOff>19050</xdr:rowOff>
    </xdr:from>
    <xdr:to>
      <xdr:col>35</xdr:col>
      <xdr:colOff>67945</xdr:colOff>
      <xdr:row>49</xdr:row>
      <xdr:rowOff>133350</xdr:rowOff>
    </xdr:to>
    <xdr:sp macro="" textlink="">
      <xdr:nvSpPr>
        <xdr:cNvPr id="54671" name="46">
          <a:extLst>
            <a:ext uri="{FF2B5EF4-FFF2-40B4-BE49-F238E27FC236}">
              <a16:creationId xmlns:a16="http://schemas.microsoft.com/office/drawing/2014/main" id="{A33283C8-1D63-D490-D579-66610C596445}"/>
            </a:ext>
          </a:extLst>
        </xdr:cNvPr>
        <xdr:cNvSpPr/>
      </xdr:nvSpPr>
      <xdr:spPr>
        <a:xfrm>
          <a:off x="13344525" y="7696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104775</xdr:colOff>
      <xdr:row>49</xdr:row>
      <xdr:rowOff>76200</xdr:rowOff>
    </xdr:from>
    <xdr:to>
      <xdr:col>35</xdr:col>
      <xdr:colOff>20955</xdr:colOff>
      <xdr:row>49</xdr:row>
      <xdr:rowOff>76200</xdr:rowOff>
    </xdr:to>
    <xdr:cxnSp macro="">
      <xdr:nvCxnSpPr>
        <xdr:cNvPr id="54672" name="직선 화살표 연결선 54671">
          <a:extLst>
            <a:ext uri="{FF2B5EF4-FFF2-40B4-BE49-F238E27FC236}">
              <a16:creationId xmlns:a16="http://schemas.microsoft.com/office/drawing/2014/main" id="{BEB8FB07-DB02-0CEA-0187-1675B1A973EB}"/>
            </a:ext>
          </a:extLst>
        </xdr:cNvPr>
        <xdr:cNvCxnSpPr/>
      </xdr:nvCxnSpPr>
      <xdr:spPr>
        <a:xfrm>
          <a:off x="13344525" y="775335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47625</xdr:colOff>
      <xdr:row>48</xdr:row>
      <xdr:rowOff>19050</xdr:rowOff>
    </xdr:from>
    <xdr:to>
      <xdr:col>35</xdr:col>
      <xdr:colOff>67945</xdr:colOff>
      <xdr:row>48</xdr:row>
      <xdr:rowOff>133350</xdr:rowOff>
    </xdr:to>
    <xdr:sp macro="" textlink="">
      <xdr:nvSpPr>
        <xdr:cNvPr id="54673" name="45">
          <a:extLst>
            <a:ext uri="{FF2B5EF4-FFF2-40B4-BE49-F238E27FC236}">
              <a16:creationId xmlns:a16="http://schemas.microsoft.com/office/drawing/2014/main" id="{75B6BF43-353E-199C-21D9-DC7E6EE2FA3E}"/>
            </a:ext>
          </a:extLst>
        </xdr:cNvPr>
        <xdr:cNvSpPr/>
      </xdr:nvSpPr>
      <xdr:spPr>
        <a:xfrm>
          <a:off x="13020675" y="7543800"/>
          <a:ext cx="5537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47625</xdr:colOff>
      <xdr:row>48</xdr:row>
      <xdr:rowOff>76200</xdr:rowOff>
    </xdr:from>
    <xdr:to>
      <xdr:col>35</xdr:col>
      <xdr:colOff>66675</xdr:colOff>
      <xdr:row>48</xdr:row>
      <xdr:rowOff>76200</xdr:rowOff>
    </xdr:to>
    <xdr:cxnSp macro="">
      <xdr:nvCxnSpPr>
        <xdr:cNvPr id="54674" name="직선 화살표 연결선 54673">
          <a:extLst>
            <a:ext uri="{FF2B5EF4-FFF2-40B4-BE49-F238E27FC236}">
              <a16:creationId xmlns:a16="http://schemas.microsoft.com/office/drawing/2014/main" id="{E412E65F-7A10-9D40-5BEE-97A496E8A1A6}"/>
            </a:ext>
          </a:extLst>
        </xdr:cNvPr>
        <xdr:cNvCxnSpPr/>
      </xdr:nvCxnSpPr>
      <xdr:spPr>
        <a:xfrm>
          <a:off x="13020675" y="7600950"/>
          <a:ext cx="552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47</xdr:row>
      <xdr:rowOff>19050</xdr:rowOff>
    </xdr:from>
    <xdr:to>
      <xdr:col>31</xdr:col>
      <xdr:colOff>10795</xdr:colOff>
      <xdr:row>47</xdr:row>
      <xdr:rowOff>133350</xdr:rowOff>
    </xdr:to>
    <xdr:sp macro="" textlink="">
      <xdr:nvSpPr>
        <xdr:cNvPr id="54675" name="44">
          <a:extLst>
            <a:ext uri="{FF2B5EF4-FFF2-40B4-BE49-F238E27FC236}">
              <a16:creationId xmlns:a16="http://schemas.microsoft.com/office/drawing/2014/main" id="{D3381DE3-A36B-243A-5512-E521EB17F1E9}"/>
            </a:ext>
          </a:extLst>
        </xdr:cNvPr>
        <xdr:cNvSpPr/>
      </xdr:nvSpPr>
      <xdr:spPr>
        <a:xfrm>
          <a:off x="12944475" y="7391400"/>
          <a:ext cx="393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47</xdr:row>
      <xdr:rowOff>76200</xdr:rowOff>
    </xdr:from>
    <xdr:to>
      <xdr:col>31</xdr:col>
      <xdr:colOff>9525</xdr:colOff>
      <xdr:row>47</xdr:row>
      <xdr:rowOff>76200</xdr:rowOff>
    </xdr:to>
    <xdr:cxnSp macro="">
      <xdr:nvCxnSpPr>
        <xdr:cNvPr id="54676" name="직선 화살표 연결선 54675">
          <a:extLst>
            <a:ext uri="{FF2B5EF4-FFF2-40B4-BE49-F238E27FC236}">
              <a16:creationId xmlns:a16="http://schemas.microsoft.com/office/drawing/2014/main" id="{14104486-397E-EB2E-A317-60FCD33BEB7F}"/>
            </a:ext>
          </a:extLst>
        </xdr:cNvPr>
        <xdr:cNvCxnSpPr/>
      </xdr:nvCxnSpPr>
      <xdr:spPr>
        <a:xfrm>
          <a:off x="12944475" y="7448550"/>
          <a:ext cx="38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46</xdr:row>
      <xdr:rowOff>19050</xdr:rowOff>
    </xdr:from>
    <xdr:to>
      <xdr:col>35</xdr:col>
      <xdr:colOff>67945</xdr:colOff>
      <xdr:row>46</xdr:row>
      <xdr:rowOff>133350</xdr:rowOff>
    </xdr:to>
    <xdr:sp macro="" textlink="">
      <xdr:nvSpPr>
        <xdr:cNvPr id="54677" name="43">
          <a:extLst>
            <a:ext uri="{FF2B5EF4-FFF2-40B4-BE49-F238E27FC236}">
              <a16:creationId xmlns:a16="http://schemas.microsoft.com/office/drawing/2014/main" id="{32AB56E5-6FCA-C952-861E-B28141B81BDF}"/>
            </a:ext>
          </a:extLst>
        </xdr:cNvPr>
        <xdr:cNvSpPr/>
      </xdr:nvSpPr>
      <xdr:spPr>
        <a:xfrm>
          <a:off x="12944475" y="72390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46</xdr:row>
      <xdr:rowOff>76200</xdr:rowOff>
    </xdr:from>
    <xdr:to>
      <xdr:col>35</xdr:col>
      <xdr:colOff>28956</xdr:colOff>
      <xdr:row>46</xdr:row>
      <xdr:rowOff>76200</xdr:rowOff>
    </xdr:to>
    <xdr:cxnSp macro="">
      <xdr:nvCxnSpPr>
        <xdr:cNvPr id="54678" name="직선 화살표 연결선 54677">
          <a:extLst>
            <a:ext uri="{FF2B5EF4-FFF2-40B4-BE49-F238E27FC236}">
              <a16:creationId xmlns:a16="http://schemas.microsoft.com/office/drawing/2014/main" id="{1708E0B0-3DE6-5273-7948-86148604779B}"/>
            </a:ext>
          </a:extLst>
        </xdr:cNvPr>
        <xdr:cNvCxnSpPr/>
      </xdr:nvCxnSpPr>
      <xdr:spPr>
        <a:xfrm>
          <a:off x="12944475" y="72961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45</xdr:row>
      <xdr:rowOff>19050</xdr:rowOff>
    </xdr:from>
    <xdr:to>
      <xdr:col>35</xdr:col>
      <xdr:colOff>67945</xdr:colOff>
      <xdr:row>45</xdr:row>
      <xdr:rowOff>133350</xdr:rowOff>
    </xdr:to>
    <xdr:sp macro="" textlink="">
      <xdr:nvSpPr>
        <xdr:cNvPr id="54679" name="42">
          <a:extLst>
            <a:ext uri="{FF2B5EF4-FFF2-40B4-BE49-F238E27FC236}">
              <a16:creationId xmlns:a16="http://schemas.microsoft.com/office/drawing/2014/main" id="{A46961E1-6B1E-74A0-3A19-F2F9A845A15B}"/>
            </a:ext>
          </a:extLst>
        </xdr:cNvPr>
        <xdr:cNvSpPr/>
      </xdr:nvSpPr>
      <xdr:spPr>
        <a:xfrm>
          <a:off x="12944475" y="7086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45</xdr:row>
      <xdr:rowOff>76200</xdr:rowOff>
    </xdr:from>
    <xdr:to>
      <xdr:col>35</xdr:col>
      <xdr:colOff>28956</xdr:colOff>
      <xdr:row>45</xdr:row>
      <xdr:rowOff>76200</xdr:rowOff>
    </xdr:to>
    <xdr:cxnSp macro="">
      <xdr:nvCxnSpPr>
        <xdr:cNvPr id="54680" name="직선 화살표 연결선 54679">
          <a:extLst>
            <a:ext uri="{FF2B5EF4-FFF2-40B4-BE49-F238E27FC236}">
              <a16:creationId xmlns:a16="http://schemas.microsoft.com/office/drawing/2014/main" id="{EAB45EB1-F0FC-D774-8E13-87C516889C35}"/>
            </a:ext>
          </a:extLst>
        </xdr:cNvPr>
        <xdr:cNvCxnSpPr/>
      </xdr:nvCxnSpPr>
      <xdr:spPr>
        <a:xfrm>
          <a:off x="12944475" y="7143750"/>
          <a:ext cx="590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44</xdr:row>
      <xdr:rowOff>19050</xdr:rowOff>
    </xdr:from>
    <xdr:to>
      <xdr:col>84</xdr:col>
      <xdr:colOff>48895</xdr:colOff>
      <xdr:row>44</xdr:row>
      <xdr:rowOff>133350</xdr:rowOff>
    </xdr:to>
    <xdr:sp macro="" textlink="">
      <xdr:nvSpPr>
        <xdr:cNvPr id="54681" name="41">
          <a:extLst>
            <a:ext uri="{FF2B5EF4-FFF2-40B4-BE49-F238E27FC236}">
              <a16:creationId xmlns:a16="http://schemas.microsoft.com/office/drawing/2014/main" id="{421B20F2-761C-901E-735A-1707F999B47B}"/>
            </a:ext>
          </a:extLst>
        </xdr:cNvPr>
        <xdr:cNvSpPr/>
      </xdr:nvSpPr>
      <xdr:spPr>
        <a:xfrm>
          <a:off x="12944475" y="6934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44</xdr:row>
      <xdr:rowOff>76200</xdr:rowOff>
    </xdr:from>
    <xdr:to>
      <xdr:col>34</xdr:col>
      <xdr:colOff>69402</xdr:colOff>
      <xdr:row>44</xdr:row>
      <xdr:rowOff>76200</xdr:rowOff>
    </xdr:to>
    <xdr:cxnSp macro="">
      <xdr:nvCxnSpPr>
        <xdr:cNvPr id="54682" name="직선 화살표 연결선 54681">
          <a:extLst>
            <a:ext uri="{FF2B5EF4-FFF2-40B4-BE49-F238E27FC236}">
              <a16:creationId xmlns:a16="http://schemas.microsoft.com/office/drawing/2014/main" id="{2020AF68-82BC-AA6A-CFD1-0EC346582C2B}"/>
            </a:ext>
          </a:extLst>
        </xdr:cNvPr>
        <xdr:cNvCxnSpPr/>
      </xdr:nvCxnSpPr>
      <xdr:spPr>
        <a:xfrm>
          <a:off x="12944475" y="6991350"/>
          <a:ext cx="4980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43</xdr:row>
      <xdr:rowOff>19050</xdr:rowOff>
    </xdr:from>
    <xdr:to>
      <xdr:col>84</xdr:col>
      <xdr:colOff>48895</xdr:colOff>
      <xdr:row>43</xdr:row>
      <xdr:rowOff>133350</xdr:rowOff>
    </xdr:to>
    <xdr:sp macro="" textlink="">
      <xdr:nvSpPr>
        <xdr:cNvPr id="54683" name="40">
          <a:extLst>
            <a:ext uri="{FF2B5EF4-FFF2-40B4-BE49-F238E27FC236}">
              <a16:creationId xmlns:a16="http://schemas.microsoft.com/office/drawing/2014/main" id="{CA74A249-4D54-81D1-091A-F929BEF8C324}"/>
            </a:ext>
          </a:extLst>
        </xdr:cNvPr>
        <xdr:cNvSpPr/>
      </xdr:nvSpPr>
      <xdr:spPr>
        <a:xfrm>
          <a:off x="19135725" y="67818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43</xdr:row>
      <xdr:rowOff>76200</xdr:rowOff>
    </xdr:from>
    <xdr:to>
      <xdr:col>77</xdr:col>
      <xdr:colOff>28575</xdr:colOff>
      <xdr:row>43</xdr:row>
      <xdr:rowOff>76200</xdr:rowOff>
    </xdr:to>
    <xdr:cxnSp macro="">
      <xdr:nvCxnSpPr>
        <xdr:cNvPr id="54684" name="직선 화살표 연결선 54683">
          <a:extLst>
            <a:ext uri="{FF2B5EF4-FFF2-40B4-BE49-F238E27FC236}">
              <a16:creationId xmlns:a16="http://schemas.microsoft.com/office/drawing/2014/main" id="{66C38A52-DD91-022A-308C-97863F7590DB}"/>
            </a:ext>
          </a:extLst>
        </xdr:cNvPr>
        <xdr:cNvCxnSpPr/>
      </xdr:nvCxnSpPr>
      <xdr:spPr>
        <a:xfrm>
          <a:off x="19135725"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42</xdr:row>
      <xdr:rowOff>19050</xdr:rowOff>
    </xdr:from>
    <xdr:to>
      <xdr:col>84</xdr:col>
      <xdr:colOff>48895</xdr:colOff>
      <xdr:row>42</xdr:row>
      <xdr:rowOff>133350</xdr:rowOff>
    </xdr:to>
    <xdr:sp macro="" textlink="">
      <xdr:nvSpPr>
        <xdr:cNvPr id="54685" name="39">
          <a:extLst>
            <a:ext uri="{FF2B5EF4-FFF2-40B4-BE49-F238E27FC236}">
              <a16:creationId xmlns:a16="http://schemas.microsoft.com/office/drawing/2014/main" id="{D2D05759-9CDC-95F2-FD8F-1D4C92D9DDCB}"/>
            </a:ext>
          </a:extLst>
        </xdr:cNvPr>
        <xdr:cNvSpPr/>
      </xdr:nvSpPr>
      <xdr:spPr>
        <a:xfrm>
          <a:off x="19135725" y="6629400"/>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42</xdr:row>
      <xdr:rowOff>76200</xdr:rowOff>
    </xdr:from>
    <xdr:to>
      <xdr:col>77</xdr:col>
      <xdr:colOff>28575</xdr:colOff>
      <xdr:row>42</xdr:row>
      <xdr:rowOff>76200</xdr:rowOff>
    </xdr:to>
    <xdr:cxnSp macro="">
      <xdr:nvCxnSpPr>
        <xdr:cNvPr id="54686" name="직선 화살표 연결선 54685">
          <a:extLst>
            <a:ext uri="{FF2B5EF4-FFF2-40B4-BE49-F238E27FC236}">
              <a16:creationId xmlns:a16="http://schemas.microsoft.com/office/drawing/2014/main" id="{86BDEF7F-0837-5013-670D-90DABC9CB10A}"/>
            </a:ext>
          </a:extLst>
        </xdr:cNvPr>
        <xdr:cNvCxnSpPr/>
      </xdr:nvCxnSpPr>
      <xdr:spPr>
        <a:xfrm>
          <a:off x="19135725"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41</xdr:row>
      <xdr:rowOff>19050</xdr:rowOff>
    </xdr:from>
    <xdr:to>
      <xdr:col>84</xdr:col>
      <xdr:colOff>48895</xdr:colOff>
      <xdr:row>41</xdr:row>
      <xdr:rowOff>133350</xdr:rowOff>
    </xdr:to>
    <xdr:sp macro="" textlink="">
      <xdr:nvSpPr>
        <xdr:cNvPr id="54687" name="38">
          <a:extLst>
            <a:ext uri="{FF2B5EF4-FFF2-40B4-BE49-F238E27FC236}">
              <a16:creationId xmlns:a16="http://schemas.microsoft.com/office/drawing/2014/main" id="{104F1233-5131-C494-A054-63E370517590}"/>
            </a:ext>
          </a:extLst>
        </xdr:cNvPr>
        <xdr:cNvSpPr/>
      </xdr:nvSpPr>
      <xdr:spPr>
        <a:xfrm>
          <a:off x="19135725" y="64770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41</xdr:row>
      <xdr:rowOff>76200</xdr:rowOff>
    </xdr:from>
    <xdr:to>
      <xdr:col>77</xdr:col>
      <xdr:colOff>28575</xdr:colOff>
      <xdr:row>41</xdr:row>
      <xdr:rowOff>76200</xdr:rowOff>
    </xdr:to>
    <xdr:cxnSp macro="">
      <xdr:nvCxnSpPr>
        <xdr:cNvPr id="54688" name="직선 화살표 연결선 54687">
          <a:extLst>
            <a:ext uri="{FF2B5EF4-FFF2-40B4-BE49-F238E27FC236}">
              <a16:creationId xmlns:a16="http://schemas.microsoft.com/office/drawing/2014/main" id="{D4844060-5054-3FFB-4AA5-2598070D0D1E}"/>
            </a:ext>
          </a:extLst>
        </xdr:cNvPr>
        <xdr:cNvCxnSpPr/>
      </xdr:nvCxnSpPr>
      <xdr:spPr>
        <a:xfrm>
          <a:off x="19135725"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40</xdr:row>
      <xdr:rowOff>19050</xdr:rowOff>
    </xdr:from>
    <xdr:to>
      <xdr:col>84</xdr:col>
      <xdr:colOff>48895</xdr:colOff>
      <xdr:row>40</xdr:row>
      <xdr:rowOff>133350</xdr:rowOff>
    </xdr:to>
    <xdr:sp macro="" textlink="">
      <xdr:nvSpPr>
        <xdr:cNvPr id="54689" name="37">
          <a:extLst>
            <a:ext uri="{FF2B5EF4-FFF2-40B4-BE49-F238E27FC236}">
              <a16:creationId xmlns:a16="http://schemas.microsoft.com/office/drawing/2014/main" id="{8D09C7AA-21A2-0008-A318-872CCB624E82}"/>
            </a:ext>
          </a:extLst>
        </xdr:cNvPr>
        <xdr:cNvSpPr/>
      </xdr:nvSpPr>
      <xdr:spPr>
        <a:xfrm>
          <a:off x="19135725" y="63246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40</xdr:row>
      <xdr:rowOff>76200</xdr:rowOff>
    </xdr:from>
    <xdr:to>
      <xdr:col>77</xdr:col>
      <xdr:colOff>28575</xdr:colOff>
      <xdr:row>40</xdr:row>
      <xdr:rowOff>76200</xdr:rowOff>
    </xdr:to>
    <xdr:cxnSp macro="">
      <xdr:nvCxnSpPr>
        <xdr:cNvPr id="54690" name="직선 화살표 연결선 54689">
          <a:extLst>
            <a:ext uri="{FF2B5EF4-FFF2-40B4-BE49-F238E27FC236}">
              <a16:creationId xmlns:a16="http://schemas.microsoft.com/office/drawing/2014/main" id="{699AB9B3-AF29-FF63-2049-14EE7A48EA05}"/>
            </a:ext>
          </a:extLst>
        </xdr:cNvPr>
        <xdr:cNvCxnSpPr/>
      </xdr:nvCxnSpPr>
      <xdr:spPr>
        <a:xfrm>
          <a:off x="19135725"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39</xdr:row>
      <xdr:rowOff>19050</xdr:rowOff>
    </xdr:from>
    <xdr:to>
      <xdr:col>84</xdr:col>
      <xdr:colOff>48895</xdr:colOff>
      <xdr:row>39</xdr:row>
      <xdr:rowOff>133350</xdr:rowOff>
    </xdr:to>
    <xdr:sp macro="" textlink="">
      <xdr:nvSpPr>
        <xdr:cNvPr id="54691" name="36">
          <a:extLst>
            <a:ext uri="{FF2B5EF4-FFF2-40B4-BE49-F238E27FC236}">
              <a16:creationId xmlns:a16="http://schemas.microsoft.com/office/drawing/2014/main" id="{364FC9A5-0F2E-B667-DDBF-B849C58286EA}"/>
            </a:ext>
          </a:extLst>
        </xdr:cNvPr>
        <xdr:cNvSpPr/>
      </xdr:nvSpPr>
      <xdr:spPr>
        <a:xfrm>
          <a:off x="19135725" y="61722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39</xdr:row>
      <xdr:rowOff>76200</xdr:rowOff>
    </xdr:from>
    <xdr:to>
      <xdr:col>77</xdr:col>
      <xdr:colOff>28575</xdr:colOff>
      <xdr:row>39</xdr:row>
      <xdr:rowOff>76200</xdr:rowOff>
    </xdr:to>
    <xdr:cxnSp macro="">
      <xdr:nvCxnSpPr>
        <xdr:cNvPr id="54692" name="직선 화살표 연결선 54691">
          <a:extLst>
            <a:ext uri="{FF2B5EF4-FFF2-40B4-BE49-F238E27FC236}">
              <a16:creationId xmlns:a16="http://schemas.microsoft.com/office/drawing/2014/main" id="{6E1D6A15-805D-514C-F81E-668F8BAAF818}"/>
            </a:ext>
          </a:extLst>
        </xdr:cNvPr>
        <xdr:cNvCxnSpPr/>
      </xdr:nvCxnSpPr>
      <xdr:spPr>
        <a:xfrm>
          <a:off x="19135725"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38</xdr:row>
      <xdr:rowOff>19050</xdr:rowOff>
    </xdr:from>
    <xdr:to>
      <xdr:col>84</xdr:col>
      <xdr:colOff>48895</xdr:colOff>
      <xdr:row>38</xdr:row>
      <xdr:rowOff>133350</xdr:rowOff>
    </xdr:to>
    <xdr:sp macro="" textlink="">
      <xdr:nvSpPr>
        <xdr:cNvPr id="54693" name="35">
          <a:extLst>
            <a:ext uri="{FF2B5EF4-FFF2-40B4-BE49-F238E27FC236}">
              <a16:creationId xmlns:a16="http://schemas.microsoft.com/office/drawing/2014/main" id="{10AE28F4-A161-65C4-4BD9-1D0029AD2D69}"/>
            </a:ext>
          </a:extLst>
        </xdr:cNvPr>
        <xdr:cNvSpPr/>
      </xdr:nvSpPr>
      <xdr:spPr>
        <a:xfrm>
          <a:off x="19135725" y="6019800"/>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38</xdr:row>
      <xdr:rowOff>76200</xdr:rowOff>
    </xdr:from>
    <xdr:to>
      <xdr:col>77</xdr:col>
      <xdr:colOff>28575</xdr:colOff>
      <xdr:row>38</xdr:row>
      <xdr:rowOff>76200</xdr:rowOff>
    </xdr:to>
    <xdr:cxnSp macro="">
      <xdr:nvCxnSpPr>
        <xdr:cNvPr id="54694" name="직선 화살표 연결선 54693">
          <a:extLst>
            <a:ext uri="{FF2B5EF4-FFF2-40B4-BE49-F238E27FC236}">
              <a16:creationId xmlns:a16="http://schemas.microsoft.com/office/drawing/2014/main" id="{D6D2EE47-9F81-42D0-EC16-98D385DA18D7}"/>
            </a:ext>
          </a:extLst>
        </xdr:cNvPr>
        <xdr:cNvCxnSpPr/>
      </xdr:nvCxnSpPr>
      <xdr:spPr>
        <a:xfrm>
          <a:off x="19135725"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28575</xdr:colOff>
      <xdr:row>37</xdr:row>
      <xdr:rowOff>19050</xdr:rowOff>
    </xdr:from>
    <xdr:to>
      <xdr:col>84</xdr:col>
      <xdr:colOff>48895</xdr:colOff>
      <xdr:row>37</xdr:row>
      <xdr:rowOff>133350</xdr:rowOff>
    </xdr:to>
    <xdr:sp macro="" textlink="">
      <xdr:nvSpPr>
        <xdr:cNvPr id="54695" name="34">
          <a:extLst>
            <a:ext uri="{FF2B5EF4-FFF2-40B4-BE49-F238E27FC236}">
              <a16:creationId xmlns:a16="http://schemas.microsoft.com/office/drawing/2014/main" id="{8F7AD0AC-2760-FCE9-13FE-0FE21415B039}"/>
            </a:ext>
          </a:extLst>
        </xdr:cNvPr>
        <xdr:cNvSpPr/>
      </xdr:nvSpPr>
      <xdr:spPr>
        <a:xfrm>
          <a:off x="19135725" y="5867400"/>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37</xdr:row>
      <xdr:rowOff>76200</xdr:rowOff>
    </xdr:from>
    <xdr:to>
      <xdr:col>77</xdr:col>
      <xdr:colOff>28575</xdr:colOff>
      <xdr:row>37</xdr:row>
      <xdr:rowOff>76200</xdr:rowOff>
    </xdr:to>
    <xdr:cxnSp macro="">
      <xdr:nvCxnSpPr>
        <xdr:cNvPr id="54696" name="직선 화살표 연결선 54695">
          <a:extLst>
            <a:ext uri="{FF2B5EF4-FFF2-40B4-BE49-F238E27FC236}">
              <a16:creationId xmlns:a16="http://schemas.microsoft.com/office/drawing/2014/main" id="{9BE65843-7F5D-FB9F-3D5A-E324DFF7DF74}"/>
            </a:ext>
          </a:extLst>
        </xdr:cNvPr>
        <xdr:cNvCxnSpPr/>
      </xdr:nvCxnSpPr>
      <xdr:spPr>
        <a:xfrm>
          <a:off x="19135725"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36</xdr:row>
      <xdr:rowOff>19050</xdr:rowOff>
    </xdr:from>
    <xdr:to>
      <xdr:col>68</xdr:col>
      <xdr:colOff>106045</xdr:colOff>
      <xdr:row>36</xdr:row>
      <xdr:rowOff>133350</xdr:rowOff>
    </xdr:to>
    <xdr:sp macro="" textlink="">
      <xdr:nvSpPr>
        <xdr:cNvPr id="54697" name="33">
          <a:extLst>
            <a:ext uri="{FF2B5EF4-FFF2-40B4-BE49-F238E27FC236}">
              <a16:creationId xmlns:a16="http://schemas.microsoft.com/office/drawing/2014/main" id="{F561F552-3A1F-1027-B3E2-E380B110B7E3}"/>
            </a:ext>
          </a:extLst>
        </xdr:cNvPr>
        <xdr:cNvSpPr/>
      </xdr:nvSpPr>
      <xdr:spPr>
        <a:xfrm>
          <a:off x="15097125" y="5715000"/>
          <a:ext cx="2915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36</xdr:row>
      <xdr:rowOff>76200</xdr:rowOff>
    </xdr:from>
    <xdr:to>
      <xdr:col>50</xdr:col>
      <xdr:colOff>43187</xdr:colOff>
      <xdr:row>36</xdr:row>
      <xdr:rowOff>76200</xdr:rowOff>
    </xdr:to>
    <xdr:cxnSp macro="">
      <xdr:nvCxnSpPr>
        <xdr:cNvPr id="54698" name="직선 화살표 연결선 54697">
          <a:extLst>
            <a:ext uri="{FF2B5EF4-FFF2-40B4-BE49-F238E27FC236}">
              <a16:creationId xmlns:a16="http://schemas.microsoft.com/office/drawing/2014/main" id="{DD541630-F7A0-67F0-140F-3E03ED7DA0AD}"/>
            </a:ext>
          </a:extLst>
        </xdr:cNvPr>
        <xdr:cNvCxnSpPr/>
      </xdr:nvCxnSpPr>
      <xdr:spPr>
        <a:xfrm>
          <a:off x="15097125" y="5772150"/>
          <a:ext cx="45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35</xdr:row>
      <xdr:rowOff>19050</xdr:rowOff>
    </xdr:from>
    <xdr:to>
      <xdr:col>68</xdr:col>
      <xdr:colOff>106045</xdr:colOff>
      <xdr:row>35</xdr:row>
      <xdr:rowOff>133350</xdr:rowOff>
    </xdr:to>
    <xdr:sp macro="" textlink="">
      <xdr:nvSpPr>
        <xdr:cNvPr id="54699" name="32">
          <a:extLst>
            <a:ext uri="{FF2B5EF4-FFF2-40B4-BE49-F238E27FC236}">
              <a16:creationId xmlns:a16="http://schemas.microsoft.com/office/drawing/2014/main" id="{8616B593-8983-BC2C-396F-25BDD00D2C3B}"/>
            </a:ext>
          </a:extLst>
        </xdr:cNvPr>
        <xdr:cNvSpPr/>
      </xdr:nvSpPr>
      <xdr:spPr>
        <a:xfrm>
          <a:off x="15097125" y="5562600"/>
          <a:ext cx="2915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35</xdr:row>
      <xdr:rowOff>76200</xdr:rowOff>
    </xdr:from>
    <xdr:to>
      <xdr:col>50</xdr:col>
      <xdr:colOff>43187</xdr:colOff>
      <xdr:row>35</xdr:row>
      <xdr:rowOff>76200</xdr:rowOff>
    </xdr:to>
    <xdr:cxnSp macro="">
      <xdr:nvCxnSpPr>
        <xdr:cNvPr id="54700" name="직선 화살표 연결선 54699">
          <a:extLst>
            <a:ext uri="{FF2B5EF4-FFF2-40B4-BE49-F238E27FC236}">
              <a16:creationId xmlns:a16="http://schemas.microsoft.com/office/drawing/2014/main" id="{96875393-C789-0A6A-5461-E15B62E474D4}"/>
            </a:ext>
          </a:extLst>
        </xdr:cNvPr>
        <xdr:cNvCxnSpPr/>
      </xdr:nvCxnSpPr>
      <xdr:spPr>
        <a:xfrm>
          <a:off x="15097125" y="5619750"/>
          <a:ext cx="45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34</xdr:row>
      <xdr:rowOff>19050</xdr:rowOff>
    </xdr:from>
    <xdr:to>
      <xdr:col>68</xdr:col>
      <xdr:colOff>106045</xdr:colOff>
      <xdr:row>34</xdr:row>
      <xdr:rowOff>133350</xdr:rowOff>
    </xdr:to>
    <xdr:sp macro="" textlink="">
      <xdr:nvSpPr>
        <xdr:cNvPr id="54701" name="31">
          <a:extLst>
            <a:ext uri="{FF2B5EF4-FFF2-40B4-BE49-F238E27FC236}">
              <a16:creationId xmlns:a16="http://schemas.microsoft.com/office/drawing/2014/main" id="{001982F0-6795-524F-15C2-A400F27B009A}"/>
            </a:ext>
          </a:extLst>
        </xdr:cNvPr>
        <xdr:cNvSpPr/>
      </xdr:nvSpPr>
      <xdr:spPr>
        <a:xfrm>
          <a:off x="15097125" y="5410200"/>
          <a:ext cx="2915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34</xdr:row>
      <xdr:rowOff>76200</xdr:rowOff>
    </xdr:from>
    <xdr:to>
      <xdr:col>50</xdr:col>
      <xdr:colOff>43187</xdr:colOff>
      <xdr:row>34</xdr:row>
      <xdr:rowOff>76200</xdr:rowOff>
    </xdr:to>
    <xdr:cxnSp macro="">
      <xdr:nvCxnSpPr>
        <xdr:cNvPr id="54702" name="직선 화살표 연결선 54701">
          <a:extLst>
            <a:ext uri="{FF2B5EF4-FFF2-40B4-BE49-F238E27FC236}">
              <a16:creationId xmlns:a16="http://schemas.microsoft.com/office/drawing/2014/main" id="{631AC9D3-0308-2878-2B06-2B0A62653560}"/>
            </a:ext>
          </a:extLst>
        </xdr:cNvPr>
        <xdr:cNvCxnSpPr/>
      </xdr:nvCxnSpPr>
      <xdr:spPr>
        <a:xfrm>
          <a:off x="15097125" y="5467350"/>
          <a:ext cx="45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33</xdr:row>
      <xdr:rowOff>19050</xdr:rowOff>
    </xdr:from>
    <xdr:to>
      <xdr:col>68</xdr:col>
      <xdr:colOff>106045</xdr:colOff>
      <xdr:row>33</xdr:row>
      <xdr:rowOff>133350</xdr:rowOff>
    </xdr:to>
    <xdr:sp macro="" textlink="">
      <xdr:nvSpPr>
        <xdr:cNvPr id="54703" name="30">
          <a:extLst>
            <a:ext uri="{FF2B5EF4-FFF2-40B4-BE49-F238E27FC236}">
              <a16:creationId xmlns:a16="http://schemas.microsoft.com/office/drawing/2014/main" id="{72F14217-8F75-FE8C-2DE8-72FA94D9735C}"/>
            </a:ext>
          </a:extLst>
        </xdr:cNvPr>
        <xdr:cNvSpPr/>
      </xdr:nvSpPr>
      <xdr:spPr>
        <a:xfrm>
          <a:off x="15097125" y="5257800"/>
          <a:ext cx="2915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33</xdr:row>
      <xdr:rowOff>76200</xdr:rowOff>
    </xdr:from>
    <xdr:to>
      <xdr:col>50</xdr:col>
      <xdr:colOff>43187</xdr:colOff>
      <xdr:row>33</xdr:row>
      <xdr:rowOff>76200</xdr:rowOff>
    </xdr:to>
    <xdr:cxnSp macro="">
      <xdr:nvCxnSpPr>
        <xdr:cNvPr id="54704" name="직선 화살표 연결선 54703">
          <a:extLst>
            <a:ext uri="{FF2B5EF4-FFF2-40B4-BE49-F238E27FC236}">
              <a16:creationId xmlns:a16="http://schemas.microsoft.com/office/drawing/2014/main" id="{CB317B48-55CF-6424-74E0-E8473831FF08}"/>
            </a:ext>
          </a:extLst>
        </xdr:cNvPr>
        <xdr:cNvCxnSpPr/>
      </xdr:nvCxnSpPr>
      <xdr:spPr>
        <a:xfrm>
          <a:off x="15097125" y="5314950"/>
          <a:ext cx="45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32</xdr:row>
      <xdr:rowOff>19050</xdr:rowOff>
    </xdr:from>
    <xdr:to>
      <xdr:col>68</xdr:col>
      <xdr:colOff>106045</xdr:colOff>
      <xdr:row>32</xdr:row>
      <xdr:rowOff>133350</xdr:rowOff>
    </xdr:to>
    <xdr:sp macro="" textlink="">
      <xdr:nvSpPr>
        <xdr:cNvPr id="54705" name="29">
          <a:extLst>
            <a:ext uri="{FF2B5EF4-FFF2-40B4-BE49-F238E27FC236}">
              <a16:creationId xmlns:a16="http://schemas.microsoft.com/office/drawing/2014/main" id="{87D9819F-79E7-1799-9717-4494D33BFF2F}"/>
            </a:ext>
          </a:extLst>
        </xdr:cNvPr>
        <xdr:cNvSpPr/>
      </xdr:nvSpPr>
      <xdr:spPr>
        <a:xfrm>
          <a:off x="15097125" y="5105400"/>
          <a:ext cx="2915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32</xdr:row>
      <xdr:rowOff>76200</xdr:rowOff>
    </xdr:from>
    <xdr:to>
      <xdr:col>50</xdr:col>
      <xdr:colOff>43187</xdr:colOff>
      <xdr:row>32</xdr:row>
      <xdr:rowOff>76200</xdr:rowOff>
    </xdr:to>
    <xdr:cxnSp macro="">
      <xdr:nvCxnSpPr>
        <xdr:cNvPr id="54706" name="직선 화살표 연결선 54705">
          <a:extLst>
            <a:ext uri="{FF2B5EF4-FFF2-40B4-BE49-F238E27FC236}">
              <a16:creationId xmlns:a16="http://schemas.microsoft.com/office/drawing/2014/main" id="{E6FB38FF-3915-C3D4-CE6A-0D5458755E36}"/>
            </a:ext>
          </a:extLst>
        </xdr:cNvPr>
        <xdr:cNvCxnSpPr/>
      </xdr:nvCxnSpPr>
      <xdr:spPr>
        <a:xfrm>
          <a:off x="15097125" y="5162550"/>
          <a:ext cx="452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31</xdr:row>
      <xdr:rowOff>19050</xdr:rowOff>
    </xdr:from>
    <xdr:to>
      <xdr:col>46</xdr:col>
      <xdr:colOff>125095</xdr:colOff>
      <xdr:row>31</xdr:row>
      <xdr:rowOff>133350</xdr:rowOff>
    </xdr:to>
    <xdr:sp macro="" textlink="">
      <xdr:nvSpPr>
        <xdr:cNvPr id="54707" name="28">
          <a:extLst>
            <a:ext uri="{FF2B5EF4-FFF2-40B4-BE49-F238E27FC236}">
              <a16:creationId xmlns:a16="http://schemas.microsoft.com/office/drawing/2014/main" id="{45ED312A-118D-B232-3506-62FCE0E0F22B}"/>
            </a:ext>
          </a:extLst>
        </xdr:cNvPr>
        <xdr:cNvSpPr/>
      </xdr:nvSpPr>
      <xdr:spPr>
        <a:xfrm>
          <a:off x="14144625" y="4953000"/>
          <a:ext cx="9537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31</xdr:row>
      <xdr:rowOff>76200</xdr:rowOff>
    </xdr:from>
    <xdr:to>
      <xdr:col>46</xdr:col>
      <xdr:colOff>123825</xdr:colOff>
      <xdr:row>31</xdr:row>
      <xdr:rowOff>76200</xdr:rowOff>
    </xdr:to>
    <xdr:cxnSp macro="">
      <xdr:nvCxnSpPr>
        <xdr:cNvPr id="54708" name="직선 화살표 연결선 54707">
          <a:extLst>
            <a:ext uri="{FF2B5EF4-FFF2-40B4-BE49-F238E27FC236}">
              <a16:creationId xmlns:a16="http://schemas.microsoft.com/office/drawing/2014/main" id="{E92482F7-188E-D6DE-7135-69E29509F15E}"/>
            </a:ext>
          </a:extLst>
        </xdr:cNvPr>
        <xdr:cNvCxnSpPr/>
      </xdr:nvCxnSpPr>
      <xdr:spPr>
        <a:xfrm>
          <a:off x="14144625" y="5010150"/>
          <a:ext cx="952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30</xdr:row>
      <xdr:rowOff>19050</xdr:rowOff>
    </xdr:from>
    <xdr:to>
      <xdr:col>46</xdr:col>
      <xdr:colOff>125095</xdr:colOff>
      <xdr:row>30</xdr:row>
      <xdr:rowOff>133350</xdr:rowOff>
    </xdr:to>
    <xdr:sp macro="" textlink="">
      <xdr:nvSpPr>
        <xdr:cNvPr id="54709" name="27">
          <a:extLst>
            <a:ext uri="{FF2B5EF4-FFF2-40B4-BE49-F238E27FC236}">
              <a16:creationId xmlns:a16="http://schemas.microsoft.com/office/drawing/2014/main" id="{DC2B8A86-677D-2352-AEEF-12355156FD61}"/>
            </a:ext>
          </a:extLst>
        </xdr:cNvPr>
        <xdr:cNvSpPr/>
      </xdr:nvSpPr>
      <xdr:spPr>
        <a:xfrm>
          <a:off x="14144625" y="4800600"/>
          <a:ext cx="9537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104775</xdr:colOff>
      <xdr:row>30</xdr:row>
      <xdr:rowOff>76200</xdr:rowOff>
    </xdr:from>
    <xdr:to>
      <xdr:col>46</xdr:col>
      <xdr:colOff>123825</xdr:colOff>
      <xdr:row>30</xdr:row>
      <xdr:rowOff>76200</xdr:rowOff>
    </xdr:to>
    <xdr:cxnSp macro="">
      <xdr:nvCxnSpPr>
        <xdr:cNvPr id="54710" name="직선 화살표 연결선 54709">
          <a:extLst>
            <a:ext uri="{FF2B5EF4-FFF2-40B4-BE49-F238E27FC236}">
              <a16:creationId xmlns:a16="http://schemas.microsoft.com/office/drawing/2014/main" id="{4E545835-1AE3-95EB-F476-F779460E264E}"/>
            </a:ext>
          </a:extLst>
        </xdr:cNvPr>
        <xdr:cNvCxnSpPr/>
      </xdr:nvCxnSpPr>
      <xdr:spPr>
        <a:xfrm>
          <a:off x="14144625" y="4857750"/>
          <a:ext cx="952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29</xdr:row>
      <xdr:rowOff>19050</xdr:rowOff>
    </xdr:from>
    <xdr:to>
      <xdr:col>39</xdr:col>
      <xdr:colOff>67945</xdr:colOff>
      <xdr:row>29</xdr:row>
      <xdr:rowOff>133350</xdr:rowOff>
    </xdr:to>
    <xdr:sp macro="" textlink="">
      <xdr:nvSpPr>
        <xdr:cNvPr id="54711" name="26">
          <a:extLst>
            <a:ext uri="{FF2B5EF4-FFF2-40B4-BE49-F238E27FC236}">
              <a16:creationId xmlns:a16="http://schemas.microsoft.com/office/drawing/2014/main" id="{47A48C1D-60A0-92C3-868F-CD4AD0C25F24}"/>
            </a:ext>
          </a:extLst>
        </xdr:cNvPr>
        <xdr:cNvSpPr/>
      </xdr:nvSpPr>
      <xdr:spPr>
        <a:xfrm>
          <a:off x="13611225" y="4648200"/>
          <a:ext cx="4965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29</xdr:row>
      <xdr:rowOff>76200</xdr:rowOff>
    </xdr:from>
    <xdr:to>
      <xdr:col>39</xdr:col>
      <xdr:colOff>66675</xdr:colOff>
      <xdr:row>29</xdr:row>
      <xdr:rowOff>76200</xdr:rowOff>
    </xdr:to>
    <xdr:cxnSp macro="">
      <xdr:nvCxnSpPr>
        <xdr:cNvPr id="54712" name="직선 화살표 연결선 54711">
          <a:extLst>
            <a:ext uri="{FF2B5EF4-FFF2-40B4-BE49-F238E27FC236}">
              <a16:creationId xmlns:a16="http://schemas.microsoft.com/office/drawing/2014/main" id="{E8DCA032-FFFE-4CC4-8A3E-40493178CA03}"/>
            </a:ext>
          </a:extLst>
        </xdr:cNvPr>
        <xdr:cNvCxnSpPr/>
      </xdr:nvCxnSpPr>
      <xdr:spPr>
        <a:xfrm>
          <a:off x="13611225" y="4705350"/>
          <a:ext cx="495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28</xdr:row>
      <xdr:rowOff>19050</xdr:rowOff>
    </xdr:from>
    <xdr:to>
      <xdr:col>39</xdr:col>
      <xdr:colOff>67945</xdr:colOff>
      <xdr:row>28</xdr:row>
      <xdr:rowOff>133350</xdr:rowOff>
    </xdr:to>
    <xdr:sp macro="" textlink="">
      <xdr:nvSpPr>
        <xdr:cNvPr id="54713" name="25">
          <a:extLst>
            <a:ext uri="{FF2B5EF4-FFF2-40B4-BE49-F238E27FC236}">
              <a16:creationId xmlns:a16="http://schemas.microsoft.com/office/drawing/2014/main" id="{01678555-6DE4-D96C-05B2-270B3DAE44E3}"/>
            </a:ext>
          </a:extLst>
        </xdr:cNvPr>
        <xdr:cNvSpPr/>
      </xdr:nvSpPr>
      <xdr:spPr>
        <a:xfrm>
          <a:off x="13611225" y="4495800"/>
          <a:ext cx="4965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28</xdr:row>
      <xdr:rowOff>76200</xdr:rowOff>
    </xdr:from>
    <xdr:to>
      <xdr:col>39</xdr:col>
      <xdr:colOff>66675</xdr:colOff>
      <xdr:row>28</xdr:row>
      <xdr:rowOff>76200</xdr:rowOff>
    </xdr:to>
    <xdr:cxnSp macro="">
      <xdr:nvCxnSpPr>
        <xdr:cNvPr id="54714" name="직선 화살표 연결선 54713">
          <a:extLst>
            <a:ext uri="{FF2B5EF4-FFF2-40B4-BE49-F238E27FC236}">
              <a16:creationId xmlns:a16="http://schemas.microsoft.com/office/drawing/2014/main" id="{B9384506-3087-81C4-00ED-53B6F4B903F7}"/>
            </a:ext>
          </a:extLst>
        </xdr:cNvPr>
        <xdr:cNvCxnSpPr/>
      </xdr:nvCxnSpPr>
      <xdr:spPr>
        <a:xfrm>
          <a:off x="13611225" y="4552950"/>
          <a:ext cx="495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27</xdr:row>
      <xdr:rowOff>19050</xdr:rowOff>
    </xdr:from>
    <xdr:to>
      <xdr:col>46</xdr:col>
      <xdr:colOff>125095</xdr:colOff>
      <xdr:row>27</xdr:row>
      <xdr:rowOff>133350</xdr:rowOff>
    </xdr:to>
    <xdr:sp macro="" textlink="">
      <xdr:nvSpPr>
        <xdr:cNvPr id="54715" name="24">
          <a:extLst>
            <a:ext uri="{FF2B5EF4-FFF2-40B4-BE49-F238E27FC236}">
              <a16:creationId xmlns:a16="http://schemas.microsoft.com/office/drawing/2014/main" id="{A3206C27-A6A6-9AFF-84AB-0690D8E062C5}"/>
            </a:ext>
          </a:extLst>
        </xdr:cNvPr>
        <xdr:cNvSpPr/>
      </xdr:nvSpPr>
      <xdr:spPr>
        <a:xfrm>
          <a:off x="13611225" y="4343400"/>
          <a:ext cx="14871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27</xdr:row>
      <xdr:rowOff>76200</xdr:rowOff>
    </xdr:from>
    <xdr:to>
      <xdr:col>46</xdr:col>
      <xdr:colOff>123825</xdr:colOff>
      <xdr:row>27</xdr:row>
      <xdr:rowOff>76200</xdr:rowOff>
    </xdr:to>
    <xdr:cxnSp macro="">
      <xdr:nvCxnSpPr>
        <xdr:cNvPr id="54716" name="직선 화살표 연결선 54715">
          <a:extLst>
            <a:ext uri="{FF2B5EF4-FFF2-40B4-BE49-F238E27FC236}">
              <a16:creationId xmlns:a16="http://schemas.microsoft.com/office/drawing/2014/main" id="{8CF6BCE1-E2B1-911B-4550-23CA0122863C}"/>
            </a:ext>
          </a:extLst>
        </xdr:cNvPr>
        <xdr:cNvCxnSpPr/>
      </xdr:nvCxnSpPr>
      <xdr:spPr>
        <a:xfrm>
          <a:off x="13611225" y="4400550"/>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26</xdr:row>
      <xdr:rowOff>19050</xdr:rowOff>
    </xdr:from>
    <xdr:to>
      <xdr:col>84</xdr:col>
      <xdr:colOff>48895</xdr:colOff>
      <xdr:row>26</xdr:row>
      <xdr:rowOff>133350</xdr:rowOff>
    </xdr:to>
    <xdr:sp macro="" textlink="">
      <xdr:nvSpPr>
        <xdr:cNvPr id="54717" name="23">
          <a:extLst>
            <a:ext uri="{FF2B5EF4-FFF2-40B4-BE49-F238E27FC236}">
              <a16:creationId xmlns:a16="http://schemas.microsoft.com/office/drawing/2014/main" id="{0CB7D85F-0D23-8EB6-08C9-E9AE02818307}"/>
            </a:ext>
          </a:extLst>
        </xdr:cNvPr>
        <xdr:cNvSpPr/>
      </xdr:nvSpPr>
      <xdr:spPr>
        <a:xfrm>
          <a:off x="13611225" y="4191000"/>
          <a:ext cx="6478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26</xdr:row>
      <xdr:rowOff>76200</xdr:rowOff>
    </xdr:from>
    <xdr:to>
      <xdr:col>50</xdr:col>
      <xdr:colOff>123330</xdr:colOff>
      <xdr:row>26</xdr:row>
      <xdr:rowOff>76200</xdr:rowOff>
    </xdr:to>
    <xdr:cxnSp macro="">
      <xdr:nvCxnSpPr>
        <xdr:cNvPr id="54718" name="직선 화살표 연결선 54717">
          <a:extLst>
            <a:ext uri="{FF2B5EF4-FFF2-40B4-BE49-F238E27FC236}">
              <a16:creationId xmlns:a16="http://schemas.microsoft.com/office/drawing/2014/main" id="{7F659148-92FC-63FE-85DC-FB8C9E8A0EFA}"/>
            </a:ext>
          </a:extLst>
        </xdr:cNvPr>
        <xdr:cNvCxnSpPr/>
      </xdr:nvCxnSpPr>
      <xdr:spPr>
        <a:xfrm>
          <a:off x="13611225" y="4248150"/>
          <a:ext cx="2018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123825</xdr:colOff>
      <xdr:row>25</xdr:row>
      <xdr:rowOff>19050</xdr:rowOff>
    </xdr:from>
    <xdr:to>
      <xdr:col>54</xdr:col>
      <xdr:colOff>48895</xdr:colOff>
      <xdr:row>25</xdr:row>
      <xdr:rowOff>133350</xdr:rowOff>
    </xdr:to>
    <xdr:sp macro="" textlink="">
      <xdr:nvSpPr>
        <xdr:cNvPr id="54719" name="22">
          <a:extLst>
            <a:ext uri="{FF2B5EF4-FFF2-40B4-BE49-F238E27FC236}">
              <a16:creationId xmlns:a16="http://schemas.microsoft.com/office/drawing/2014/main" id="{BD004DD1-660F-66AC-B421-9C3EC5753EAC}"/>
            </a:ext>
          </a:extLst>
        </xdr:cNvPr>
        <xdr:cNvSpPr/>
      </xdr:nvSpPr>
      <xdr:spPr>
        <a:xfrm>
          <a:off x="15097125" y="4038600"/>
          <a:ext cx="991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123825</xdr:colOff>
      <xdr:row>25</xdr:row>
      <xdr:rowOff>76200</xdr:rowOff>
    </xdr:from>
    <xdr:to>
      <xdr:col>50</xdr:col>
      <xdr:colOff>114860</xdr:colOff>
      <xdr:row>25</xdr:row>
      <xdr:rowOff>76200</xdr:rowOff>
    </xdr:to>
    <xdr:cxnSp macro="">
      <xdr:nvCxnSpPr>
        <xdr:cNvPr id="54720" name="직선 화살표 연결선 54719">
          <a:extLst>
            <a:ext uri="{FF2B5EF4-FFF2-40B4-BE49-F238E27FC236}">
              <a16:creationId xmlns:a16="http://schemas.microsoft.com/office/drawing/2014/main" id="{0FD5246E-4DA9-E919-160A-2425E4DFA22A}"/>
            </a:ext>
          </a:extLst>
        </xdr:cNvPr>
        <xdr:cNvCxnSpPr/>
      </xdr:nvCxnSpPr>
      <xdr:spPr>
        <a:xfrm>
          <a:off x="15097125" y="4095750"/>
          <a:ext cx="5244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24</xdr:row>
      <xdr:rowOff>19050</xdr:rowOff>
    </xdr:from>
    <xdr:to>
      <xdr:col>84</xdr:col>
      <xdr:colOff>48895</xdr:colOff>
      <xdr:row>24</xdr:row>
      <xdr:rowOff>133350</xdr:rowOff>
    </xdr:to>
    <xdr:sp macro="" textlink="">
      <xdr:nvSpPr>
        <xdr:cNvPr id="54721" name="21">
          <a:extLst>
            <a:ext uri="{FF2B5EF4-FFF2-40B4-BE49-F238E27FC236}">
              <a16:creationId xmlns:a16="http://schemas.microsoft.com/office/drawing/2014/main" id="{8D71836F-3DA0-B547-A5F1-34131D8AECEF}"/>
            </a:ext>
          </a:extLst>
        </xdr:cNvPr>
        <xdr:cNvSpPr/>
      </xdr:nvSpPr>
      <xdr:spPr>
        <a:xfrm>
          <a:off x="13611225" y="3886200"/>
          <a:ext cx="6478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24</xdr:row>
      <xdr:rowOff>76200</xdr:rowOff>
    </xdr:from>
    <xdr:to>
      <xdr:col>50</xdr:col>
      <xdr:colOff>123330</xdr:colOff>
      <xdr:row>24</xdr:row>
      <xdr:rowOff>76200</xdr:rowOff>
    </xdr:to>
    <xdr:cxnSp macro="">
      <xdr:nvCxnSpPr>
        <xdr:cNvPr id="54722" name="직선 화살표 연결선 54721">
          <a:extLst>
            <a:ext uri="{FF2B5EF4-FFF2-40B4-BE49-F238E27FC236}">
              <a16:creationId xmlns:a16="http://schemas.microsoft.com/office/drawing/2014/main" id="{663DEB83-94D4-0786-62C8-7BD6C059A081}"/>
            </a:ext>
          </a:extLst>
        </xdr:cNvPr>
        <xdr:cNvCxnSpPr/>
      </xdr:nvCxnSpPr>
      <xdr:spPr>
        <a:xfrm>
          <a:off x="13611225" y="3943350"/>
          <a:ext cx="2018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23</xdr:row>
      <xdr:rowOff>19050</xdr:rowOff>
    </xdr:from>
    <xdr:to>
      <xdr:col>84</xdr:col>
      <xdr:colOff>48895</xdr:colOff>
      <xdr:row>23</xdr:row>
      <xdr:rowOff>133350</xdr:rowOff>
    </xdr:to>
    <xdr:sp macro="" textlink="">
      <xdr:nvSpPr>
        <xdr:cNvPr id="54723" name="20">
          <a:extLst>
            <a:ext uri="{FF2B5EF4-FFF2-40B4-BE49-F238E27FC236}">
              <a16:creationId xmlns:a16="http://schemas.microsoft.com/office/drawing/2014/main" id="{0E3B7BE3-A1E1-FB3A-6AEA-5203493C322D}"/>
            </a:ext>
          </a:extLst>
        </xdr:cNvPr>
        <xdr:cNvSpPr/>
      </xdr:nvSpPr>
      <xdr:spPr>
        <a:xfrm>
          <a:off x="13611225" y="3733800"/>
          <a:ext cx="6478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23</xdr:row>
      <xdr:rowOff>76200</xdr:rowOff>
    </xdr:from>
    <xdr:to>
      <xdr:col>50</xdr:col>
      <xdr:colOff>123330</xdr:colOff>
      <xdr:row>23</xdr:row>
      <xdr:rowOff>76200</xdr:rowOff>
    </xdr:to>
    <xdr:cxnSp macro="">
      <xdr:nvCxnSpPr>
        <xdr:cNvPr id="54724" name="직선 화살표 연결선 54723">
          <a:extLst>
            <a:ext uri="{FF2B5EF4-FFF2-40B4-BE49-F238E27FC236}">
              <a16:creationId xmlns:a16="http://schemas.microsoft.com/office/drawing/2014/main" id="{0361EE39-6FC9-70C7-D132-42E5542B10D7}"/>
            </a:ext>
          </a:extLst>
        </xdr:cNvPr>
        <xdr:cNvCxnSpPr/>
      </xdr:nvCxnSpPr>
      <xdr:spPr>
        <a:xfrm>
          <a:off x="13611225" y="3790950"/>
          <a:ext cx="20188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22</xdr:row>
      <xdr:rowOff>19050</xdr:rowOff>
    </xdr:from>
    <xdr:to>
      <xdr:col>84</xdr:col>
      <xdr:colOff>48895</xdr:colOff>
      <xdr:row>22</xdr:row>
      <xdr:rowOff>133350</xdr:rowOff>
    </xdr:to>
    <xdr:sp macro="" textlink="">
      <xdr:nvSpPr>
        <xdr:cNvPr id="54725" name="19">
          <a:extLst>
            <a:ext uri="{FF2B5EF4-FFF2-40B4-BE49-F238E27FC236}">
              <a16:creationId xmlns:a16="http://schemas.microsoft.com/office/drawing/2014/main" id="{A77B3F31-A6CD-620C-CD36-869CB405CB65}"/>
            </a:ext>
          </a:extLst>
        </xdr:cNvPr>
        <xdr:cNvSpPr/>
      </xdr:nvSpPr>
      <xdr:spPr>
        <a:xfrm>
          <a:off x="13611225" y="3581400"/>
          <a:ext cx="64782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22</xdr:row>
      <xdr:rowOff>76200</xdr:rowOff>
    </xdr:from>
    <xdr:to>
      <xdr:col>51</xdr:col>
      <xdr:colOff>55931</xdr:colOff>
      <xdr:row>22</xdr:row>
      <xdr:rowOff>76200</xdr:rowOff>
    </xdr:to>
    <xdr:cxnSp macro="">
      <xdr:nvCxnSpPr>
        <xdr:cNvPr id="54726" name="직선 화살표 연결선 54725">
          <a:extLst>
            <a:ext uri="{FF2B5EF4-FFF2-40B4-BE49-F238E27FC236}">
              <a16:creationId xmlns:a16="http://schemas.microsoft.com/office/drawing/2014/main" id="{A7B1CEE0-DF46-0EDC-B013-A6B8D05AEFD8}"/>
            </a:ext>
          </a:extLst>
        </xdr:cNvPr>
        <xdr:cNvCxnSpPr/>
      </xdr:nvCxnSpPr>
      <xdr:spPr>
        <a:xfrm>
          <a:off x="13611225" y="3638550"/>
          <a:ext cx="20847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21</xdr:row>
      <xdr:rowOff>19050</xdr:rowOff>
    </xdr:from>
    <xdr:to>
      <xdr:col>84</xdr:col>
      <xdr:colOff>48895</xdr:colOff>
      <xdr:row>21</xdr:row>
      <xdr:rowOff>133350</xdr:rowOff>
    </xdr:to>
    <xdr:sp macro="" textlink="">
      <xdr:nvSpPr>
        <xdr:cNvPr id="54727" name="18">
          <a:extLst>
            <a:ext uri="{FF2B5EF4-FFF2-40B4-BE49-F238E27FC236}">
              <a16:creationId xmlns:a16="http://schemas.microsoft.com/office/drawing/2014/main" id="{B4F02A81-DA8B-4F35-3FED-B7DD52658E04}"/>
            </a:ext>
          </a:extLst>
        </xdr:cNvPr>
        <xdr:cNvSpPr/>
      </xdr:nvSpPr>
      <xdr:spPr>
        <a:xfrm>
          <a:off x="13611225" y="3429000"/>
          <a:ext cx="6478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21</xdr:row>
      <xdr:rowOff>76200</xdr:rowOff>
    </xdr:from>
    <xdr:to>
      <xdr:col>50</xdr:col>
      <xdr:colOff>67252</xdr:colOff>
      <xdr:row>21</xdr:row>
      <xdr:rowOff>76200</xdr:rowOff>
    </xdr:to>
    <xdr:cxnSp macro="">
      <xdr:nvCxnSpPr>
        <xdr:cNvPr id="54728" name="직선 화살표 연결선 54727">
          <a:extLst>
            <a:ext uri="{FF2B5EF4-FFF2-40B4-BE49-F238E27FC236}">
              <a16:creationId xmlns:a16="http://schemas.microsoft.com/office/drawing/2014/main" id="{A9B9875D-F5FD-78EA-F95C-E566D3935785}"/>
            </a:ext>
          </a:extLst>
        </xdr:cNvPr>
        <xdr:cNvCxnSpPr/>
      </xdr:nvCxnSpPr>
      <xdr:spPr>
        <a:xfrm>
          <a:off x="13611225" y="3486150"/>
          <a:ext cx="19627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20</xdr:row>
      <xdr:rowOff>19050</xdr:rowOff>
    </xdr:from>
    <xdr:to>
      <xdr:col>36</xdr:col>
      <xdr:colOff>98425</xdr:colOff>
      <xdr:row>20</xdr:row>
      <xdr:rowOff>146050</xdr:rowOff>
    </xdr:to>
    <xdr:sp macro="" textlink="">
      <xdr:nvSpPr>
        <xdr:cNvPr id="54729" name="17">
          <a:extLst>
            <a:ext uri="{FF2B5EF4-FFF2-40B4-BE49-F238E27FC236}">
              <a16:creationId xmlns:a16="http://schemas.microsoft.com/office/drawing/2014/main" id="{1C740E5E-3552-02F2-A6D0-3C618A49459D}"/>
            </a:ext>
          </a:extLst>
        </xdr:cNvPr>
        <xdr:cNvSpPr/>
      </xdr:nvSpPr>
      <xdr:spPr>
        <a:xfrm>
          <a:off x="13611225" y="3276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19</xdr:row>
      <xdr:rowOff>19050</xdr:rowOff>
    </xdr:from>
    <xdr:to>
      <xdr:col>84</xdr:col>
      <xdr:colOff>48895</xdr:colOff>
      <xdr:row>19</xdr:row>
      <xdr:rowOff>133350</xdr:rowOff>
    </xdr:to>
    <xdr:sp macro="" textlink="">
      <xdr:nvSpPr>
        <xdr:cNvPr id="54730" name="16">
          <a:extLst>
            <a:ext uri="{FF2B5EF4-FFF2-40B4-BE49-F238E27FC236}">
              <a16:creationId xmlns:a16="http://schemas.microsoft.com/office/drawing/2014/main" id="{E0EBB6E7-DCFF-16B2-2889-88C3BDA8AD84}"/>
            </a:ext>
          </a:extLst>
        </xdr:cNvPr>
        <xdr:cNvSpPr/>
      </xdr:nvSpPr>
      <xdr:spPr>
        <a:xfrm>
          <a:off x="13611225" y="3124200"/>
          <a:ext cx="64782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19</xdr:row>
      <xdr:rowOff>76200</xdr:rowOff>
    </xdr:from>
    <xdr:to>
      <xdr:col>50</xdr:col>
      <xdr:colOff>67252</xdr:colOff>
      <xdr:row>19</xdr:row>
      <xdr:rowOff>76200</xdr:rowOff>
    </xdr:to>
    <xdr:cxnSp macro="">
      <xdr:nvCxnSpPr>
        <xdr:cNvPr id="54731" name="직선 화살표 연결선 54730">
          <a:extLst>
            <a:ext uri="{FF2B5EF4-FFF2-40B4-BE49-F238E27FC236}">
              <a16:creationId xmlns:a16="http://schemas.microsoft.com/office/drawing/2014/main" id="{76B40F61-5D8B-D4D8-3F57-836B88F6123E}"/>
            </a:ext>
          </a:extLst>
        </xdr:cNvPr>
        <xdr:cNvCxnSpPr/>
      </xdr:nvCxnSpPr>
      <xdr:spPr>
        <a:xfrm>
          <a:off x="13611225" y="3181350"/>
          <a:ext cx="19627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18</xdr:row>
      <xdr:rowOff>19050</xdr:rowOff>
    </xdr:from>
    <xdr:to>
      <xdr:col>84</xdr:col>
      <xdr:colOff>48895</xdr:colOff>
      <xdr:row>18</xdr:row>
      <xdr:rowOff>133350</xdr:rowOff>
    </xdr:to>
    <xdr:sp macro="" textlink="">
      <xdr:nvSpPr>
        <xdr:cNvPr id="54732" name="15">
          <a:extLst>
            <a:ext uri="{FF2B5EF4-FFF2-40B4-BE49-F238E27FC236}">
              <a16:creationId xmlns:a16="http://schemas.microsoft.com/office/drawing/2014/main" id="{249F3923-3A12-5733-05E8-6FD18422BC5B}"/>
            </a:ext>
          </a:extLst>
        </xdr:cNvPr>
        <xdr:cNvSpPr/>
      </xdr:nvSpPr>
      <xdr:spPr>
        <a:xfrm>
          <a:off x="13611225" y="2971800"/>
          <a:ext cx="64782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18</xdr:row>
      <xdr:rowOff>76200</xdr:rowOff>
    </xdr:from>
    <xdr:to>
      <xdr:col>50</xdr:col>
      <xdr:colOff>67252</xdr:colOff>
      <xdr:row>18</xdr:row>
      <xdr:rowOff>76200</xdr:rowOff>
    </xdr:to>
    <xdr:cxnSp macro="">
      <xdr:nvCxnSpPr>
        <xdr:cNvPr id="54733" name="직선 화살표 연결선 54732">
          <a:extLst>
            <a:ext uri="{FF2B5EF4-FFF2-40B4-BE49-F238E27FC236}">
              <a16:creationId xmlns:a16="http://schemas.microsoft.com/office/drawing/2014/main" id="{2D24E992-07DC-4113-254A-1BBBC8732061}"/>
            </a:ext>
          </a:extLst>
        </xdr:cNvPr>
        <xdr:cNvCxnSpPr/>
      </xdr:nvCxnSpPr>
      <xdr:spPr>
        <a:xfrm>
          <a:off x="13611225" y="3028950"/>
          <a:ext cx="19627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17</xdr:row>
      <xdr:rowOff>19050</xdr:rowOff>
    </xdr:from>
    <xdr:to>
      <xdr:col>84</xdr:col>
      <xdr:colOff>48895</xdr:colOff>
      <xdr:row>17</xdr:row>
      <xdr:rowOff>133350</xdr:rowOff>
    </xdr:to>
    <xdr:sp macro="" textlink="">
      <xdr:nvSpPr>
        <xdr:cNvPr id="54734" name="14">
          <a:extLst>
            <a:ext uri="{FF2B5EF4-FFF2-40B4-BE49-F238E27FC236}">
              <a16:creationId xmlns:a16="http://schemas.microsoft.com/office/drawing/2014/main" id="{CC984797-9E05-59FD-C642-595FBBD3B5E2}"/>
            </a:ext>
          </a:extLst>
        </xdr:cNvPr>
        <xdr:cNvSpPr/>
      </xdr:nvSpPr>
      <xdr:spPr>
        <a:xfrm>
          <a:off x="13611225" y="2819400"/>
          <a:ext cx="64782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17</xdr:row>
      <xdr:rowOff>76200</xdr:rowOff>
    </xdr:from>
    <xdr:to>
      <xdr:col>50</xdr:col>
      <xdr:colOff>67252</xdr:colOff>
      <xdr:row>17</xdr:row>
      <xdr:rowOff>76200</xdr:rowOff>
    </xdr:to>
    <xdr:cxnSp macro="">
      <xdr:nvCxnSpPr>
        <xdr:cNvPr id="54735" name="직선 화살표 연결선 54734">
          <a:extLst>
            <a:ext uri="{FF2B5EF4-FFF2-40B4-BE49-F238E27FC236}">
              <a16:creationId xmlns:a16="http://schemas.microsoft.com/office/drawing/2014/main" id="{8F026574-CC10-6DE2-6A32-C8A7A5261183}"/>
            </a:ext>
          </a:extLst>
        </xdr:cNvPr>
        <xdr:cNvCxnSpPr/>
      </xdr:nvCxnSpPr>
      <xdr:spPr>
        <a:xfrm>
          <a:off x="13611225" y="2876550"/>
          <a:ext cx="19627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104775</xdr:colOff>
      <xdr:row>16</xdr:row>
      <xdr:rowOff>19050</xdr:rowOff>
    </xdr:from>
    <xdr:to>
      <xdr:col>84</xdr:col>
      <xdr:colOff>48895</xdr:colOff>
      <xdr:row>16</xdr:row>
      <xdr:rowOff>133350</xdr:rowOff>
    </xdr:to>
    <xdr:sp macro="" textlink="">
      <xdr:nvSpPr>
        <xdr:cNvPr id="54736" name="13">
          <a:extLst>
            <a:ext uri="{FF2B5EF4-FFF2-40B4-BE49-F238E27FC236}">
              <a16:creationId xmlns:a16="http://schemas.microsoft.com/office/drawing/2014/main" id="{DBE2FFE7-B173-6E58-781B-3FE0F60F8FC9}"/>
            </a:ext>
          </a:extLst>
        </xdr:cNvPr>
        <xdr:cNvSpPr/>
      </xdr:nvSpPr>
      <xdr:spPr>
        <a:xfrm>
          <a:off x="13611225" y="2667000"/>
          <a:ext cx="64782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104775</xdr:colOff>
      <xdr:row>16</xdr:row>
      <xdr:rowOff>76200</xdr:rowOff>
    </xdr:from>
    <xdr:to>
      <xdr:col>51</xdr:col>
      <xdr:colOff>8516</xdr:colOff>
      <xdr:row>16</xdr:row>
      <xdr:rowOff>76200</xdr:rowOff>
    </xdr:to>
    <xdr:cxnSp macro="">
      <xdr:nvCxnSpPr>
        <xdr:cNvPr id="54737" name="직선 화살표 연결선 54736">
          <a:extLst>
            <a:ext uri="{FF2B5EF4-FFF2-40B4-BE49-F238E27FC236}">
              <a16:creationId xmlns:a16="http://schemas.microsoft.com/office/drawing/2014/main" id="{858AAD59-AF2A-A171-D59D-E53E2E741C3A}"/>
            </a:ext>
          </a:extLst>
        </xdr:cNvPr>
        <xdr:cNvCxnSpPr/>
      </xdr:nvCxnSpPr>
      <xdr:spPr>
        <a:xfrm>
          <a:off x="13611225" y="2724150"/>
          <a:ext cx="2037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15</xdr:row>
      <xdr:rowOff>19050</xdr:rowOff>
    </xdr:from>
    <xdr:to>
      <xdr:col>35</xdr:col>
      <xdr:colOff>67945</xdr:colOff>
      <xdr:row>15</xdr:row>
      <xdr:rowOff>133350</xdr:rowOff>
    </xdr:to>
    <xdr:sp macro="" textlink="">
      <xdr:nvSpPr>
        <xdr:cNvPr id="54738" name="12">
          <a:extLst>
            <a:ext uri="{FF2B5EF4-FFF2-40B4-BE49-F238E27FC236}">
              <a16:creationId xmlns:a16="http://schemas.microsoft.com/office/drawing/2014/main" id="{CAA6DD01-2142-CAB8-D61D-193419299037}"/>
            </a:ext>
          </a:extLst>
        </xdr:cNvPr>
        <xdr:cNvSpPr/>
      </xdr:nvSpPr>
      <xdr:spPr>
        <a:xfrm>
          <a:off x="13477875" y="2514600"/>
          <a:ext cx="965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104775</xdr:colOff>
      <xdr:row>15</xdr:row>
      <xdr:rowOff>76200</xdr:rowOff>
    </xdr:from>
    <xdr:to>
      <xdr:col>35</xdr:col>
      <xdr:colOff>66675</xdr:colOff>
      <xdr:row>15</xdr:row>
      <xdr:rowOff>76200</xdr:rowOff>
    </xdr:to>
    <xdr:cxnSp macro="">
      <xdr:nvCxnSpPr>
        <xdr:cNvPr id="54739" name="직선 화살표 연결선 54738">
          <a:extLst>
            <a:ext uri="{FF2B5EF4-FFF2-40B4-BE49-F238E27FC236}">
              <a16:creationId xmlns:a16="http://schemas.microsoft.com/office/drawing/2014/main" id="{7753DCBD-64DE-A4A5-C4CD-F137A1B1F16E}"/>
            </a:ext>
          </a:extLst>
        </xdr:cNvPr>
        <xdr:cNvCxnSpPr/>
      </xdr:nvCxnSpPr>
      <xdr:spPr>
        <a:xfrm>
          <a:off x="13477875" y="2571750"/>
          <a:ext cx="9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104775</xdr:colOff>
      <xdr:row>14</xdr:row>
      <xdr:rowOff>19050</xdr:rowOff>
    </xdr:from>
    <xdr:to>
      <xdr:col>35</xdr:col>
      <xdr:colOff>67945</xdr:colOff>
      <xdr:row>14</xdr:row>
      <xdr:rowOff>133350</xdr:rowOff>
    </xdr:to>
    <xdr:sp macro="" textlink="">
      <xdr:nvSpPr>
        <xdr:cNvPr id="54740" name="11">
          <a:extLst>
            <a:ext uri="{FF2B5EF4-FFF2-40B4-BE49-F238E27FC236}">
              <a16:creationId xmlns:a16="http://schemas.microsoft.com/office/drawing/2014/main" id="{F72E0641-978A-257C-214A-383AD1728C55}"/>
            </a:ext>
          </a:extLst>
        </xdr:cNvPr>
        <xdr:cNvSpPr/>
      </xdr:nvSpPr>
      <xdr:spPr>
        <a:xfrm>
          <a:off x="13344525" y="2362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104775</xdr:colOff>
      <xdr:row>14</xdr:row>
      <xdr:rowOff>76200</xdr:rowOff>
    </xdr:from>
    <xdr:to>
      <xdr:col>35</xdr:col>
      <xdr:colOff>66675</xdr:colOff>
      <xdr:row>14</xdr:row>
      <xdr:rowOff>76200</xdr:rowOff>
    </xdr:to>
    <xdr:cxnSp macro="">
      <xdr:nvCxnSpPr>
        <xdr:cNvPr id="54741" name="직선 화살표 연결선 54740">
          <a:extLst>
            <a:ext uri="{FF2B5EF4-FFF2-40B4-BE49-F238E27FC236}">
              <a16:creationId xmlns:a16="http://schemas.microsoft.com/office/drawing/2014/main" id="{657E56AB-1943-B652-275D-10EFAA5D9438}"/>
            </a:ext>
          </a:extLst>
        </xdr:cNvPr>
        <xdr:cNvCxnSpPr/>
      </xdr:nvCxnSpPr>
      <xdr:spPr>
        <a:xfrm>
          <a:off x="13344525" y="2419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13</xdr:row>
      <xdr:rowOff>19050</xdr:rowOff>
    </xdr:from>
    <xdr:to>
      <xdr:col>35</xdr:col>
      <xdr:colOff>67945</xdr:colOff>
      <xdr:row>13</xdr:row>
      <xdr:rowOff>133350</xdr:rowOff>
    </xdr:to>
    <xdr:sp macro="" textlink="">
      <xdr:nvSpPr>
        <xdr:cNvPr id="54742" name="10">
          <a:extLst>
            <a:ext uri="{FF2B5EF4-FFF2-40B4-BE49-F238E27FC236}">
              <a16:creationId xmlns:a16="http://schemas.microsoft.com/office/drawing/2014/main" id="{B1FEE679-D569-E575-C607-4DB6362C2542}"/>
            </a:ext>
          </a:extLst>
        </xdr:cNvPr>
        <xdr:cNvSpPr/>
      </xdr:nvSpPr>
      <xdr:spPr>
        <a:xfrm>
          <a:off x="12944475" y="2209800"/>
          <a:ext cx="6299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13</xdr:row>
      <xdr:rowOff>76200</xdr:rowOff>
    </xdr:from>
    <xdr:to>
      <xdr:col>35</xdr:col>
      <xdr:colOff>66675</xdr:colOff>
      <xdr:row>13</xdr:row>
      <xdr:rowOff>76200</xdr:rowOff>
    </xdr:to>
    <xdr:cxnSp macro="">
      <xdr:nvCxnSpPr>
        <xdr:cNvPr id="54743" name="직선 화살표 연결선 54742">
          <a:extLst>
            <a:ext uri="{FF2B5EF4-FFF2-40B4-BE49-F238E27FC236}">
              <a16:creationId xmlns:a16="http://schemas.microsoft.com/office/drawing/2014/main" id="{3E99D515-E169-0A6E-B49E-A1A9D7E08B8E}"/>
            </a:ext>
          </a:extLst>
        </xdr:cNvPr>
        <xdr:cNvCxnSpPr/>
      </xdr:nvCxnSpPr>
      <xdr:spPr>
        <a:xfrm>
          <a:off x="12944475" y="22669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12</xdr:row>
      <xdr:rowOff>19050</xdr:rowOff>
    </xdr:from>
    <xdr:to>
      <xdr:col>35</xdr:col>
      <xdr:colOff>67945</xdr:colOff>
      <xdr:row>12</xdr:row>
      <xdr:rowOff>133350</xdr:rowOff>
    </xdr:to>
    <xdr:sp macro="" textlink="">
      <xdr:nvSpPr>
        <xdr:cNvPr id="54744" name="9">
          <a:extLst>
            <a:ext uri="{FF2B5EF4-FFF2-40B4-BE49-F238E27FC236}">
              <a16:creationId xmlns:a16="http://schemas.microsoft.com/office/drawing/2014/main" id="{4D858C4D-FD5A-1010-0D39-02ECC8EC4286}"/>
            </a:ext>
          </a:extLst>
        </xdr:cNvPr>
        <xdr:cNvSpPr/>
      </xdr:nvSpPr>
      <xdr:spPr>
        <a:xfrm>
          <a:off x="12944475" y="20574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12</xdr:row>
      <xdr:rowOff>76200</xdr:rowOff>
    </xdr:from>
    <xdr:to>
      <xdr:col>35</xdr:col>
      <xdr:colOff>66675</xdr:colOff>
      <xdr:row>12</xdr:row>
      <xdr:rowOff>76200</xdr:rowOff>
    </xdr:to>
    <xdr:cxnSp macro="">
      <xdr:nvCxnSpPr>
        <xdr:cNvPr id="54745" name="직선 화살표 연결선 54744">
          <a:extLst>
            <a:ext uri="{FF2B5EF4-FFF2-40B4-BE49-F238E27FC236}">
              <a16:creationId xmlns:a16="http://schemas.microsoft.com/office/drawing/2014/main" id="{7C909F78-3ED8-AECA-CA48-05BF5D65F6F2}"/>
            </a:ext>
          </a:extLst>
        </xdr:cNvPr>
        <xdr:cNvCxnSpPr/>
      </xdr:nvCxnSpPr>
      <xdr:spPr>
        <a:xfrm>
          <a:off x="12944475" y="21145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11</xdr:row>
      <xdr:rowOff>19050</xdr:rowOff>
    </xdr:from>
    <xdr:to>
      <xdr:col>32</xdr:col>
      <xdr:colOff>67945</xdr:colOff>
      <xdr:row>11</xdr:row>
      <xdr:rowOff>133350</xdr:rowOff>
    </xdr:to>
    <xdr:sp macro="" textlink="">
      <xdr:nvSpPr>
        <xdr:cNvPr id="54746" name="8">
          <a:extLst>
            <a:ext uri="{FF2B5EF4-FFF2-40B4-BE49-F238E27FC236}">
              <a16:creationId xmlns:a16="http://schemas.microsoft.com/office/drawing/2014/main" id="{D8FBE5B5-2E7C-9FD7-8340-694B12D967FE}"/>
            </a:ext>
          </a:extLst>
        </xdr:cNvPr>
        <xdr:cNvSpPr/>
      </xdr:nvSpPr>
      <xdr:spPr>
        <a:xfrm>
          <a:off x="12944475" y="19050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11</xdr:row>
      <xdr:rowOff>76200</xdr:rowOff>
    </xdr:from>
    <xdr:to>
      <xdr:col>32</xdr:col>
      <xdr:colOff>66675</xdr:colOff>
      <xdr:row>11</xdr:row>
      <xdr:rowOff>76200</xdr:rowOff>
    </xdr:to>
    <xdr:cxnSp macro="">
      <xdr:nvCxnSpPr>
        <xdr:cNvPr id="54747" name="직선 화살표 연결선 54746">
          <a:extLst>
            <a:ext uri="{FF2B5EF4-FFF2-40B4-BE49-F238E27FC236}">
              <a16:creationId xmlns:a16="http://schemas.microsoft.com/office/drawing/2014/main" id="{F0DC88A4-6EE1-3D6D-AF73-A21882A4643D}"/>
            </a:ext>
          </a:extLst>
        </xdr:cNvPr>
        <xdr:cNvCxnSpPr/>
      </xdr:nvCxnSpPr>
      <xdr:spPr>
        <a:xfrm>
          <a:off x="12944475" y="1962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10</xdr:row>
      <xdr:rowOff>19050</xdr:rowOff>
    </xdr:from>
    <xdr:to>
      <xdr:col>31</xdr:col>
      <xdr:colOff>98425</xdr:colOff>
      <xdr:row>10</xdr:row>
      <xdr:rowOff>146050</xdr:rowOff>
    </xdr:to>
    <xdr:sp macro="" textlink="">
      <xdr:nvSpPr>
        <xdr:cNvPr id="54748" name="7">
          <a:extLst>
            <a:ext uri="{FF2B5EF4-FFF2-40B4-BE49-F238E27FC236}">
              <a16:creationId xmlns:a16="http://schemas.microsoft.com/office/drawing/2014/main" id="{AF4C2916-0418-DA31-EBF0-8EDE33C49FA6}"/>
            </a:ext>
          </a:extLst>
        </xdr:cNvPr>
        <xdr:cNvSpPr/>
      </xdr:nvSpPr>
      <xdr:spPr>
        <a:xfrm>
          <a:off x="12944475" y="1752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19050</xdr:rowOff>
    </xdr:from>
    <xdr:to>
      <xdr:col>32</xdr:col>
      <xdr:colOff>67945</xdr:colOff>
      <xdr:row>9</xdr:row>
      <xdr:rowOff>133350</xdr:rowOff>
    </xdr:to>
    <xdr:sp macro="" textlink="">
      <xdr:nvSpPr>
        <xdr:cNvPr id="54749" name="6">
          <a:extLst>
            <a:ext uri="{FF2B5EF4-FFF2-40B4-BE49-F238E27FC236}">
              <a16:creationId xmlns:a16="http://schemas.microsoft.com/office/drawing/2014/main" id="{4C4C80B4-9CE7-C82B-B8B2-C4C0D60C93D0}"/>
            </a:ext>
          </a:extLst>
        </xdr:cNvPr>
        <xdr:cNvSpPr/>
      </xdr:nvSpPr>
      <xdr:spPr>
        <a:xfrm>
          <a:off x="12944475" y="16002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9</xdr:row>
      <xdr:rowOff>76200</xdr:rowOff>
    </xdr:from>
    <xdr:to>
      <xdr:col>32</xdr:col>
      <xdr:colOff>66675</xdr:colOff>
      <xdr:row>9</xdr:row>
      <xdr:rowOff>76200</xdr:rowOff>
    </xdr:to>
    <xdr:cxnSp macro="">
      <xdr:nvCxnSpPr>
        <xdr:cNvPr id="54750" name="직선 화살표 연결선 54749">
          <a:extLst>
            <a:ext uri="{FF2B5EF4-FFF2-40B4-BE49-F238E27FC236}">
              <a16:creationId xmlns:a16="http://schemas.microsoft.com/office/drawing/2014/main" id="{066F2C8B-AE18-D475-1B93-B8BA7521A0F6}"/>
            </a:ext>
          </a:extLst>
        </xdr:cNvPr>
        <xdr:cNvCxnSpPr/>
      </xdr:nvCxnSpPr>
      <xdr:spPr>
        <a:xfrm>
          <a:off x="12944475" y="16573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8</xdr:row>
      <xdr:rowOff>19050</xdr:rowOff>
    </xdr:from>
    <xdr:to>
      <xdr:col>32</xdr:col>
      <xdr:colOff>67945</xdr:colOff>
      <xdr:row>8</xdr:row>
      <xdr:rowOff>133350</xdr:rowOff>
    </xdr:to>
    <xdr:sp macro="" textlink="">
      <xdr:nvSpPr>
        <xdr:cNvPr id="54751" name="5">
          <a:extLst>
            <a:ext uri="{FF2B5EF4-FFF2-40B4-BE49-F238E27FC236}">
              <a16:creationId xmlns:a16="http://schemas.microsoft.com/office/drawing/2014/main" id="{5177C5FA-180E-F938-6FCB-80160EA14284}"/>
            </a:ext>
          </a:extLst>
        </xdr:cNvPr>
        <xdr:cNvSpPr/>
      </xdr:nvSpPr>
      <xdr:spPr>
        <a:xfrm>
          <a:off x="12944475" y="14478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8</xdr:row>
      <xdr:rowOff>76200</xdr:rowOff>
    </xdr:from>
    <xdr:to>
      <xdr:col>32</xdr:col>
      <xdr:colOff>66675</xdr:colOff>
      <xdr:row>8</xdr:row>
      <xdr:rowOff>76200</xdr:rowOff>
    </xdr:to>
    <xdr:cxnSp macro="">
      <xdr:nvCxnSpPr>
        <xdr:cNvPr id="54752" name="직선 화살표 연결선 54751">
          <a:extLst>
            <a:ext uri="{FF2B5EF4-FFF2-40B4-BE49-F238E27FC236}">
              <a16:creationId xmlns:a16="http://schemas.microsoft.com/office/drawing/2014/main" id="{B6E45E27-9850-382C-EA13-28B410D48878}"/>
            </a:ext>
          </a:extLst>
        </xdr:cNvPr>
        <xdr:cNvCxnSpPr/>
      </xdr:nvCxnSpPr>
      <xdr:spPr>
        <a:xfrm>
          <a:off x="12944475" y="15049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7</xdr:row>
      <xdr:rowOff>19050</xdr:rowOff>
    </xdr:from>
    <xdr:to>
      <xdr:col>32</xdr:col>
      <xdr:colOff>67945</xdr:colOff>
      <xdr:row>7</xdr:row>
      <xdr:rowOff>133350</xdr:rowOff>
    </xdr:to>
    <xdr:sp macro="" textlink="">
      <xdr:nvSpPr>
        <xdr:cNvPr id="54753" name="4">
          <a:extLst>
            <a:ext uri="{FF2B5EF4-FFF2-40B4-BE49-F238E27FC236}">
              <a16:creationId xmlns:a16="http://schemas.microsoft.com/office/drawing/2014/main" id="{2A185D82-D99D-E8F1-557E-A3411C1A7329}"/>
            </a:ext>
          </a:extLst>
        </xdr:cNvPr>
        <xdr:cNvSpPr/>
      </xdr:nvSpPr>
      <xdr:spPr>
        <a:xfrm>
          <a:off x="12944475" y="1295400"/>
          <a:ext cx="22987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7</xdr:row>
      <xdr:rowOff>76200</xdr:rowOff>
    </xdr:from>
    <xdr:to>
      <xdr:col>32</xdr:col>
      <xdr:colOff>66675</xdr:colOff>
      <xdr:row>7</xdr:row>
      <xdr:rowOff>76200</xdr:rowOff>
    </xdr:to>
    <xdr:cxnSp macro="">
      <xdr:nvCxnSpPr>
        <xdr:cNvPr id="54754" name="직선 화살표 연결선 54753">
          <a:extLst>
            <a:ext uri="{FF2B5EF4-FFF2-40B4-BE49-F238E27FC236}">
              <a16:creationId xmlns:a16="http://schemas.microsoft.com/office/drawing/2014/main" id="{6AA06B9C-6B36-6C12-F1A2-99906785B930}"/>
            </a:ext>
          </a:extLst>
        </xdr:cNvPr>
        <xdr:cNvCxnSpPr/>
      </xdr:nvCxnSpPr>
      <xdr:spPr>
        <a:xfrm>
          <a:off x="12944475" y="13525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6</xdr:row>
      <xdr:rowOff>19050</xdr:rowOff>
    </xdr:from>
    <xdr:to>
      <xdr:col>32</xdr:col>
      <xdr:colOff>67945</xdr:colOff>
      <xdr:row>6</xdr:row>
      <xdr:rowOff>133350</xdr:rowOff>
    </xdr:to>
    <xdr:sp macro="" textlink="">
      <xdr:nvSpPr>
        <xdr:cNvPr id="54755" name="3">
          <a:extLst>
            <a:ext uri="{FF2B5EF4-FFF2-40B4-BE49-F238E27FC236}">
              <a16:creationId xmlns:a16="http://schemas.microsoft.com/office/drawing/2014/main" id="{31498EC3-27A8-8AA5-4AD1-8EE6D3401EDE}"/>
            </a:ext>
          </a:extLst>
        </xdr:cNvPr>
        <xdr:cNvSpPr/>
      </xdr:nvSpPr>
      <xdr:spPr>
        <a:xfrm>
          <a:off x="12944475" y="1143000"/>
          <a:ext cx="22987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6</xdr:row>
      <xdr:rowOff>76200</xdr:rowOff>
    </xdr:from>
    <xdr:to>
      <xdr:col>32</xdr:col>
      <xdr:colOff>66675</xdr:colOff>
      <xdr:row>6</xdr:row>
      <xdr:rowOff>76200</xdr:rowOff>
    </xdr:to>
    <xdr:cxnSp macro="">
      <xdr:nvCxnSpPr>
        <xdr:cNvPr id="54756" name="직선 화살표 연결선 54755">
          <a:extLst>
            <a:ext uri="{FF2B5EF4-FFF2-40B4-BE49-F238E27FC236}">
              <a16:creationId xmlns:a16="http://schemas.microsoft.com/office/drawing/2014/main" id="{84E81737-4170-07F0-9816-85B869091CD7}"/>
            </a:ext>
          </a:extLst>
        </xdr:cNvPr>
        <xdr:cNvCxnSpPr/>
      </xdr:nvCxnSpPr>
      <xdr:spPr>
        <a:xfrm>
          <a:off x="12944475" y="120015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5</xdr:row>
      <xdr:rowOff>19050</xdr:rowOff>
    </xdr:from>
    <xdr:to>
      <xdr:col>35</xdr:col>
      <xdr:colOff>67945</xdr:colOff>
      <xdr:row>5</xdr:row>
      <xdr:rowOff>133350</xdr:rowOff>
    </xdr:to>
    <xdr:sp macro="" textlink="">
      <xdr:nvSpPr>
        <xdr:cNvPr id="54757" name="2">
          <a:extLst>
            <a:ext uri="{FF2B5EF4-FFF2-40B4-BE49-F238E27FC236}">
              <a16:creationId xmlns:a16="http://schemas.microsoft.com/office/drawing/2014/main" id="{6C9F82B1-113F-02BB-22E1-78E37971AD76}"/>
            </a:ext>
          </a:extLst>
        </xdr:cNvPr>
        <xdr:cNvSpPr/>
      </xdr:nvSpPr>
      <xdr:spPr>
        <a:xfrm>
          <a:off x="12944475" y="990600"/>
          <a:ext cx="6299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5</xdr:row>
      <xdr:rowOff>76200</xdr:rowOff>
    </xdr:from>
    <xdr:to>
      <xdr:col>35</xdr:col>
      <xdr:colOff>66675</xdr:colOff>
      <xdr:row>5</xdr:row>
      <xdr:rowOff>76200</xdr:rowOff>
    </xdr:to>
    <xdr:cxnSp macro="">
      <xdr:nvCxnSpPr>
        <xdr:cNvPr id="54758" name="직선 화살표 연결선 54757">
          <a:extLst>
            <a:ext uri="{FF2B5EF4-FFF2-40B4-BE49-F238E27FC236}">
              <a16:creationId xmlns:a16="http://schemas.microsoft.com/office/drawing/2014/main" id="{8CFC714A-6BAD-832E-3369-A06E90766051}"/>
            </a:ext>
          </a:extLst>
        </xdr:cNvPr>
        <xdr:cNvCxnSpPr/>
      </xdr:nvCxnSpPr>
      <xdr:spPr>
        <a:xfrm>
          <a:off x="12944475" y="1047750"/>
          <a:ext cx="6286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609600</xdr:colOff>
      <xdr:row>4</xdr:row>
      <xdr:rowOff>19050</xdr:rowOff>
    </xdr:from>
    <xdr:to>
      <xdr:col>84</xdr:col>
      <xdr:colOff>48895</xdr:colOff>
      <xdr:row>4</xdr:row>
      <xdr:rowOff>133350</xdr:rowOff>
    </xdr:to>
    <xdr:sp macro="" textlink="">
      <xdr:nvSpPr>
        <xdr:cNvPr id="54759" name="1">
          <a:extLst>
            <a:ext uri="{FF2B5EF4-FFF2-40B4-BE49-F238E27FC236}">
              <a16:creationId xmlns:a16="http://schemas.microsoft.com/office/drawing/2014/main" id="{3423E830-04FA-D974-009A-3D12DC42D081}"/>
            </a:ext>
          </a:extLst>
        </xdr:cNvPr>
        <xdr:cNvSpPr/>
      </xdr:nvSpPr>
      <xdr:spPr>
        <a:xfrm>
          <a:off x="12944475" y="838200"/>
          <a:ext cx="714502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609600</xdr:colOff>
      <xdr:row>4</xdr:row>
      <xdr:rowOff>76200</xdr:rowOff>
    </xdr:from>
    <xdr:to>
      <xdr:col>47</xdr:col>
      <xdr:colOff>116732</xdr:colOff>
      <xdr:row>4</xdr:row>
      <xdr:rowOff>76200</xdr:rowOff>
    </xdr:to>
    <xdr:cxnSp macro="">
      <xdr:nvCxnSpPr>
        <xdr:cNvPr id="54760" name="직선 화살표 연결선 54759">
          <a:extLst>
            <a:ext uri="{FF2B5EF4-FFF2-40B4-BE49-F238E27FC236}">
              <a16:creationId xmlns:a16="http://schemas.microsoft.com/office/drawing/2014/main" id="{50BC06C3-1B6C-4C41-14AF-4E9430FCC0E5}"/>
            </a:ext>
          </a:extLst>
        </xdr:cNvPr>
        <xdr:cNvCxnSpPr/>
      </xdr:nvCxnSpPr>
      <xdr:spPr>
        <a:xfrm>
          <a:off x="12944475" y="895350"/>
          <a:ext cx="2278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92075</xdr:colOff>
      <xdr:row>0</xdr:row>
      <xdr:rowOff>88011</xdr:rowOff>
    </xdr:from>
    <xdr:to>
      <xdr:col>30</xdr:col>
      <xdr:colOff>527050</xdr:colOff>
      <xdr:row>0</xdr:row>
      <xdr:rowOff>265811</xdr:rowOff>
    </xdr:to>
    <xdr:sp macro="" textlink="">
      <xdr:nvSpPr>
        <xdr:cNvPr id="54761" name="ProgressContainer">
          <a:extLst>
            <a:ext uri="{FF2B5EF4-FFF2-40B4-BE49-F238E27FC236}">
              <a16:creationId xmlns:a16="http://schemas.microsoft.com/office/drawing/2014/main" id="{39D4D41F-1BAA-00E3-B48A-0A1065E33D2A}"/>
            </a:ext>
          </a:extLst>
        </xdr:cNvPr>
        <xdr:cNvSpPr/>
      </xdr:nvSpPr>
      <xdr:spPr>
        <a:xfrm>
          <a:off x="11845925"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92075</xdr:colOff>
      <xdr:row>0</xdr:row>
      <xdr:rowOff>132461</xdr:rowOff>
    </xdr:from>
    <xdr:to>
      <xdr:col>29</xdr:col>
      <xdr:colOff>221255</xdr:colOff>
      <xdr:row>0</xdr:row>
      <xdr:rowOff>221361</xdr:rowOff>
    </xdr:to>
    <xdr:sp macro="" textlink="">
      <xdr:nvSpPr>
        <xdr:cNvPr id="54762" name="ActualBar">
          <a:extLst>
            <a:ext uri="{FF2B5EF4-FFF2-40B4-BE49-F238E27FC236}">
              <a16:creationId xmlns:a16="http://schemas.microsoft.com/office/drawing/2014/main" id="{91FB7C01-46A4-607C-C3CD-5C3BC1BA46DE}"/>
            </a:ext>
          </a:extLst>
        </xdr:cNvPr>
        <xdr:cNvSpPr/>
      </xdr:nvSpPr>
      <xdr:spPr>
        <a:xfrm>
          <a:off x="11845925" y="132461"/>
          <a:ext cx="129180" cy="88900"/>
        </a:xfrm>
        <a:prstGeom prst="rect">
          <a:avLst/>
        </a:prstGeom>
        <a:solidFill>
          <a:srgbClr val="FFFF00"/>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287313</xdr:colOff>
      <xdr:row>0</xdr:row>
      <xdr:rowOff>70231</xdr:rowOff>
    </xdr:from>
    <xdr:to>
      <xdr:col>29</xdr:col>
      <xdr:colOff>287313</xdr:colOff>
      <xdr:row>0</xdr:row>
      <xdr:rowOff>301371</xdr:rowOff>
    </xdr:to>
    <xdr:cxnSp macro="">
      <xdr:nvCxnSpPr>
        <xdr:cNvPr id="54763" name="PlannedMarker">
          <a:extLst>
            <a:ext uri="{FF2B5EF4-FFF2-40B4-BE49-F238E27FC236}">
              <a16:creationId xmlns:a16="http://schemas.microsoft.com/office/drawing/2014/main" id="{F9B7434E-039C-897C-AAA6-0F03FB31F8FA}"/>
            </a:ext>
          </a:extLst>
        </xdr:cNvPr>
        <xdr:cNvCxnSpPr/>
      </xdr:nvCxnSpPr>
      <xdr:spPr>
        <a:xfrm>
          <a:off x="12041163"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473075</xdr:colOff>
      <xdr:row>0</xdr:row>
      <xdr:rowOff>265811</xdr:rowOff>
    </xdr:from>
    <xdr:to>
      <xdr:col>30</xdr:col>
      <xdr:colOff>527050</xdr:colOff>
      <xdr:row>2</xdr:row>
      <xdr:rowOff>14986</xdr:rowOff>
    </xdr:to>
    <xdr:sp macro="" textlink="">
      <xdr:nvSpPr>
        <xdr:cNvPr id="54764" name="ActualLabel">
          <a:extLst>
            <a:ext uri="{FF2B5EF4-FFF2-40B4-BE49-F238E27FC236}">
              <a16:creationId xmlns:a16="http://schemas.microsoft.com/office/drawing/2014/main" id="{C4B2E4A3-AD42-A7DA-01F7-1FB3F237938B}"/>
            </a:ext>
          </a:extLst>
        </xdr:cNvPr>
        <xdr:cNvSpPr txBox="1"/>
      </xdr:nvSpPr>
      <xdr:spPr>
        <a:xfrm>
          <a:off x="65119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2026-09-28,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12.71%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19.22%</a:t>
          </a:r>
          <a:endParaRPr lang="ko-KR" altLang="en-US" sz="1050">
            <a:solidFill>
              <a:srgbClr val="0070C0"/>
            </a:solidFill>
            <a:latin typeface="Arial" panose="020B0604020202020204" pitchFamily="34" charset="0"/>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heetViews>
  <sheetFormatPr defaultColWidth="9" defaultRowHeight="15.75"/>
  <cols>
    <col min="1" max="1" width="5.875" style="76" customWidth="1"/>
    <col min="2" max="2" width="29.875" style="97" customWidth="1"/>
    <col min="3" max="3" width="1.187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32"/>
      <c r="B1" s="137" t="s">
        <v>1522</v>
      </c>
      <c r="C1" s="130"/>
      <c r="D1" s="130"/>
      <c r="E1" s="130"/>
      <c r="F1" s="130"/>
      <c r="G1" s="130"/>
      <c r="H1" s="131"/>
      <c r="I1" s="131"/>
      <c r="J1" s="292" t="s">
        <v>1382</v>
      </c>
      <c r="K1" s="293"/>
      <c r="L1" s="293"/>
    </row>
    <row r="2" spans="1:12" s="32" customFormat="1" ht="18" customHeight="1">
      <c r="A2" s="128"/>
      <c r="B2" s="129"/>
      <c r="C2" s="129"/>
      <c r="D2" s="129"/>
      <c r="E2" s="129"/>
      <c r="F2" s="129"/>
      <c r="G2" s="129"/>
      <c r="H2" s="290" t="s">
        <v>1523</v>
      </c>
      <c r="I2" s="291"/>
      <c r="J2" s="291"/>
      <c r="K2" s="291"/>
      <c r="L2" s="291"/>
    </row>
    <row r="4" spans="1:12" ht="17.25" customHeight="1">
      <c r="B4" s="294" t="s">
        <v>1524</v>
      </c>
      <c r="C4" s="295"/>
      <c r="D4" s="295"/>
      <c r="E4" s="295"/>
      <c r="F4" s="295"/>
      <c r="G4" s="295"/>
      <c r="H4" s="295"/>
      <c r="I4" s="295"/>
      <c r="J4" s="295"/>
      <c r="K4" s="295"/>
      <c r="L4" s="295"/>
    </row>
    <row r="5" spans="1:12" ht="27.75" customHeight="1">
      <c r="B5" s="295"/>
      <c r="C5" s="295"/>
      <c r="D5" s="295"/>
      <c r="E5" s="295"/>
      <c r="F5" s="295"/>
      <c r="G5" s="295"/>
      <c r="H5" s="295"/>
      <c r="I5" s="295"/>
      <c r="J5" s="295"/>
      <c r="K5" s="295"/>
      <c r="L5" s="295"/>
    </row>
    <row r="6" spans="1:12" s="32" customFormat="1" ht="13.15">
      <c r="B6" s="77"/>
    </row>
    <row r="7" spans="1:12" s="32" customFormat="1" ht="18">
      <c r="B7" s="78" t="s">
        <v>1525</v>
      </c>
      <c r="D7" s="79"/>
    </row>
    <row r="8" spans="1:12" s="32" customFormat="1" ht="7.5" customHeight="1">
      <c r="B8" s="77"/>
    </row>
    <row r="9" spans="1:12" s="32" customFormat="1" ht="29.25" customHeight="1" thickBot="1">
      <c r="A9" s="80"/>
      <c r="B9" s="81" t="s">
        <v>434</v>
      </c>
      <c r="C9" s="80"/>
      <c r="D9" s="296" t="s">
        <v>1526</v>
      </c>
      <c r="E9" s="296"/>
      <c r="F9" s="296"/>
      <c r="G9" s="296"/>
      <c r="H9" s="296"/>
      <c r="I9" s="296"/>
      <c r="J9" s="296"/>
      <c r="K9" s="296"/>
      <c r="L9" s="296"/>
    </row>
    <row r="10" spans="1:12" s="32" customFormat="1" ht="29.25" customHeight="1" thickTop="1" thickBot="1">
      <c r="A10" s="80"/>
      <c r="B10" s="82" t="s">
        <v>435</v>
      </c>
      <c r="C10" s="80"/>
      <c r="D10" s="296" t="s">
        <v>1527</v>
      </c>
      <c r="E10" s="296"/>
      <c r="F10" s="296"/>
      <c r="G10" s="296"/>
      <c r="H10" s="296"/>
      <c r="I10" s="296"/>
      <c r="J10" s="296"/>
      <c r="K10" s="296"/>
      <c r="L10" s="296"/>
    </row>
    <row r="11" spans="1:12" s="32" customFormat="1" ht="29.25" customHeight="1" thickTop="1" thickBot="1">
      <c r="A11" s="80"/>
      <c r="B11" s="83" t="s">
        <v>436</v>
      </c>
      <c r="C11" s="80"/>
      <c r="D11" s="296" t="s">
        <v>1528</v>
      </c>
      <c r="E11" s="296"/>
      <c r="F11" s="296"/>
      <c r="G11" s="296"/>
      <c r="H11" s="296"/>
      <c r="I11" s="296"/>
      <c r="J11" s="296"/>
      <c r="K11" s="296"/>
      <c r="L11" s="296"/>
    </row>
    <row r="12" spans="1:12" s="32" customFormat="1" ht="29.25" customHeight="1" thickTop="1" thickBot="1">
      <c r="A12" s="80"/>
      <c r="B12" s="84" t="s">
        <v>437</v>
      </c>
      <c r="C12" s="80"/>
      <c r="D12" s="296" t="s">
        <v>1529</v>
      </c>
      <c r="E12" s="296"/>
      <c r="F12" s="296"/>
      <c r="G12" s="296"/>
      <c r="H12" s="296"/>
      <c r="I12" s="296"/>
      <c r="J12" s="296"/>
      <c r="K12" s="296"/>
      <c r="L12" s="296"/>
    </row>
    <row r="13" spans="1:12" s="32" customFormat="1" ht="29.25" customHeight="1" thickTop="1" thickBot="1">
      <c r="A13" s="80"/>
      <c r="B13" s="85" t="s">
        <v>1487</v>
      </c>
      <c r="C13" s="80"/>
      <c r="D13" s="297" t="s">
        <v>1530</v>
      </c>
      <c r="E13" s="296"/>
      <c r="F13" s="296"/>
      <c r="G13" s="296"/>
      <c r="H13" s="296"/>
      <c r="I13" s="296"/>
      <c r="J13" s="296"/>
      <c r="K13" s="296"/>
      <c r="L13" s="296"/>
    </row>
    <row r="14" spans="1:12" s="32" customFormat="1" ht="29.25" customHeight="1" thickTop="1" thickBot="1">
      <c r="A14" s="80"/>
      <c r="B14" s="86" t="s">
        <v>438</v>
      </c>
      <c r="C14" s="80"/>
      <c r="D14" s="296" t="s">
        <v>1531</v>
      </c>
      <c r="E14" s="296"/>
      <c r="F14" s="296"/>
      <c r="G14" s="296"/>
      <c r="H14" s="296"/>
      <c r="I14" s="296"/>
      <c r="J14" s="296"/>
      <c r="K14" s="296"/>
      <c r="L14" s="296"/>
    </row>
    <row r="15" spans="1:12" ht="16.149999999999999" thickTop="1">
      <c r="A15" s="87"/>
      <c r="B15" s="88"/>
      <c r="C15" s="87"/>
      <c r="D15" s="89"/>
      <c r="E15" s="89"/>
      <c r="F15" s="89"/>
      <c r="G15" s="89"/>
      <c r="H15" s="89"/>
      <c r="I15" s="89"/>
      <c r="J15" s="89"/>
      <c r="K15" s="89"/>
      <c r="L15" s="89"/>
    </row>
    <row r="16" spans="1:12" s="32" customFormat="1" ht="18">
      <c r="B16" s="78" t="s">
        <v>1532</v>
      </c>
      <c r="D16" s="79"/>
    </row>
    <row r="17" spans="2:12" s="32" customFormat="1" ht="5.25" customHeight="1">
      <c r="B17" s="90"/>
      <c r="D17" s="79"/>
    </row>
    <row r="18" spans="2:12" s="32" customFormat="1" ht="26.25" customHeight="1" thickBot="1">
      <c r="B18" s="91" t="s">
        <v>1533</v>
      </c>
      <c r="D18" s="288" t="s">
        <v>1545</v>
      </c>
      <c r="E18" s="288"/>
      <c r="F18" s="288"/>
      <c r="G18" s="288"/>
      <c r="H18" s="288"/>
      <c r="I18" s="288"/>
      <c r="J18" s="288"/>
      <c r="K18" s="288"/>
      <c r="L18" s="98" t="s">
        <v>1557</v>
      </c>
    </row>
    <row r="19" spans="2:12" s="32" customFormat="1" ht="37.5" customHeight="1" thickTop="1" thickBot="1">
      <c r="B19" s="91" t="s">
        <v>1605</v>
      </c>
      <c r="D19" s="288" t="s">
        <v>1546</v>
      </c>
      <c r="E19" s="288"/>
      <c r="F19" s="288"/>
      <c r="G19" s="288"/>
      <c r="H19" s="288"/>
      <c r="I19" s="288"/>
      <c r="J19" s="288"/>
      <c r="K19" s="288"/>
      <c r="L19" s="98" t="s">
        <v>1557</v>
      </c>
    </row>
    <row r="20" spans="2:12" s="32" customFormat="1" ht="26.25" customHeight="1" thickTop="1" thickBot="1">
      <c r="B20" s="91" t="s">
        <v>1534</v>
      </c>
      <c r="D20" s="288" t="s">
        <v>1547</v>
      </c>
      <c r="E20" s="288"/>
      <c r="F20" s="288"/>
      <c r="G20" s="288"/>
      <c r="H20" s="288"/>
      <c r="I20" s="288"/>
      <c r="J20" s="288"/>
      <c r="K20" s="288"/>
      <c r="L20" s="98" t="s">
        <v>1557</v>
      </c>
    </row>
    <row r="21" spans="2:12" s="32" customFormat="1" ht="26.25" customHeight="1" thickTop="1" thickBot="1">
      <c r="B21" s="91" t="s">
        <v>1535</v>
      </c>
      <c r="D21" s="288" t="s">
        <v>1548</v>
      </c>
      <c r="E21" s="288"/>
      <c r="F21" s="288"/>
      <c r="G21" s="288"/>
      <c r="H21" s="288"/>
      <c r="I21" s="288"/>
      <c r="J21" s="288"/>
      <c r="K21" s="288"/>
      <c r="L21" s="98" t="s">
        <v>1557</v>
      </c>
    </row>
    <row r="22" spans="2:12" s="32" customFormat="1" ht="33.75" customHeight="1" thickTop="1" thickBot="1">
      <c r="B22" s="91" t="s">
        <v>1536</v>
      </c>
      <c r="D22" s="288" t="s">
        <v>1549</v>
      </c>
      <c r="E22" s="288"/>
      <c r="F22" s="288"/>
      <c r="G22" s="288"/>
      <c r="H22" s="288"/>
      <c r="I22" s="288"/>
      <c r="J22" s="288"/>
      <c r="K22" s="288"/>
      <c r="L22" s="98" t="s">
        <v>1557</v>
      </c>
    </row>
    <row r="23" spans="2:12" s="32" customFormat="1" ht="52.5" customHeight="1" thickTop="1" thickBot="1">
      <c r="B23" s="91" t="s">
        <v>1537</v>
      </c>
      <c r="D23" s="288" t="s">
        <v>1550</v>
      </c>
      <c r="E23" s="288"/>
      <c r="F23" s="288"/>
      <c r="G23" s="288"/>
      <c r="H23" s="288"/>
      <c r="I23" s="288"/>
      <c r="J23" s="288"/>
      <c r="K23" s="288"/>
      <c r="L23" s="98" t="s">
        <v>1557</v>
      </c>
    </row>
    <row r="24" spans="2:12" s="32" customFormat="1" ht="47.25" customHeight="1" thickTop="1" thickBot="1">
      <c r="B24" s="91" t="s">
        <v>1538</v>
      </c>
      <c r="D24" s="288" t="s">
        <v>1551</v>
      </c>
      <c r="E24" s="288"/>
      <c r="F24" s="288"/>
      <c r="G24" s="288"/>
      <c r="H24" s="288"/>
      <c r="I24" s="288"/>
      <c r="J24" s="288"/>
      <c r="K24" s="288"/>
      <c r="L24" s="98" t="s">
        <v>1557</v>
      </c>
    </row>
    <row r="25" spans="2:12" s="32" customFormat="1" ht="33.75" customHeight="1" thickTop="1" thickBot="1">
      <c r="B25" s="91" t="s">
        <v>1539</v>
      </c>
      <c r="D25" s="288" t="s">
        <v>1552</v>
      </c>
      <c r="E25" s="288"/>
      <c r="F25" s="288"/>
      <c r="G25" s="288"/>
      <c r="H25" s="288"/>
      <c r="I25" s="288"/>
      <c r="J25" s="288"/>
      <c r="K25" s="288"/>
      <c r="L25" s="98" t="s">
        <v>1557</v>
      </c>
    </row>
    <row r="26" spans="2:12" s="32" customFormat="1" ht="53.25" customHeight="1" thickTop="1" thickBot="1">
      <c r="B26" s="91" t="s">
        <v>1540</v>
      </c>
      <c r="D26" s="288" t="s">
        <v>1553</v>
      </c>
      <c r="E26" s="288"/>
      <c r="F26" s="288"/>
      <c r="G26" s="288"/>
      <c r="H26" s="288"/>
      <c r="I26" s="288"/>
      <c r="J26" s="288"/>
      <c r="K26" s="288"/>
      <c r="L26" s="98" t="s">
        <v>1557</v>
      </c>
    </row>
    <row r="27" spans="2:12" s="32" customFormat="1" ht="35.25" customHeight="1" thickTop="1" thickBot="1">
      <c r="B27" s="91" t="s">
        <v>1541</v>
      </c>
      <c r="D27" s="288" t="s">
        <v>1554</v>
      </c>
      <c r="E27" s="288"/>
      <c r="F27" s="288"/>
      <c r="G27" s="288"/>
      <c r="H27" s="288"/>
      <c r="I27" s="288"/>
      <c r="J27" s="288"/>
      <c r="K27" s="288"/>
      <c r="L27" s="98" t="s">
        <v>1557</v>
      </c>
    </row>
    <row r="28" spans="2:12" s="32" customFormat="1" ht="43.5" customHeight="1" thickTop="1" thickBot="1">
      <c r="B28" s="91" t="s">
        <v>437</v>
      </c>
      <c r="D28" s="288" t="s">
        <v>1555</v>
      </c>
      <c r="E28" s="288"/>
      <c r="F28" s="288"/>
      <c r="G28" s="288"/>
      <c r="H28" s="288"/>
      <c r="I28" s="288"/>
      <c r="J28" s="288"/>
      <c r="K28" s="288"/>
      <c r="L28" s="98" t="s">
        <v>1557</v>
      </c>
    </row>
    <row r="29" spans="2:12" s="32" customFormat="1" ht="49.5" customHeight="1" thickTop="1" thickBot="1">
      <c r="B29" s="91" t="s">
        <v>1542</v>
      </c>
      <c r="D29" s="288" t="s">
        <v>1556</v>
      </c>
      <c r="E29" s="288"/>
      <c r="F29" s="288"/>
      <c r="G29" s="288"/>
      <c r="H29" s="288"/>
      <c r="I29" s="288"/>
      <c r="J29" s="288"/>
      <c r="K29" s="288"/>
      <c r="L29" s="98" t="s">
        <v>1557</v>
      </c>
    </row>
    <row r="30" spans="2:12" s="32" customFormat="1" ht="24.75" customHeight="1" thickTop="1" thickBot="1">
      <c r="B30" s="118" t="s">
        <v>1543</v>
      </c>
      <c r="D30" s="288" t="s">
        <v>1223</v>
      </c>
      <c r="E30" s="288"/>
      <c r="F30" s="288"/>
      <c r="G30" s="288"/>
      <c r="H30" s="288"/>
      <c r="I30" s="288"/>
      <c r="J30" s="288"/>
      <c r="K30" s="288"/>
      <c r="L30" s="98" t="s">
        <v>1557</v>
      </c>
    </row>
    <row r="31" spans="2:12" s="32" customFormat="1" ht="24.75" customHeight="1" thickTop="1" thickBot="1">
      <c r="B31" s="91" t="s">
        <v>1544</v>
      </c>
      <c r="D31" s="288" t="s">
        <v>1224</v>
      </c>
      <c r="E31" s="288"/>
      <c r="F31" s="288"/>
      <c r="G31" s="288"/>
      <c r="H31" s="288"/>
      <c r="I31" s="288"/>
      <c r="J31" s="288"/>
      <c r="K31" s="288"/>
      <c r="L31" s="98" t="s">
        <v>1557</v>
      </c>
    </row>
    <row r="32" spans="2:12" s="32" customFormat="1" ht="24.75" customHeight="1" thickTop="1" thickBot="1">
      <c r="B32" s="91" t="s">
        <v>1235</v>
      </c>
      <c r="D32" s="288" t="s">
        <v>1238</v>
      </c>
      <c r="E32" s="288"/>
      <c r="F32" s="288"/>
      <c r="G32" s="288"/>
      <c r="H32" s="288"/>
      <c r="I32" s="288"/>
      <c r="J32" s="288"/>
      <c r="K32" s="288"/>
      <c r="L32" s="98" t="s">
        <v>1557</v>
      </c>
    </row>
    <row r="33" spans="2:12" s="32" customFormat="1" ht="14.65" thickTop="1">
      <c r="B33" s="92"/>
      <c r="D33" s="79"/>
      <c r="L33" s="80"/>
    </row>
    <row r="34" spans="2:12" s="32" customFormat="1" ht="18.75" customHeight="1">
      <c r="B34" s="93" t="s">
        <v>1558</v>
      </c>
      <c r="C34" s="94"/>
      <c r="D34" s="95"/>
      <c r="E34" s="94"/>
      <c r="F34" s="94"/>
      <c r="G34" s="94"/>
      <c r="H34" s="94"/>
      <c r="I34" s="94"/>
      <c r="J34" s="94"/>
      <c r="K34" s="94"/>
      <c r="L34" s="96"/>
    </row>
    <row r="35" spans="2:12" s="32" customFormat="1" ht="59.25" customHeight="1">
      <c r="B35" s="289" t="s">
        <v>1559</v>
      </c>
      <c r="C35" s="289"/>
      <c r="D35" s="289"/>
      <c r="E35" s="289"/>
      <c r="F35" s="289"/>
      <c r="G35" s="289"/>
      <c r="H35" s="289"/>
      <c r="I35" s="289"/>
      <c r="J35" s="289"/>
      <c r="K35" s="289"/>
      <c r="L35" s="289"/>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 ref="B13" location="Progress_Data!A1" display="Progress_Data" xr:uid="{00000000-0004-0000-0200-000007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OS307"/>
  <sheetViews>
    <sheetView tabSelected="1" zoomScaleNormal="100" zoomScaleSheetLayoutView="115" zoomScalePageLayoutView="55" workbookViewId="0">
      <pane ySplit="4" topLeftCell="A215" activePane="bottomLeft" state="frozen"/>
      <selection activeCell="D1" sqref="D1"/>
      <selection pane="bottomLeft" activeCell="D5" sqref="D5"/>
    </sheetView>
  </sheetViews>
  <sheetFormatPr defaultColWidth="10" defaultRowHeight="12" customHeight="1" outlineLevelRow="7"/>
  <cols>
    <col min="1" max="1" width="1.625" style="211" hidden="1" customWidth="1"/>
    <col min="2" max="2" width="9" style="211" hidden="1" customWidth="1"/>
    <col min="3" max="3" width="8.375" style="211" hidden="1" customWidth="1"/>
    <col min="4" max="4" width="6.625" style="212" customWidth="1"/>
    <col min="5" max="13" width="2.6875" style="213" customWidth="1"/>
    <col min="14" max="14" width="4.5" style="213" bestFit="1" customWidth="1"/>
    <col min="15" max="15" width="15.375" style="213" customWidth="1"/>
    <col min="16" max="16" width="10.375" style="214" bestFit="1" customWidth="1"/>
    <col min="17" max="17" width="10" style="214" bestFit="1" customWidth="1"/>
    <col min="18" max="18" width="7.625" style="213" customWidth="1"/>
    <col min="19" max="19" width="7.375" style="215" customWidth="1"/>
    <col min="20" max="20" width="7.1875" style="215" bestFit="1" customWidth="1"/>
    <col min="21" max="21" width="6" style="215" customWidth="1"/>
    <col min="22" max="22" width="5.875" style="215" customWidth="1"/>
    <col min="23" max="24" width="9.6875" style="214" hidden="1" customWidth="1"/>
    <col min="25" max="25" width="7.5" style="216" hidden="1" customWidth="1"/>
    <col min="26" max="26" width="6" style="217" hidden="1" customWidth="1"/>
    <col min="27" max="27" width="7.125" style="215" hidden="1" customWidth="1"/>
    <col min="28" max="28" width="17.5" style="213" customWidth="1"/>
    <col min="29" max="29" width="31" style="213" customWidth="1"/>
    <col min="30" max="30" width="7.625" style="218" bestFit="1" customWidth="1"/>
    <col min="31" max="31" width="8.375" style="219" bestFit="1" customWidth="1"/>
    <col min="32" max="409" width="1.75" style="100" customWidth="1"/>
    <col min="410" max="16384" width="10" style="100"/>
  </cols>
  <sheetData>
    <row r="1" spans="1:409" s="101" customFormat="1" ht="25.05" customHeight="1">
      <c r="A1" s="138"/>
      <c r="B1" s="149"/>
      <c r="C1" s="173"/>
      <c r="D1" s="141" t="str" cm="1">
        <f t="array" ref="D1">xlgantt.ProjectName()</f>
        <v>더라운지시스템 3.0 구축</v>
      </c>
      <c r="E1" s="142"/>
      <c r="F1" s="142"/>
      <c r="G1" s="142"/>
      <c r="H1" s="142"/>
      <c r="I1" s="142"/>
      <c r="J1" s="142"/>
      <c r="K1" s="142"/>
      <c r="L1" s="142"/>
      <c r="M1" s="142"/>
      <c r="N1" s="142"/>
      <c r="O1" s="142"/>
      <c r="P1" s="142"/>
      <c r="Q1" s="174"/>
      <c r="R1" s="175"/>
      <c r="S1" s="176"/>
      <c r="T1" s="177"/>
      <c r="U1" s="178"/>
      <c r="V1" s="178"/>
      <c r="W1" s="179"/>
      <c r="X1" s="179"/>
      <c r="Y1" s="138"/>
      <c r="Z1" s="180"/>
      <c r="AA1" s="181"/>
      <c r="AB1" s="182"/>
      <c r="AC1" s="146" t="str" cm="1">
        <f t="array" ref="AC1">xlgantt.ProjectProgress()</f>
        <v>2026-05-11~2027-05-20</v>
      </c>
      <c r="AD1" s="140"/>
      <c r="AE1" s="139"/>
      <c r="AF1" s="143" t="s">
        <v>1577</v>
      </c>
      <c r="AG1" s="144"/>
      <c r="AH1" s="144"/>
      <c r="AI1" s="144"/>
      <c r="AJ1" s="144"/>
      <c r="AK1" s="144"/>
      <c r="AL1" s="144"/>
      <c r="AM1" s="144"/>
      <c r="AN1" s="144"/>
      <c r="AO1" s="144"/>
      <c r="AP1" s="144"/>
      <c r="AQ1" s="144"/>
      <c r="AR1" s="144"/>
      <c r="AS1" s="144"/>
      <c r="AT1" s="144"/>
      <c r="AU1" s="144"/>
      <c r="AV1" s="144"/>
      <c r="AW1" s="144"/>
      <c r="AX1" s="144"/>
      <c r="AY1" s="144"/>
      <c r="AZ1" s="144"/>
      <c r="BA1" s="144"/>
      <c r="BB1" s="144"/>
      <c r="BC1" s="144"/>
      <c r="BD1" s="144"/>
      <c r="BE1" s="144"/>
      <c r="BF1" s="144"/>
      <c r="BG1" s="144"/>
      <c r="BH1" s="144"/>
      <c r="BI1" s="144"/>
      <c r="BJ1" s="144"/>
    </row>
    <row r="2" spans="1:409" s="101" customFormat="1" ht="15" customHeight="1">
      <c r="A2" s="138"/>
      <c r="B2" s="138"/>
      <c r="C2" s="173"/>
      <c r="D2" s="183"/>
      <c r="E2" s="183"/>
      <c r="F2" s="183"/>
      <c r="G2" s="184"/>
      <c r="H2" s="185"/>
      <c r="I2" s="184"/>
      <c r="J2" s="184"/>
      <c r="K2" s="184"/>
      <c r="L2" s="184"/>
      <c r="M2" s="184"/>
      <c r="N2" s="184"/>
      <c r="O2" s="184"/>
      <c r="P2" s="184"/>
      <c r="Q2" s="184"/>
      <c r="R2" s="184"/>
      <c r="S2" s="186"/>
      <c r="T2" s="186"/>
      <c r="U2" s="186"/>
      <c r="V2" s="186"/>
      <c r="W2" s="184"/>
      <c r="X2" s="184"/>
      <c r="Y2" s="184"/>
      <c r="Z2" s="184"/>
      <c r="AA2" s="184"/>
      <c r="AB2" s="184"/>
      <c r="AC2" s="187"/>
      <c r="AD2" s="188"/>
      <c r="AE2" s="184"/>
      <c r="AF2" s="255" t="s">
        <v>690</v>
      </c>
      <c r="AG2" s="255"/>
      <c r="AH2" s="255"/>
      <c r="AI2" s="255"/>
      <c r="AJ2" s="255" t="s">
        <v>1352</v>
      </c>
      <c r="AK2" s="255"/>
      <c r="AL2" s="255"/>
      <c r="AM2" s="255"/>
      <c r="AN2" s="255" t="s">
        <v>1353</v>
      </c>
      <c r="AO2" s="255"/>
      <c r="AP2" s="255"/>
      <c r="AQ2" s="255"/>
      <c r="AR2" s="255" t="s">
        <v>1478</v>
      </c>
      <c r="AS2" s="255"/>
      <c r="AT2" s="255"/>
      <c r="AU2" s="255"/>
      <c r="AV2" s="255" t="s">
        <v>1479</v>
      </c>
      <c r="AW2" s="255"/>
      <c r="AX2" s="255"/>
      <c r="AY2" s="255"/>
      <c r="AZ2" s="255" t="s">
        <v>1480</v>
      </c>
      <c r="BA2" s="255"/>
      <c r="BB2" s="255"/>
      <c r="BC2" s="255"/>
      <c r="BD2" s="255" t="s">
        <v>1741</v>
      </c>
      <c r="BE2" s="255"/>
      <c r="BF2" s="255"/>
      <c r="BG2" s="255"/>
      <c r="BH2" s="255" t="s">
        <v>1743</v>
      </c>
      <c r="BI2" s="255"/>
      <c r="BJ2" s="255"/>
      <c r="BK2" s="255"/>
      <c r="BL2" s="255" t="s">
        <v>1745</v>
      </c>
      <c r="BM2" s="255"/>
      <c r="BN2" s="255"/>
      <c r="BO2" s="255"/>
      <c r="BP2" s="255" t="s">
        <v>1747</v>
      </c>
      <c r="BQ2" s="255"/>
      <c r="BR2" s="255"/>
      <c r="BS2" s="255"/>
      <c r="BT2" s="255" t="s">
        <v>1749</v>
      </c>
      <c r="BU2" s="255"/>
      <c r="BV2" s="255"/>
      <c r="BW2" s="255"/>
      <c r="BX2" s="255" t="s">
        <v>1751</v>
      </c>
      <c r="BY2" s="255"/>
      <c r="BZ2" s="255"/>
      <c r="CA2" s="255"/>
      <c r="CB2" s="255" t="s">
        <v>1753</v>
      </c>
      <c r="CC2" s="255"/>
      <c r="CD2" s="255"/>
      <c r="CE2" s="255"/>
      <c r="CF2" s="255" t="s">
        <v>1755</v>
      </c>
      <c r="CG2" s="255"/>
      <c r="CH2" s="255"/>
      <c r="CI2" s="255"/>
      <c r="CJ2" s="220"/>
      <c r="CK2" s="220"/>
      <c r="CL2" s="220"/>
      <c r="CM2" s="220"/>
      <c r="CN2" s="220"/>
      <c r="CO2" s="220"/>
      <c r="CP2" s="220"/>
      <c r="CQ2" s="220"/>
      <c r="CR2" s="220"/>
      <c r="CS2" s="220"/>
      <c r="CT2" s="220"/>
      <c r="CU2" s="220"/>
      <c r="CV2" s="220"/>
      <c r="CW2" s="220"/>
      <c r="CX2" s="220"/>
      <c r="CY2" s="220"/>
      <c r="CZ2" s="220"/>
      <c r="DA2" s="220"/>
      <c r="DB2" s="220"/>
      <c r="DC2" s="220"/>
      <c r="DD2" s="220"/>
      <c r="DE2" s="220"/>
      <c r="DF2" s="220"/>
      <c r="DG2" s="220"/>
      <c r="DH2" s="220"/>
      <c r="DI2" s="220"/>
      <c r="DJ2" s="220"/>
      <c r="DK2" s="220"/>
      <c r="DL2" s="220"/>
      <c r="DM2" s="220"/>
      <c r="DN2" s="220"/>
      <c r="DO2" s="220"/>
      <c r="DP2" s="220"/>
      <c r="DQ2" s="220"/>
      <c r="DR2" s="220"/>
      <c r="DS2" s="220"/>
      <c r="DT2" s="220"/>
      <c r="DU2" s="220"/>
      <c r="DV2" s="220"/>
      <c r="DW2" s="220"/>
      <c r="DX2" s="220"/>
      <c r="DY2" s="220"/>
      <c r="DZ2" s="220"/>
      <c r="EA2" s="220"/>
      <c r="EB2" s="220"/>
      <c r="EC2" s="220"/>
      <c r="ED2" s="220"/>
      <c r="EE2" s="220"/>
      <c r="EF2" s="220"/>
      <c r="EG2" s="220"/>
      <c r="EH2" s="220"/>
      <c r="EI2" s="220"/>
      <c r="EJ2" s="220"/>
      <c r="EK2" s="220"/>
      <c r="EL2" s="220"/>
      <c r="EM2" s="220"/>
      <c r="EN2" s="220"/>
      <c r="EO2" s="220"/>
      <c r="EP2" s="220"/>
      <c r="EQ2" s="220"/>
      <c r="ER2" s="220"/>
      <c r="ES2" s="220"/>
      <c r="ET2" s="220"/>
      <c r="EU2" s="220"/>
      <c r="EV2" s="220"/>
      <c r="EW2" s="220"/>
      <c r="EX2" s="220"/>
      <c r="EY2" s="220"/>
      <c r="EZ2" s="220"/>
      <c r="FA2" s="220"/>
      <c r="FB2" s="220"/>
      <c r="FC2" s="220"/>
      <c r="FD2" s="220"/>
      <c r="FE2" s="220"/>
      <c r="FF2" s="220"/>
      <c r="FG2" s="220"/>
      <c r="FH2" s="220"/>
      <c r="FI2" s="220"/>
      <c r="FJ2" s="220"/>
      <c r="FK2" s="220"/>
      <c r="FL2" s="220"/>
      <c r="FM2" s="220"/>
      <c r="FN2" s="220"/>
      <c r="FO2" s="220"/>
      <c r="FP2" s="220"/>
      <c r="FQ2" s="220"/>
      <c r="FR2" s="220"/>
      <c r="FS2" s="220"/>
      <c r="FT2" s="220"/>
      <c r="FU2" s="220"/>
      <c r="FV2" s="220"/>
      <c r="FW2" s="220"/>
      <c r="FX2" s="220"/>
      <c r="FY2" s="220"/>
      <c r="FZ2" s="220"/>
      <c r="GA2" s="220"/>
      <c r="GB2" s="220"/>
      <c r="GC2" s="220"/>
      <c r="GD2" s="220"/>
      <c r="GE2" s="220"/>
      <c r="GF2" s="220"/>
      <c r="GG2" s="220"/>
      <c r="GH2" s="220"/>
      <c r="GI2" s="220"/>
      <c r="GJ2" s="220"/>
      <c r="GK2" s="220"/>
      <c r="GL2" s="220"/>
      <c r="GM2" s="220"/>
      <c r="GN2" s="220"/>
      <c r="GO2" s="220"/>
      <c r="GP2" s="220"/>
      <c r="GQ2" s="220"/>
      <c r="GR2" s="220"/>
      <c r="GS2" s="220"/>
      <c r="GT2" s="220"/>
      <c r="GU2" s="220"/>
      <c r="GV2" s="220"/>
      <c r="GW2" s="220"/>
      <c r="GX2" s="220"/>
      <c r="GY2" s="220"/>
      <c r="GZ2" s="220"/>
      <c r="HA2" s="220"/>
      <c r="HB2" s="220"/>
      <c r="HC2" s="220"/>
      <c r="HD2" s="220"/>
      <c r="HE2" s="220"/>
      <c r="HF2" s="220"/>
      <c r="HG2" s="220"/>
      <c r="HH2" s="220"/>
      <c r="HI2" s="220"/>
      <c r="HJ2" s="220"/>
      <c r="HK2" s="220"/>
      <c r="HL2" s="220"/>
      <c r="HM2" s="220"/>
      <c r="HN2" s="220"/>
      <c r="HO2" s="220"/>
      <c r="HP2" s="220"/>
      <c r="HQ2" s="220"/>
      <c r="HR2" s="220"/>
      <c r="HS2" s="220"/>
      <c r="HT2" s="220"/>
      <c r="HU2" s="220"/>
      <c r="HV2" s="220"/>
      <c r="HW2" s="220"/>
      <c r="HX2" s="220"/>
      <c r="HY2" s="220"/>
      <c r="HZ2" s="220"/>
      <c r="IA2" s="220"/>
      <c r="IB2" s="220"/>
      <c r="IC2" s="220"/>
      <c r="ID2" s="220"/>
      <c r="IE2" s="220"/>
      <c r="IF2" s="220"/>
      <c r="IG2" s="220"/>
      <c r="IH2" s="220"/>
      <c r="II2" s="220"/>
      <c r="IJ2" s="220"/>
      <c r="IK2" s="220"/>
      <c r="IL2" s="220"/>
      <c r="IM2" s="220"/>
      <c r="IN2" s="220"/>
      <c r="IO2" s="220"/>
      <c r="IP2" s="220"/>
      <c r="IQ2" s="220"/>
      <c r="IR2" s="220"/>
      <c r="IS2" s="220"/>
      <c r="IT2" s="220"/>
      <c r="IU2" s="220"/>
      <c r="IV2" s="220"/>
      <c r="IW2" s="220"/>
      <c r="IX2" s="220"/>
      <c r="IY2" s="220"/>
      <c r="IZ2" s="220"/>
      <c r="JA2" s="220"/>
      <c r="JB2" s="220"/>
      <c r="JC2" s="220"/>
      <c r="JD2" s="220"/>
      <c r="JE2" s="220"/>
      <c r="JF2" s="220"/>
      <c r="JG2" s="220"/>
      <c r="JH2" s="220"/>
      <c r="JI2" s="220"/>
      <c r="JJ2" s="220"/>
      <c r="JK2" s="220"/>
      <c r="JL2" s="220"/>
      <c r="JM2" s="220"/>
      <c r="JN2" s="220"/>
      <c r="JO2" s="220"/>
      <c r="JP2" s="220"/>
      <c r="JQ2" s="220"/>
      <c r="JR2" s="220"/>
      <c r="JS2" s="220"/>
      <c r="JT2" s="220"/>
      <c r="JU2" s="220"/>
      <c r="JV2" s="220"/>
      <c r="JW2" s="220"/>
      <c r="JX2" s="220"/>
      <c r="JY2" s="220"/>
      <c r="JZ2" s="220"/>
      <c r="KA2" s="220"/>
      <c r="KB2" s="220"/>
      <c r="KC2" s="220"/>
      <c r="KD2" s="220"/>
      <c r="KE2" s="220"/>
      <c r="KF2" s="220"/>
      <c r="KG2" s="220"/>
      <c r="KH2" s="220"/>
      <c r="KI2" s="220"/>
      <c r="KJ2" s="220"/>
      <c r="KK2" s="220"/>
      <c r="KL2" s="220"/>
      <c r="KM2" s="220"/>
      <c r="KN2" s="220"/>
      <c r="KO2" s="220"/>
      <c r="KP2" s="220"/>
      <c r="KQ2" s="220"/>
      <c r="KR2" s="220"/>
      <c r="KS2" s="220"/>
      <c r="KT2" s="220"/>
      <c r="KU2" s="220"/>
      <c r="KV2" s="220"/>
      <c r="KW2" s="220"/>
      <c r="KX2" s="220"/>
      <c r="KY2" s="220"/>
      <c r="KZ2" s="220"/>
      <c r="LA2" s="220"/>
      <c r="LB2" s="220"/>
      <c r="LC2" s="220"/>
      <c r="LD2" s="220"/>
      <c r="LE2" s="220"/>
      <c r="LF2" s="220"/>
      <c r="LG2" s="220"/>
      <c r="LH2" s="220"/>
      <c r="LI2" s="220"/>
      <c r="LJ2" s="220"/>
      <c r="LK2" s="220"/>
      <c r="LL2" s="220"/>
      <c r="LM2" s="220"/>
      <c r="LN2" s="220"/>
      <c r="LO2" s="220"/>
      <c r="LP2" s="220"/>
      <c r="LQ2" s="220"/>
      <c r="LR2" s="220"/>
      <c r="LS2" s="220"/>
      <c r="LT2" s="220"/>
      <c r="LU2" s="220"/>
      <c r="LV2" s="220"/>
      <c r="LW2" s="220"/>
      <c r="LX2" s="220"/>
      <c r="LY2" s="220"/>
      <c r="LZ2" s="220"/>
      <c r="MA2" s="220"/>
      <c r="MB2" s="220"/>
      <c r="MC2" s="220"/>
      <c r="MD2" s="220"/>
      <c r="ME2" s="220"/>
      <c r="MF2" s="220"/>
      <c r="MG2" s="220"/>
      <c r="MH2" s="220"/>
      <c r="MI2" s="220"/>
      <c r="MJ2" s="220"/>
      <c r="MK2" s="220"/>
      <c r="ML2" s="220"/>
      <c r="MM2" s="220"/>
      <c r="MN2" s="220"/>
      <c r="MO2" s="220"/>
      <c r="MP2" s="220"/>
      <c r="MQ2" s="220"/>
      <c r="MR2" s="220"/>
      <c r="MS2" s="220"/>
      <c r="MT2" s="220"/>
      <c r="MU2" s="220"/>
      <c r="MV2" s="220"/>
      <c r="MW2" s="220"/>
      <c r="MX2" s="220"/>
      <c r="MY2" s="220"/>
      <c r="MZ2" s="220"/>
      <c r="NA2" s="220"/>
      <c r="NB2" s="220"/>
      <c r="NC2" s="220"/>
      <c r="ND2" s="220"/>
      <c r="NE2" s="220"/>
      <c r="NF2" s="220"/>
      <c r="NG2" s="220"/>
      <c r="NH2" s="220"/>
      <c r="NI2" s="220"/>
      <c r="NJ2" s="220"/>
      <c r="NK2" s="220"/>
      <c r="NL2" s="220"/>
      <c r="NM2" s="220"/>
      <c r="NN2" s="220"/>
      <c r="NO2" s="220"/>
      <c r="NP2" s="220"/>
      <c r="NQ2" s="220"/>
      <c r="NR2" s="220"/>
      <c r="NS2" s="220"/>
      <c r="NT2" s="220"/>
      <c r="NU2" s="220"/>
      <c r="NV2" s="220"/>
      <c r="NW2" s="220"/>
      <c r="NX2" s="220"/>
      <c r="NY2" s="220"/>
      <c r="NZ2" s="220"/>
      <c r="OA2" s="220"/>
      <c r="OB2" s="220"/>
      <c r="OC2" s="220"/>
      <c r="OD2" s="220"/>
      <c r="OE2" s="220"/>
      <c r="OF2" s="220"/>
      <c r="OG2" s="220"/>
      <c r="OH2" s="220"/>
      <c r="OI2" s="220"/>
      <c r="OJ2" s="220"/>
      <c r="OK2" s="220"/>
      <c r="OL2" s="220"/>
      <c r="OM2" s="220"/>
      <c r="ON2" s="220"/>
      <c r="OO2" s="220"/>
      <c r="OP2" s="220"/>
      <c r="OQ2" s="220"/>
      <c r="OR2" s="220"/>
      <c r="OS2" s="220"/>
    </row>
    <row r="3" spans="1:409" s="99" customFormat="1" ht="19.05" customHeight="1">
      <c r="A3" s="264" t="s">
        <v>1279</v>
      </c>
      <c r="B3" s="266" t="s">
        <v>1280</v>
      </c>
      <c r="C3" s="268" t="s">
        <v>1281</v>
      </c>
      <c r="D3" s="269" t="s">
        <v>1282</v>
      </c>
      <c r="E3" s="271" t="s">
        <v>1578</v>
      </c>
      <c r="F3" s="272"/>
      <c r="G3" s="272"/>
      <c r="H3" s="272"/>
      <c r="I3" s="272"/>
      <c r="J3" s="272"/>
      <c r="K3" s="272"/>
      <c r="L3" s="272"/>
      <c r="M3" s="272"/>
      <c r="N3" s="272"/>
      <c r="O3" s="257" t="s">
        <v>1579</v>
      </c>
      <c r="P3" s="259" t="s">
        <v>1580</v>
      </c>
      <c r="Q3" s="259" t="s">
        <v>1581</v>
      </c>
      <c r="R3" s="274" t="s">
        <v>437</v>
      </c>
      <c r="S3" s="262" t="s">
        <v>1582</v>
      </c>
      <c r="T3" s="262" t="s">
        <v>1583</v>
      </c>
      <c r="U3" s="262" t="s">
        <v>1584</v>
      </c>
      <c r="V3" s="262" t="s">
        <v>1585</v>
      </c>
      <c r="W3" s="261" t="s">
        <v>1586</v>
      </c>
      <c r="X3" s="261" t="s">
        <v>1587</v>
      </c>
      <c r="Y3" s="282" t="s">
        <v>1588</v>
      </c>
      <c r="Z3" s="286" t="s">
        <v>1589</v>
      </c>
      <c r="AA3" s="284" t="s">
        <v>1590</v>
      </c>
      <c r="AB3" s="259" t="s">
        <v>1591</v>
      </c>
      <c r="AC3" s="278" t="s">
        <v>1538</v>
      </c>
      <c r="AD3" s="280" t="s">
        <v>1592</v>
      </c>
      <c r="AE3" s="275" t="s">
        <v>1593</v>
      </c>
      <c r="AF3" s="277" t="s">
        <v>1734</v>
      </c>
      <c r="AG3" s="254"/>
      <c r="AH3" s="254"/>
      <c r="AI3" s="254"/>
      <c r="AJ3" s="253" t="s">
        <v>1735</v>
      </c>
      <c r="AK3" s="254"/>
      <c r="AL3" s="254"/>
      <c r="AM3" s="254"/>
      <c r="AN3" s="253" t="s">
        <v>1736</v>
      </c>
      <c r="AO3" s="254"/>
      <c r="AP3" s="254"/>
      <c r="AQ3" s="254"/>
      <c r="AR3" s="253" t="s">
        <v>1737</v>
      </c>
      <c r="AS3" s="254"/>
      <c r="AT3" s="254"/>
      <c r="AU3" s="254"/>
      <c r="AV3" s="253" t="s">
        <v>1738</v>
      </c>
      <c r="AW3" s="254"/>
      <c r="AX3" s="254"/>
      <c r="AY3" s="254"/>
      <c r="AZ3" s="253" t="s">
        <v>1739</v>
      </c>
      <c r="BA3" s="254"/>
      <c r="BB3" s="254"/>
      <c r="BC3" s="254"/>
      <c r="BD3" s="253" t="s">
        <v>1740</v>
      </c>
      <c r="BE3" s="254"/>
      <c r="BF3" s="254"/>
      <c r="BG3" s="254"/>
      <c r="BH3" s="253" t="s">
        <v>1742</v>
      </c>
      <c r="BI3" s="254"/>
      <c r="BJ3" s="254"/>
      <c r="BK3" s="254"/>
      <c r="BL3" s="253" t="s">
        <v>1744</v>
      </c>
      <c r="BM3" s="254"/>
      <c r="BN3" s="254"/>
      <c r="BO3" s="254"/>
      <c r="BP3" s="253" t="s">
        <v>1746</v>
      </c>
      <c r="BQ3" s="254"/>
      <c r="BR3" s="254"/>
      <c r="BS3" s="254"/>
      <c r="BT3" s="253" t="s">
        <v>1748</v>
      </c>
      <c r="BU3" s="254"/>
      <c r="BV3" s="254"/>
      <c r="BW3" s="254"/>
      <c r="BX3" s="253" t="s">
        <v>1750</v>
      </c>
      <c r="BY3" s="254"/>
      <c r="BZ3" s="254"/>
      <c r="CA3" s="254"/>
      <c r="CB3" s="253" t="s">
        <v>1752</v>
      </c>
      <c r="CC3" s="254"/>
      <c r="CD3" s="254"/>
      <c r="CE3" s="254"/>
      <c r="CF3" s="253" t="s">
        <v>1754</v>
      </c>
      <c r="CG3" s="254"/>
      <c r="CH3" s="254"/>
      <c r="CI3" s="256"/>
    </row>
    <row r="4" spans="1:409" s="99" customFormat="1" ht="6" customHeight="1">
      <c r="A4" s="265"/>
      <c r="B4" s="267"/>
      <c r="C4" s="264"/>
      <c r="D4" s="270"/>
      <c r="E4" s="273"/>
      <c r="F4" s="272"/>
      <c r="G4" s="272"/>
      <c r="H4" s="272"/>
      <c r="I4" s="272"/>
      <c r="J4" s="272"/>
      <c r="K4" s="272"/>
      <c r="L4" s="272"/>
      <c r="M4" s="272"/>
      <c r="N4" s="272"/>
      <c r="O4" s="258"/>
      <c r="P4" s="260"/>
      <c r="Q4" s="260"/>
      <c r="R4" s="270"/>
      <c r="S4" s="263"/>
      <c r="T4" s="263"/>
      <c r="U4" s="263"/>
      <c r="V4" s="263"/>
      <c r="W4" s="258"/>
      <c r="X4" s="258"/>
      <c r="Y4" s="283"/>
      <c r="Z4" s="287"/>
      <c r="AA4" s="285"/>
      <c r="AB4" s="260"/>
      <c r="AC4" s="279"/>
      <c r="AD4" s="281"/>
      <c r="AE4" s="276"/>
      <c r="AF4" s="134">
        <v>46152</v>
      </c>
      <c r="AG4" s="135">
        <v>46159</v>
      </c>
      <c r="AH4" s="135">
        <v>46166</v>
      </c>
      <c r="AI4" s="135">
        <v>46173</v>
      </c>
      <c r="AJ4" s="135">
        <v>46180</v>
      </c>
      <c r="AK4" s="135">
        <v>46187</v>
      </c>
      <c r="AL4" s="135">
        <v>46194</v>
      </c>
      <c r="AM4" s="135">
        <v>46201</v>
      </c>
      <c r="AN4" s="135">
        <v>46208</v>
      </c>
      <c r="AO4" s="135">
        <v>46215</v>
      </c>
      <c r="AP4" s="135">
        <v>46222</v>
      </c>
      <c r="AQ4" s="135">
        <v>46229</v>
      </c>
      <c r="AR4" s="135">
        <v>46236</v>
      </c>
      <c r="AS4" s="135">
        <v>46243</v>
      </c>
      <c r="AT4" s="135">
        <v>46250</v>
      </c>
      <c r="AU4" s="135">
        <v>46257</v>
      </c>
      <c r="AV4" s="135">
        <v>46264</v>
      </c>
      <c r="AW4" s="135">
        <v>46271</v>
      </c>
      <c r="AX4" s="135">
        <v>46278</v>
      </c>
      <c r="AY4" s="135">
        <v>46285</v>
      </c>
      <c r="AZ4" s="135">
        <v>46292</v>
      </c>
      <c r="BA4" s="135">
        <v>46299</v>
      </c>
      <c r="BB4" s="135">
        <v>46306</v>
      </c>
      <c r="BC4" s="135">
        <v>46313</v>
      </c>
      <c r="BD4" s="135">
        <v>46320</v>
      </c>
      <c r="BE4" s="135">
        <v>46327</v>
      </c>
      <c r="BF4" s="135">
        <v>46334</v>
      </c>
      <c r="BG4" s="135">
        <v>46341</v>
      </c>
      <c r="BH4" s="135">
        <v>46348</v>
      </c>
      <c r="BI4" s="135">
        <v>46355</v>
      </c>
      <c r="BJ4" s="135">
        <v>46362</v>
      </c>
      <c r="BK4" s="135">
        <v>46369</v>
      </c>
      <c r="BL4" s="135">
        <v>46376</v>
      </c>
      <c r="BM4" s="135">
        <v>46383</v>
      </c>
      <c r="BN4" s="135">
        <v>46390</v>
      </c>
      <c r="BO4" s="135">
        <v>46397</v>
      </c>
      <c r="BP4" s="135">
        <v>46404</v>
      </c>
      <c r="BQ4" s="135">
        <v>46411</v>
      </c>
      <c r="BR4" s="135">
        <v>46418</v>
      </c>
      <c r="BS4" s="135">
        <v>46425</v>
      </c>
      <c r="BT4" s="135">
        <v>46432</v>
      </c>
      <c r="BU4" s="135">
        <v>46439</v>
      </c>
      <c r="BV4" s="135">
        <v>46446</v>
      </c>
      <c r="BW4" s="135">
        <v>46453</v>
      </c>
      <c r="BX4" s="135">
        <v>46460</v>
      </c>
      <c r="BY4" s="135">
        <v>46467</v>
      </c>
      <c r="BZ4" s="135">
        <v>46474</v>
      </c>
      <c r="CA4" s="135">
        <v>46481</v>
      </c>
      <c r="CB4" s="135">
        <v>46488</v>
      </c>
      <c r="CC4" s="135">
        <v>46495</v>
      </c>
      <c r="CD4" s="135">
        <v>46502</v>
      </c>
      <c r="CE4" s="135">
        <v>46509</v>
      </c>
      <c r="CF4" s="135">
        <v>46516</v>
      </c>
      <c r="CG4" s="135">
        <v>46523</v>
      </c>
      <c r="CH4" s="169"/>
      <c r="CI4" s="158"/>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59"/>
      <c r="DI4" s="159"/>
      <c r="DJ4" s="159"/>
      <c r="DK4" s="159"/>
      <c r="DL4" s="159"/>
      <c r="DM4" s="159"/>
      <c r="DN4" s="159"/>
      <c r="DO4" s="159"/>
      <c r="DP4" s="159"/>
      <c r="DQ4" s="159"/>
      <c r="DR4" s="159"/>
      <c r="DS4" s="159"/>
      <c r="DT4" s="159"/>
      <c r="DU4" s="159"/>
      <c r="DV4" s="159"/>
      <c r="DW4" s="159"/>
      <c r="DX4" s="159"/>
      <c r="DY4" s="159"/>
      <c r="DZ4" s="159"/>
      <c r="EA4" s="159"/>
      <c r="EB4" s="159"/>
      <c r="EC4" s="159"/>
      <c r="ED4" s="159"/>
      <c r="EE4" s="159"/>
      <c r="EF4" s="159"/>
      <c r="EG4" s="159"/>
      <c r="EH4" s="159"/>
      <c r="EI4" s="159"/>
      <c r="EJ4" s="159"/>
      <c r="EK4" s="159"/>
      <c r="EL4" s="159"/>
      <c r="EM4" s="159"/>
      <c r="EN4" s="159"/>
      <c r="EO4" s="159"/>
      <c r="EP4" s="159"/>
      <c r="EQ4" s="159"/>
      <c r="ER4" s="159"/>
      <c r="ES4" s="159"/>
      <c r="ET4" s="159"/>
      <c r="EU4" s="159"/>
      <c r="EV4" s="159"/>
      <c r="EW4" s="159"/>
      <c r="EX4" s="159"/>
      <c r="EY4" s="159"/>
      <c r="EZ4" s="159"/>
      <c r="FA4" s="159"/>
      <c r="FB4" s="159"/>
      <c r="FC4" s="159"/>
      <c r="FD4" s="159"/>
      <c r="FE4" s="159"/>
      <c r="FF4" s="159"/>
      <c r="FG4" s="159"/>
      <c r="FH4" s="159"/>
      <c r="FI4" s="159"/>
      <c r="FJ4" s="159"/>
      <c r="FK4" s="159"/>
      <c r="FL4" s="159"/>
      <c r="FM4" s="159"/>
      <c r="FN4" s="159"/>
      <c r="FO4" s="159"/>
      <c r="FP4" s="159"/>
      <c r="FQ4" s="159"/>
      <c r="FR4" s="159"/>
      <c r="FS4" s="159"/>
      <c r="FT4" s="159"/>
      <c r="FU4" s="159"/>
      <c r="FV4" s="159"/>
      <c r="FW4" s="159"/>
      <c r="FX4" s="159"/>
      <c r="FY4" s="159"/>
      <c r="FZ4" s="159"/>
      <c r="GA4" s="159"/>
      <c r="GB4" s="159"/>
      <c r="GC4" s="159"/>
      <c r="GD4" s="159"/>
      <c r="GE4" s="159"/>
      <c r="GF4" s="159"/>
      <c r="GG4" s="159"/>
      <c r="GH4" s="159"/>
      <c r="GI4" s="159"/>
      <c r="GJ4" s="159"/>
      <c r="GK4" s="159"/>
      <c r="GL4" s="159"/>
      <c r="GM4" s="159"/>
      <c r="GN4" s="159"/>
      <c r="GO4" s="159"/>
      <c r="GP4" s="159"/>
      <c r="GQ4" s="159"/>
      <c r="GR4" s="159"/>
      <c r="GS4" s="159"/>
      <c r="GT4" s="159"/>
      <c r="GU4" s="159"/>
      <c r="GV4" s="159"/>
      <c r="GW4" s="159"/>
      <c r="GX4" s="159"/>
      <c r="GY4" s="159"/>
      <c r="GZ4" s="159"/>
      <c r="HA4" s="159"/>
      <c r="HB4" s="159"/>
      <c r="HC4" s="159"/>
      <c r="HD4" s="159"/>
      <c r="HE4" s="159"/>
      <c r="HF4" s="159"/>
      <c r="HG4" s="159"/>
      <c r="HH4" s="159"/>
      <c r="HI4" s="159"/>
      <c r="HJ4" s="159"/>
      <c r="HK4" s="159"/>
      <c r="HL4" s="159"/>
      <c r="HM4" s="159"/>
      <c r="HN4" s="159"/>
      <c r="HO4" s="159"/>
      <c r="HP4" s="159"/>
      <c r="HQ4" s="159"/>
      <c r="HR4" s="159"/>
      <c r="HS4" s="159"/>
      <c r="HT4" s="159"/>
      <c r="HU4" s="159"/>
      <c r="HV4" s="159"/>
      <c r="HW4" s="159"/>
      <c r="HX4" s="159"/>
      <c r="HY4" s="159"/>
      <c r="HZ4" s="159"/>
      <c r="IA4" s="159"/>
      <c r="IB4" s="159"/>
      <c r="IC4" s="159"/>
      <c r="ID4" s="159"/>
      <c r="IE4" s="159"/>
      <c r="IF4" s="159"/>
      <c r="IG4" s="159"/>
      <c r="IH4" s="159"/>
      <c r="II4" s="159"/>
      <c r="IJ4" s="159"/>
      <c r="IK4" s="159"/>
      <c r="IL4" s="159"/>
      <c r="IM4" s="159"/>
      <c r="IN4" s="159"/>
      <c r="IO4" s="159"/>
      <c r="IP4" s="159"/>
      <c r="IQ4" s="159"/>
      <c r="IR4" s="159"/>
      <c r="IS4" s="159"/>
      <c r="IT4" s="159"/>
      <c r="IU4" s="159"/>
      <c r="IV4" s="159"/>
      <c r="IW4" s="159"/>
      <c r="IX4" s="159"/>
      <c r="IY4" s="159"/>
      <c r="IZ4" s="159"/>
      <c r="JA4" s="159"/>
      <c r="JB4" s="159"/>
      <c r="JC4" s="159"/>
      <c r="JD4" s="159"/>
      <c r="JE4" s="159"/>
      <c r="JF4" s="159"/>
      <c r="JG4" s="159"/>
      <c r="JH4" s="159"/>
      <c r="JI4" s="159"/>
      <c r="JJ4" s="159"/>
      <c r="JK4" s="159"/>
      <c r="JL4" s="159"/>
      <c r="JM4" s="159"/>
      <c r="JN4" s="159"/>
      <c r="JO4" s="159"/>
      <c r="JP4" s="159"/>
      <c r="JQ4" s="159"/>
      <c r="JR4" s="159"/>
      <c r="JS4" s="159"/>
      <c r="JT4" s="159"/>
      <c r="JU4" s="159"/>
      <c r="JV4" s="159"/>
      <c r="JW4" s="159"/>
      <c r="JX4" s="159"/>
      <c r="JY4" s="159"/>
      <c r="JZ4" s="159"/>
      <c r="KA4" s="159"/>
      <c r="KB4" s="159"/>
      <c r="KC4" s="159"/>
      <c r="KD4" s="159"/>
      <c r="KE4" s="159"/>
      <c r="KF4" s="159"/>
      <c r="KG4" s="159"/>
      <c r="KH4" s="159"/>
      <c r="KI4" s="159"/>
      <c r="KJ4" s="159"/>
      <c r="KK4" s="159"/>
      <c r="KL4" s="159"/>
      <c r="KM4" s="159"/>
      <c r="KN4" s="159"/>
      <c r="KO4" s="159"/>
      <c r="KP4" s="159"/>
      <c r="KQ4" s="159"/>
      <c r="KR4" s="159"/>
      <c r="KS4" s="159"/>
      <c r="KT4" s="159"/>
      <c r="KU4" s="159"/>
      <c r="KV4" s="159"/>
      <c r="KW4" s="159"/>
      <c r="KX4" s="159"/>
      <c r="KY4" s="159"/>
      <c r="KZ4" s="159"/>
      <c r="LA4" s="159"/>
      <c r="LB4" s="159"/>
      <c r="LC4" s="159"/>
      <c r="LD4" s="159"/>
      <c r="LE4" s="159"/>
      <c r="LF4" s="159"/>
      <c r="LG4" s="159"/>
      <c r="LH4" s="159"/>
      <c r="LI4" s="159"/>
      <c r="LJ4" s="159"/>
      <c r="LK4" s="159"/>
      <c r="LL4" s="159"/>
      <c r="LM4" s="159"/>
      <c r="LN4" s="159"/>
      <c r="LO4" s="159"/>
      <c r="LP4" s="159"/>
      <c r="LQ4" s="159"/>
      <c r="LR4" s="159"/>
      <c r="LS4" s="159"/>
      <c r="LT4" s="159"/>
      <c r="LU4" s="159"/>
      <c r="LV4" s="159"/>
      <c r="LW4" s="159"/>
      <c r="LX4" s="159"/>
      <c r="LY4" s="159"/>
      <c r="LZ4" s="159"/>
      <c r="MA4" s="159"/>
      <c r="MB4" s="159"/>
      <c r="MC4" s="159"/>
      <c r="MD4" s="159"/>
      <c r="ME4" s="159"/>
      <c r="MF4" s="159"/>
      <c r="MG4" s="159"/>
      <c r="MH4" s="159"/>
      <c r="MI4" s="159"/>
      <c r="MJ4" s="159"/>
      <c r="MK4" s="159"/>
      <c r="ML4" s="159"/>
      <c r="MM4" s="159"/>
      <c r="MN4" s="159"/>
      <c r="MO4" s="159"/>
      <c r="MP4" s="159"/>
      <c r="MQ4" s="159"/>
      <c r="MR4" s="159"/>
      <c r="MS4" s="159"/>
      <c r="MT4" s="159"/>
      <c r="MU4" s="159"/>
      <c r="MV4" s="159"/>
      <c r="MW4" s="159"/>
      <c r="MX4" s="159"/>
      <c r="MY4" s="159"/>
      <c r="MZ4" s="159"/>
      <c r="NA4" s="159"/>
      <c r="NB4" s="159"/>
      <c r="NC4" s="159"/>
      <c r="ND4" s="159"/>
      <c r="NE4" s="159"/>
      <c r="NF4" s="159"/>
      <c r="NG4" s="159"/>
      <c r="NH4" s="159"/>
      <c r="NI4" s="159"/>
      <c r="NJ4" s="159"/>
      <c r="NK4" s="159"/>
      <c r="NL4" s="159"/>
      <c r="NM4" s="159"/>
      <c r="NN4" s="159"/>
      <c r="NO4" s="159"/>
      <c r="NP4" s="159"/>
      <c r="NQ4" s="159"/>
      <c r="NR4" s="159"/>
      <c r="NS4" s="159"/>
      <c r="NT4" s="159"/>
      <c r="NU4" s="159"/>
      <c r="NV4" s="159"/>
      <c r="NW4" s="159"/>
      <c r="NX4" s="159"/>
      <c r="NY4" s="159"/>
      <c r="NZ4" s="159"/>
      <c r="OA4" s="159"/>
      <c r="OB4" s="159"/>
      <c r="OC4" s="159"/>
      <c r="OD4" s="159"/>
      <c r="OE4" s="159"/>
      <c r="OF4" s="159"/>
      <c r="OG4" s="159"/>
      <c r="OH4" s="159"/>
      <c r="OI4" s="159"/>
      <c r="OJ4" s="159"/>
      <c r="OK4" s="159"/>
      <c r="OL4" s="159"/>
      <c r="OM4" s="159"/>
      <c r="ON4" s="159"/>
      <c r="OO4" s="159"/>
      <c r="OP4" s="159"/>
      <c r="OQ4" s="159"/>
      <c r="OR4" s="159"/>
      <c r="OS4" s="159"/>
    </row>
    <row r="5" spans="1:409" ht="12" customHeight="1">
      <c r="A5" s="189"/>
      <c r="B5" s="189" t="s">
        <v>1387</v>
      </c>
      <c r="C5" s="189">
        <v>1</v>
      </c>
      <c r="D5" s="190" t="s">
        <v>474</v>
      </c>
      <c r="E5" s="172" t="s">
        <v>1611</v>
      </c>
      <c r="F5" s="172"/>
      <c r="G5" s="172"/>
      <c r="H5" s="172"/>
      <c r="I5" s="172"/>
      <c r="J5" s="172"/>
      <c r="K5" s="172"/>
      <c r="L5" s="172"/>
      <c r="M5" s="172"/>
      <c r="N5" s="172"/>
      <c r="O5" s="172"/>
      <c r="P5" s="191">
        <v>46153</v>
      </c>
      <c r="Q5" s="191">
        <v>46527</v>
      </c>
      <c r="R5" s="172"/>
      <c r="S5" s="192">
        <v>1652</v>
      </c>
      <c r="T5" s="192">
        <v>535</v>
      </c>
      <c r="U5" s="192">
        <v>254</v>
      </c>
      <c r="V5" s="192">
        <v>95</v>
      </c>
      <c r="W5" s="191"/>
      <c r="X5" s="191"/>
      <c r="Y5" s="193">
        <v>0</v>
      </c>
      <c r="Z5" s="194">
        <v>0</v>
      </c>
      <c r="AA5" s="192"/>
      <c r="AB5" s="189"/>
      <c r="AC5" s="172"/>
      <c r="AD5" s="195">
        <v>0.32384987893462469</v>
      </c>
      <c r="AE5" s="196">
        <v>0.31900726392251832</v>
      </c>
      <c r="AF5" s="170"/>
      <c r="AG5" s="171"/>
      <c r="AH5" s="171"/>
      <c r="AI5" s="171"/>
      <c r="AJ5" s="171"/>
      <c r="AK5" s="171"/>
      <c r="AL5" s="171"/>
      <c r="AM5" s="171"/>
      <c r="AN5" s="171"/>
      <c r="AO5" s="171"/>
      <c r="AP5" s="171"/>
      <c r="AQ5" s="171"/>
      <c r="AR5" s="171"/>
      <c r="AS5" s="171"/>
      <c r="AT5" s="171"/>
      <c r="AU5" s="171"/>
      <c r="AV5" s="171"/>
      <c r="AW5" s="171" t="str">
        <f>"  " &amp; TEXT(AE5,"#0.00%") &amp; " "</f>
        <v xml:space="preserve">  31.90% </v>
      </c>
      <c r="AX5" s="171"/>
      <c r="AY5" s="171"/>
      <c r="AZ5" s="171"/>
      <c r="BA5" s="171"/>
      <c r="BB5" s="171"/>
      <c r="BC5" s="171"/>
      <c r="BD5" s="171"/>
      <c r="BE5" s="171"/>
      <c r="BF5" s="171"/>
      <c r="BG5" s="171"/>
      <c r="BH5" s="171"/>
      <c r="BI5" s="171"/>
      <c r="BJ5" s="171"/>
      <c r="BK5" s="171"/>
      <c r="BL5" s="171"/>
      <c r="BM5" s="171"/>
      <c r="BN5" s="171"/>
      <c r="BO5" s="171"/>
      <c r="BP5" s="171"/>
      <c r="BQ5" s="171"/>
      <c r="BR5" s="171"/>
      <c r="BS5" s="171"/>
      <c r="BT5" s="171"/>
      <c r="BU5" s="171"/>
      <c r="BV5" s="171"/>
      <c r="BW5" s="171"/>
      <c r="BX5" s="171"/>
      <c r="BY5" s="171"/>
      <c r="BZ5" s="171"/>
      <c r="CA5" s="171"/>
      <c r="CB5" s="171"/>
      <c r="CC5" s="171"/>
      <c r="CD5" s="171"/>
      <c r="CE5" s="171"/>
      <c r="CF5" s="171"/>
      <c r="CG5" s="171" t="str">
        <f>"     " &amp; "사업관리" &amp; " " &amp; IF(P5="","",TEXT(P5,"M/D-")) &amp; IF(Q5="","",TEXT(Q5,"M/D")) &amp; " "</f>
        <v xml:space="preserve">     사업관리 5/11-5/20 </v>
      </c>
      <c r="CH5" s="171"/>
      <c r="CI5" s="102"/>
    </row>
    <row r="6" spans="1:409" ht="12" customHeight="1" outlineLevel="1">
      <c r="A6" s="189"/>
      <c r="B6" s="189" t="s">
        <v>1387</v>
      </c>
      <c r="C6" s="189">
        <v>2</v>
      </c>
      <c r="D6" s="190" t="s">
        <v>499</v>
      </c>
      <c r="E6" s="172"/>
      <c r="F6" s="172" t="s">
        <v>1612</v>
      </c>
      <c r="G6" s="172"/>
      <c r="H6" s="172"/>
      <c r="I6" s="172"/>
      <c r="J6" s="172"/>
      <c r="K6" s="172"/>
      <c r="L6" s="172"/>
      <c r="M6" s="172"/>
      <c r="N6" s="172"/>
      <c r="O6" s="172"/>
      <c r="P6" s="191">
        <v>46153</v>
      </c>
      <c r="Q6" s="191">
        <v>46185</v>
      </c>
      <c r="R6" s="172"/>
      <c r="S6" s="192">
        <v>67</v>
      </c>
      <c r="T6" s="192">
        <v>67</v>
      </c>
      <c r="U6" s="192">
        <v>23</v>
      </c>
      <c r="V6" s="192">
        <v>23</v>
      </c>
      <c r="W6" s="191"/>
      <c r="X6" s="191"/>
      <c r="Y6" s="193">
        <v>0</v>
      </c>
      <c r="Z6" s="194">
        <v>0</v>
      </c>
      <c r="AA6" s="192"/>
      <c r="AB6" s="189"/>
      <c r="AC6" s="172"/>
      <c r="AD6" s="195">
        <v>1</v>
      </c>
      <c r="AE6" s="197">
        <v>1</v>
      </c>
      <c r="AF6" s="170"/>
      <c r="AG6" s="171"/>
      <c r="AH6" s="171"/>
      <c r="AI6" s="171"/>
      <c r="AJ6" s="171" t="str">
        <f>"      " &amp; TEXT(AE6,"#0.00%") &amp; " " &amp; "계획수립" &amp; " " &amp; IF(P6="","",TEXT(P6,"M/D-")) &amp; IF(Q6="","",TEXT(Q6,"M/D")) &amp; " "</f>
        <v xml:space="preserve">      100.00% 계획수립 5/11-6/12 </v>
      </c>
      <c r="AK6" s="171"/>
      <c r="AL6" s="171"/>
      <c r="AM6" s="171"/>
      <c r="AN6" s="171"/>
      <c r="AO6" s="171"/>
      <c r="AP6" s="171"/>
      <c r="AQ6" s="171"/>
      <c r="AR6" s="171"/>
      <c r="AS6" s="171"/>
      <c r="AT6" s="171"/>
      <c r="AU6" s="171"/>
      <c r="AV6" s="171"/>
      <c r="AW6" s="171"/>
      <c r="AX6" s="171"/>
      <c r="AY6" s="171"/>
      <c r="AZ6" s="171"/>
      <c r="BA6" s="171"/>
      <c r="BB6" s="171"/>
      <c r="BC6" s="171"/>
      <c r="BD6" s="171"/>
      <c r="BE6" s="171"/>
      <c r="BF6" s="171"/>
      <c r="BG6" s="171"/>
      <c r="BH6" s="171"/>
      <c r="BI6" s="171"/>
      <c r="BJ6" s="171"/>
      <c r="BK6" s="171"/>
      <c r="BL6" s="171"/>
      <c r="BM6" s="171"/>
      <c r="BN6" s="171"/>
      <c r="BO6" s="171"/>
      <c r="BP6" s="171"/>
      <c r="BQ6" s="171"/>
      <c r="BR6" s="171"/>
      <c r="BS6" s="171"/>
      <c r="BT6" s="171"/>
      <c r="BU6" s="171"/>
      <c r="BV6" s="171"/>
      <c r="BW6" s="171"/>
      <c r="BX6" s="171"/>
      <c r="BY6" s="171"/>
      <c r="BZ6" s="171"/>
      <c r="CA6" s="171"/>
      <c r="CB6" s="171"/>
      <c r="CC6" s="171"/>
      <c r="CD6" s="171"/>
      <c r="CE6" s="171"/>
      <c r="CF6" s="171"/>
      <c r="CG6" s="171"/>
      <c r="CH6" s="171"/>
    </row>
    <row r="7" spans="1:409" ht="12" customHeight="1" outlineLevel="2">
      <c r="A7" s="189"/>
      <c r="B7" s="189" t="s">
        <v>1387</v>
      </c>
      <c r="C7" s="189">
        <v>3</v>
      </c>
      <c r="D7" s="190" t="s">
        <v>1355</v>
      </c>
      <c r="E7" s="172"/>
      <c r="F7" s="172"/>
      <c r="G7" s="172" t="s">
        <v>1613</v>
      </c>
      <c r="H7" s="172"/>
      <c r="I7" s="172"/>
      <c r="J7" s="172"/>
      <c r="K7" s="172"/>
      <c r="L7" s="172"/>
      <c r="M7" s="172"/>
      <c r="N7" s="172"/>
      <c r="O7" s="172"/>
      <c r="P7" s="230">
        <v>46153</v>
      </c>
      <c r="Q7" s="230">
        <v>46164</v>
      </c>
      <c r="R7" s="172"/>
      <c r="S7" s="192">
        <v>10</v>
      </c>
      <c r="T7" s="192">
        <v>10</v>
      </c>
      <c r="U7" s="192">
        <v>10</v>
      </c>
      <c r="V7" s="192">
        <v>10</v>
      </c>
      <c r="W7" s="191"/>
      <c r="X7" s="191"/>
      <c r="Y7" s="193">
        <v>0</v>
      </c>
      <c r="Z7" s="194">
        <v>0</v>
      </c>
      <c r="AA7" s="192"/>
      <c r="AB7" s="222"/>
      <c r="AC7" s="172"/>
      <c r="AD7" s="195">
        <v>1</v>
      </c>
      <c r="AE7" s="197">
        <v>1</v>
      </c>
      <c r="AF7" s="170"/>
      <c r="AG7" s="171" t="str">
        <f>"      " &amp; TEXT(AE7,"#0.00%") &amp; " " &amp; "테일러링" &amp; " " &amp; IF(P7="","",TEXT(P7,"M/D-")) &amp; IF(Q7="","",TEXT(Q7,"M/D")) &amp; " "</f>
        <v xml:space="preserve">      100.00% 테일러링 5/11-5/22 </v>
      </c>
      <c r="AH7" s="171"/>
      <c r="AI7" s="171"/>
      <c r="AJ7" s="171"/>
      <c r="AK7" s="171"/>
      <c r="AL7" s="171"/>
      <c r="AM7" s="171"/>
      <c r="AN7" s="171"/>
      <c r="AO7" s="171"/>
      <c r="AP7" s="171"/>
      <c r="AQ7" s="171"/>
      <c r="AR7" s="171"/>
      <c r="AS7" s="171"/>
      <c r="AT7" s="171"/>
      <c r="AU7" s="171"/>
      <c r="AV7" s="171"/>
      <c r="AW7" s="171"/>
      <c r="AX7" s="171"/>
      <c r="AY7" s="171"/>
      <c r="AZ7" s="171"/>
      <c r="BA7" s="171"/>
      <c r="BB7" s="171"/>
      <c r="BC7" s="171"/>
      <c r="BD7" s="171"/>
      <c r="BE7" s="171"/>
      <c r="BF7" s="171"/>
      <c r="BG7" s="171"/>
      <c r="BH7" s="171"/>
      <c r="BI7" s="171"/>
      <c r="BJ7" s="171"/>
      <c r="BK7" s="171"/>
      <c r="BL7" s="171"/>
      <c r="BM7" s="171"/>
      <c r="BN7" s="171"/>
      <c r="BO7" s="171"/>
      <c r="BP7" s="171"/>
      <c r="BQ7" s="171"/>
      <c r="BR7" s="171"/>
      <c r="BS7" s="171"/>
      <c r="BT7" s="171"/>
      <c r="BU7" s="171"/>
      <c r="BV7" s="171"/>
      <c r="BW7" s="171"/>
      <c r="BX7" s="171"/>
      <c r="BY7" s="171"/>
      <c r="BZ7" s="171"/>
      <c r="CA7" s="171"/>
      <c r="CB7" s="171"/>
      <c r="CC7" s="171"/>
      <c r="CD7" s="171"/>
      <c r="CE7" s="171"/>
      <c r="CF7" s="171"/>
      <c r="CG7" s="171"/>
      <c r="CH7" s="171"/>
    </row>
    <row r="8" spans="1:409" ht="12" customHeight="1" outlineLevel="3">
      <c r="A8" s="189"/>
      <c r="B8" s="189"/>
      <c r="C8" s="189">
        <v>4</v>
      </c>
      <c r="D8" s="190" t="s">
        <v>1780</v>
      </c>
      <c r="E8" s="172"/>
      <c r="F8" s="172"/>
      <c r="G8" s="172"/>
      <c r="H8" s="172" t="s">
        <v>1627</v>
      </c>
      <c r="I8" s="172"/>
      <c r="J8" s="172"/>
      <c r="K8" s="172"/>
      <c r="L8" s="172"/>
      <c r="M8" s="172"/>
      <c r="N8" s="172"/>
      <c r="O8" s="172"/>
      <c r="P8" s="230">
        <v>46153</v>
      </c>
      <c r="Q8" s="230">
        <v>46164</v>
      </c>
      <c r="R8" s="172"/>
      <c r="S8" s="192">
        <v>10</v>
      </c>
      <c r="T8" s="192">
        <v>10</v>
      </c>
      <c r="U8" s="192">
        <v>10</v>
      </c>
      <c r="V8" s="192">
        <v>10</v>
      </c>
      <c r="W8" s="191">
        <v>46086</v>
      </c>
      <c r="X8" s="191">
        <v>46086</v>
      </c>
      <c r="Y8" s="193">
        <v>1</v>
      </c>
      <c r="Z8" s="194">
        <v>1</v>
      </c>
      <c r="AA8" s="192">
        <v>2</v>
      </c>
      <c r="AB8" s="222" t="s">
        <v>1698</v>
      </c>
      <c r="AC8" s="223" t="s">
        <v>1700</v>
      </c>
      <c r="AD8" s="195">
        <v>1</v>
      </c>
      <c r="AE8" s="198">
        <v>1</v>
      </c>
      <c r="AF8" s="170"/>
      <c r="AG8" s="171" t="str">
        <f>"      " &amp; TEXT(AE8,"#0.00%") &amp; " " &amp; "프로젝트 테일러링" &amp; "(QA)" &amp; " " &amp; IF(P8="","",TEXT(P8,"M/D-")) &amp; IF(Q8="","",TEXT(Q8,"M/D")) &amp; " "</f>
        <v xml:space="preserve">      100.00% 프로젝트 테일러링(QA) 5/11-5/22 </v>
      </c>
      <c r="AH8" s="171"/>
      <c r="AI8" s="171"/>
      <c r="AJ8" s="171"/>
      <c r="AK8" s="171"/>
      <c r="AL8" s="171"/>
      <c r="AM8" s="171"/>
      <c r="AN8" s="171"/>
      <c r="AO8" s="171"/>
      <c r="AP8" s="171"/>
      <c r="AQ8" s="171"/>
      <c r="AR8" s="171"/>
      <c r="AS8" s="171"/>
      <c r="AT8" s="171"/>
      <c r="AU8" s="171"/>
      <c r="AV8" s="171"/>
      <c r="AW8" s="171"/>
      <c r="AX8" s="171"/>
      <c r="AY8" s="171"/>
      <c r="AZ8" s="171"/>
      <c r="BA8" s="171"/>
      <c r="BB8" s="171"/>
      <c r="BC8" s="171"/>
      <c r="BD8" s="171"/>
      <c r="BE8" s="171"/>
      <c r="BF8" s="171"/>
      <c r="BG8" s="171"/>
      <c r="BH8" s="171"/>
      <c r="BI8" s="171"/>
      <c r="BJ8" s="171"/>
      <c r="BK8" s="171"/>
      <c r="BL8" s="171"/>
      <c r="BM8" s="171"/>
      <c r="BN8" s="171"/>
      <c r="BO8" s="171"/>
      <c r="BP8" s="171"/>
      <c r="BQ8" s="171"/>
      <c r="BR8" s="171"/>
      <c r="BS8" s="171"/>
      <c r="BT8" s="171"/>
      <c r="BU8" s="171"/>
      <c r="BV8" s="171"/>
      <c r="BW8" s="171"/>
      <c r="BX8" s="171"/>
      <c r="BY8" s="171"/>
      <c r="BZ8" s="171"/>
      <c r="CA8" s="171"/>
      <c r="CB8" s="171"/>
      <c r="CC8" s="171"/>
      <c r="CD8" s="171"/>
      <c r="CE8" s="171"/>
      <c r="CF8" s="171"/>
      <c r="CG8" s="171"/>
      <c r="CH8" s="171"/>
    </row>
    <row r="9" spans="1:409" ht="12" customHeight="1" outlineLevel="2">
      <c r="A9" s="189"/>
      <c r="B9" s="189" t="s">
        <v>1387</v>
      </c>
      <c r="C9" s="189">
        <v>3</v>
      </c>
      <c r="D9" s="190" t="s">
        <v>1359</v>
      </c>
      <c r="E9" s="172"/>
      <c r="F9" s="172"/>
      <c r="G9" s="172" t="s">
        <v>1614</v>
      </c>
      <c r="H9" s="172"/>
      <c r="I9" s="172"/>
      <c r="J9" s="172"/>
      <c r="K9" s="172"/>
      <c r="L9" s="172"/>
      <c r="M9" s="172"/>
      <c r="N9" s="172"/>
      <c r="O9" s="172"/>
      <c r="P9" s="191">
        <v>46153</v>
      </c>
      <c r="Q9" s="191">
        <v>46164</v>
      </c>
      <c r="R9" s="172"/>
      <c r="S9" s="192">
        <v>20</v>
      </c>
      <c r="T9" s="192">
        <v>20</v>
      </c>
      <c r="U9" s="192">
        <v>10</v>
      </c>
      <c r="V9" s="192">
        <v>10</v>
      </c>
      <c r="W9" s="191"/>
      <c r="X9" s="191"/>
      <c r="Y9" s="193">
        <v>0</v>
      </c>
      <c r="Z9" s="194">
        <v>0</v>
      </c>
      <c r="AA9" s="192"/>
      <c r="AB9" s="189"/>
      <c r="AC9" s="172"/>
      <c r="AD9" s="195">
        <v>1</v>
      </c>
      <c r="AE9" s="197">
        <v>1</v>
      </c>
      <c r="AF9" s="170"/>
      <c r="AG9" s="171" t="str">
        <f>"      " &amp; TEXT(AE9,"#0.00%") &amp; " " &amp; "착수 및 계획수립" &amp; " " &amp; IF(P9="","",TEXT(P9,"M/D-")) &amp; IF(Q9="","",TEXT(Q9,"M/D")) &amp; " "</f>
        <v xml:space="preserve">      100.00% 착수 및 계획수립 5/11-5/22 </v>
      </c>
      <c r="AH9" s="171"/>
      <c r="AI9" s="171"/>
      <c r="AJ9" s="171"/>
      <c r="AK9" s="171"/>
      <c r="AL9" s="171"/>
      <c r="AM9" s="171"/>
      <c r="AN9" s="171"/>
      <c r="AO9" s="171"/>
      <c r="AP9" s="171"/>
      <c r="AQ9" s="171"/>
      <c r="AR9" s="171"/>
      <c r="AS9" s="171"/>
      <c r="AT9" s="171"/>
      <c r="AU9" s="171"/>
      <c r="AV9" s="171"/>
      <c r="AW9" s="171"/>
      <c r="AX9" s="171"/>
      <c r="AY9" s="171"/>
      <c r="AZ9" s="171"/>
      <c r="BA9" s="171"/>
      <c r="BB9" s="171"/>
      <c r="BC9" s="171"/>
      <c r="BD9" s="171"/>
      <c r="BE9" s="171"/>
      <c r="BF9" s="171"/>
      <c r="BG9" s="171"/>
      <c r="BH9" s="171"/>
      <c r="BI9" s="171"/>
      <c r="BJ9" s="171"/>
      <c r="BK9" s="171"/>
      <c r="BL9" s="171"/>
      <c r="BM9" s="171"/>
      <c r="BN9" s="171"/>
      <c r="BO9" s="171"/>
      <c r="BP9" s="171"/>
      <c r="BQ9" s="171"/>
      <c r="BR9" s="171"/>
      <c r="BS9" s="171"/>
      <c r="BT9" s="171"/>
      <c r="BU9" s="171"/>
      <c r="BV9" s="171"/>
      <c r="BW9" s="171"/>
      <c r="BX9" s="171"/>
      <c r="BY9" s="171"/>
      <c r="BZ9" s="171"/>
      <c r="CA9" s="171"/>
      <c r="CB9" s="171"/>
      <c r="CC9" s="171"/>
      <c r="CD9" s="171"/>
      <c r="CE9" s="171"/>
      <c r="CF9" s="171"/>
      <c r="CG9" s="171"/>
      <c r="CH9" s="171"/>
    </row>
    <row r="10" spans="1:409" ht="12" customHeight="1" outlineLevel="3">
      <c r="A10" s="189"/>
      <c r="B10" s="189"/>
      <c r="C10" s="189">
        <v>4</v>
      </c>
      <c r="D10" s="190" t="s">
        <v>1447</v>
      </c>
      <c r="E10" s="172"/>
      <c r="F10" s="172"/>
      <c r="G10" s="172"/>
      <c r="H10" s="172" t="s">
        <v>1615</v>
      </c>
      <c r="I10" s="172"/>
      <c r="J10" s="172"/>
      <c r="K10" s="172"/>
      <c r="L10" s="172"/>
      <c r="M10" s="172"/>
      <c r="N10" s="172"/>
      <c r="O10" s="172"/>
      <c r="P10" s="230">
        <v>46153</v>
      </c>
      <c r="Q10" s="230">
        <v>46164</v>
      </c>
      <c r="R10" s="172"/>
      <c r="S10" s="192">
        <v>10</v>
      </c>
      <c r="T10" s="192">
        <v>10</v>
      </c>
      <c r="U10" s="192">
        <v>10</v>
      </c>
      <c r="V10" s="192">
        <v>10</v>
      </c>
      <c r="W10" s="191">
        <v>46086</v>
      </c>
      <c r="X10" s="191">
        <v>46097</v>
      </c>
      <c r="Y10" s="193">
        <v>8</v>
      </c>
      <c r="Z10" s="194">
        <v>8</v>
      </c>
      <c r="AA10" s="192">
        <v>1</v>
      </c>
      <c r="AB10" s="222" t="s">
        <v>1699</v>
      </c>
      <c r="AC10" s="223" t="s">
        <v>1756</v>
      </c>
      <c r="AD10" s="195">
        <v>1</v>
      </c>
      <c r="AE10" s="198">
        <v>1</v>
      </c>
      <c r="AF10" s="170"/>
      <c r="AG10" s="171" t="str">
        <f>"      " &amp; TEXT(AE10,"#0.00%") &amp; " " &amp; "사업수행 계획수립" &amp; "(PMO)" &amp; " " &amp; IF(P10="","",TEXT(P10,"M/D-")) &amp; IF(Q10="","",TEXT(Q10,"M/D")) &amp; " "</f>
        <v xml:space="preserve">      100.00% 사업수행 계획수립(PMO) 5/11-5/22 </v>
      </c>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1"/>
      <c r="BE10" s="171"/>
      <c r="BF10" s="171"/>
      <c r="BG10" s="171"/>
      <c r="BH10" s="171"/>
      <c r="BI10" s="171"/>
      <c r="BJ10" s="171"/>
      <c r="BK10" s="171"/>
      <c r="BL10" s="171"/>
      <c r="BM10" s="171"/>
      <c r="BN10" s="171"/>
      <c r="BO10" s="171"/>
      <c r="BP10" s="171"/>
      <c r="BQ10" s="171"/>
      <c r="BR10" s="171"/>
      <c r="BS10" s="171"/>
      <c r="BT10" s="171"/>
      <c r="BU10" s="171"/>
      <c r="BV10" s="171"/>
      <c r="BW10" s="171"/>
      <c r="BX10" s="171"/>
      <c r="BY10" s="171"/>
      <c r="BZ10" s="171"/>
      <c r="CA10" s="171"/>
      <c r="CB10" s="171"/>
      <c r="CC10" s="171"/>
      <c r="CD10" s="171"/>
      <c r="CE10" s="171"/>
      <c r="CF10" s="171"/>
      <c r="CG10" s="171"/>
      <c r="CH10" s="171"/>
    </row>
    <row r="11" spans="1:409" ht="12" customHeight="1" outlineLevel="3">
      <c r="A11" s="189" t="s">
        <v>1448</v>
      </c>
      <c r="B11" s="189"/>
      <c r="C11" s="189">
        <v>4</v>
      </c>
      <c r="D11" s="190" t="s">
        <v>1449</v>
      </c>
      <c r="E11" s="172"/>
      <c r="F11" s="172"/>
      <c r="G11" s="172"/>
      <c r="H11" s="172" t="s">
        <v>1616</v>
      </c>
      <c r="I11" s="172"/>
      <c r="J11" s="172"/>
      <c r="K11" s="172"/>
      <c r="L11" s="172"/>
      <c r="M11" s="172"/>
      <c r="N11" s="172"/>
      <c r="O11" s="172"/>
      <c r="P11" s="230">
        <v>46153</v>
      </c>
      <c r="Q11" s="230">
        <v>46164</v>
      </c>
      <c r="R11" s="172"/>
      <c r="S11" s="192">
        <v>0</v>
      </c>
      <c r="T11" s="192">
        <v>0</v>
      </c>
      <c r="U11" s="192">
        <v>10</v>
      </c>
      <c r="V11" s="192">
        <v>10</v>
      </c>
      <c r="W11" s="191">
        <v>46100</v>
      </c>
      <c r="X11" s="191">
        <v>46100</v>
      </c>
      <c r="Y11" s="193">
        <v>1</v>
      </c>
      <c r="Z11" s="194">
        <v>1</v>
      </c>
      <c r="AA11" s="192">
        <v>1</v>
      </c>
      <c r="AB11" s="222" t="s">
        <v>1698</v>
      </c>
      <c r="AC11" s="223" t="s">
        <v>1701</v>
      </c>
      <c r="AD11" s="195">
        <v>1</v>
      </c>
      <c r="AE11" s="199">
        <v>1</v>
      </c>
      <c r="AF11" s="170" t="str">
        <f>"     " &amp; TEXT(AE11,"#0.00%") &amp; " " &amp; "품질보증 계획수립" &amp; "(QA)" &amp; " " &amp; IF(P11="","",TEXT(P11,"M/D-")) &amp; IF(Q11="","",TEXT(Q11,"M/D")) &amp; " "</f>
        <v xml:space="preserve">     100.00% 품질보증 계획수립(QA) 5/11-5/22 </v>
      </c>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c r="BM11" s="171"/>
      <c r="BN11" s="171"/>
      <c r="BO11" s="171"/>
      <c r="BP11" s="171"/>
      <c r="BQ11" s="171"/>
      <c r="BR11" s="171"/>
      <c r="BS11" s="171"/>
      <c r="BT11" s="171"/>
      <c r="BU11" s="171"/>
      <c r="BV11" s="171"/>
      <c r="BW11" s="171"/>
      <c r="BX11" s="171"/>
      <c r="BY11" s="171"/>
      <c r="BZ11" s="171"/>
      <c r="CA11" s="171"/>
      <c r="CB11" s="171"/>
      <c r="CC11" s="171"/>
      <c r="CD11" s="171"/>
      <c r="CE11" s="171"/>
      <c r="CF11" s="171"/>
      <c r="CG11" s="171"/>
      <c r="CH11" s="171"/>
    </row>
    <row r="12" spans="1:409" ht="12" customHeight="1" outlineLevel="3">
      <c r="A12" s="189"/>
      <c r="B12" s="189"/>
      <c r="C12" s="189">
        <v>4</v>
      </c>
      <c r="D12" s="190" t="s">
        <v>1781</v>
      </c>
      <c r="E12" s="172"/>
      <c r="F12" s="172"/>
      <c r="G12" s="172"/>
      <c r="H12" s="172" t="s">
        <v>1617</v>
      </c>
      <c r="I12" s="172"/>
      <c r="J12" s="172"/>
      <c r="K12" s="172"/>
      <c r="L12" s="172"/>
      <c r="M12" s="172"/>
      <c r="N12" s="172"/>
      <c r="O12" s="172"/>
      <c r="P12" s="230">
        <v>46153</v>
      </c>
      <c r="Q12" s="230">
        <v>46164</v>
      </c>
      <c r="R12" s="172"/>
      <c r="S12" s="192">
        <v>10</v>
      </c>
      <c r="T12" s="192">
        <v>10</v>
      </c>
      <c r="U12" s="192">
        <v>10</v>
      </c>
      <c r="V12" s="192">
        <v>10</v>
      </c>
      <c r="W12" s="191"/>
      <c r="X12" s="191"/>
      <c r="Y12" s="193"/>
      <c r="Z12" s="194">
        <v>0</v>
      </c>
      <c r="AA12" s="192"/>
      <c r="AB12" s="224" t="s">
        <v>1699</v>
      </c>
      <c r="AC12" s="225" t="s">
        <v>1841</v>
      </c>
      <c r="AD12" s="195">
        <v>1</v>
      </c>
      <c r="AE12" s="199">
        <v>1</v>
      </c>
      <c r="AF12" s="170"/>
      <c r="AG12" s="171" t="str">
        <f>"      " &amp; TEXT(AE12,"#0.00%") &amp; " " &amp; "착수보고" &amp; "(PMO)" &amp; " " &amp; IF(P12="","",TEXT(P12,"M/D-")) &amp; IF(Q12="","",TEXT(Q12,"M/D")) &amp; " "</f>
        <v xml:space="preserve">      100.00% 착수보고(PMO) 5/11-5/22 </v>
      </c>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71"/>
      <c r="BE12" s="171"/>
      <c r="BF12" s="171"/>
      <c r="BG12" s="171"/>
      <c r="BH12" s="171"/>
      <c r="BI12" s="171"/>
      <c r="BJ12" s="171"/>
      <c r="BK12" s="171"/>
      <c r="BL12" s="171"/>
      <c r="BM12" s="171"/>
      <c r="BN12" s="171"/>
      <c r="BO12" s="171"/>
      <c r="BP12" s="171"/>
      <c r="BQ12" s="171"/>
      <c r="BR12" s="171"/>
      <c r="BS12" s="171"/>
      <c r="BT12" s="171"/>
      <c r="BU12" s="171"/>
      <c r="BV12" s="171"/>
      <c r="BW12" s="171"/>
      <c r="BX12" s="171"/>
      <c r="BY12" s="171"/>
      <c r="BZ12" s="171"/>
      <c r="CA12" s="171"/>
      <c r="CB12" s="171"/>
      <c r="CC12" s="171"/>
      <c r="CD12" s="171"/>
      <c r="CE12" s="171"/>
      <c r="CF12" s="171"/>
      <c r="CG12" s="171"/>
      <c r="CH12" s="171"/>
    </row>
    <row r="13" spans="1:409" ht="12" customHeight="1" outlineLevel="2">
      <c r="A13" s="189"/>
      <c r="B13" s="189" t="s">
        <v>1387</v>
      </c>
      <c r="C13" s="189">
        <v>3</v>
      </c>
      <c r="D13" s="190" t="s">
        <v>1782</v>
      </c>
      <c r="E13" s="172"/>
      <c r="F13" s="172"/>
      <c r="G13" s="172" t="s">
        <v>1618</v>
      </c>
      <c r="H13" s="172"/>
      <c r="I13" s="172"/>
      <c r="J13" s="172"/>
      <c r="K13" s="172"/>
      <c r="L13" s="172"/>
      <c r="M13" s="172"/>
      <c r="N13" s="172"/>
      <c r="O13" s="172"/>
      <c r="P13" s="191">
        <v>46153</v>
      </c>
      <c r="Q13" s="191">
        <v>46185</v>
      </c>
      <c r="R13" s="172"/>
      <c r="S13" s="192">
        <v>37</v>
      </c>
      <c r="T13" s="192">
        <v>37</v>
      </c>
      <c r="U13" s="192">
        <v>23</v>
      </c>
      <c r="V13" s="192">
        <v>23</v>
      </c>
      <c r="W13" s="191"/>
      <c r="X13" s="191"/>
      <c r="Y13" s="193">
        <v>0</v>
      </c>
      <c r="Z13" s="194">
        <v>0</v>
      </c>
      <c r="AA13" s="192"/>
      <c r="AB13" s="189"/>
      <c r="AC13" s="172"/>
      <c r="AD13" s="195">
        <v>1</v>
      </c>
      <c r="AE13" s="197">
        <v>1</v>
      </c>
      <c r="AF13" s="170"/>
      <c r="AG13" s="171"/>
      <c r="AH13" s="171"/>
      <c r="AI13" s="171"/>
      <c r="AJ13" s="171" t="str">
        <f>"      " &amp; TEXT(AE13,"#0.00%") &amp; " " &amp; " ISP" &amp; " " &amp; IF(P13="","",TEXT(P13,"M/D-")) &amp; IF(Q13="","",TEXT(Q13,"M/D")) &amp; " "</f>
        <v xml:space="preserve">      100.00%  ISP 5/11-6/12 </v>
      </c>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1"/>
      <c r="BN13" s="171"/>
      <c r="BO13" s="171"/>
      <c r="BP13" s="171"/>
      <c r="BQ13" s="171"/>
      <c r="BR13" s="171"/>
      <c r="BS13" s="171"/>
      <c r="BT13" s="171"/>
      <c r="BU13" s="171"/>
      <c r="BV13" s="171"/>
      <c r="BW13" s="171"/>
      <c r="BX13" s="171"/>
      <c r="BY13" s="171"/>
      <c r="BZ13" s="171"/>
      <c r="CA13" s="171"/>
      <c r="CB13" s="171"/>
      <c r="CC13" s="171"/>
      <c r="CD13" s="171"/>
      <c r="CE13" s="171"/>
      <c r="CF13" s="171"/>
      <c r="CG13" s="171"/>
      <c r="CH13" s="171"/>
    </row>
    <row r="14" spans="1:409" ht="12" customHeight="1" outlineLevel="3">
      <c r="A14" s="189"/>
      <c r="B14" s="189"/>
      <c r="C14" s="189">
        <v>4</v>
      </c>
      <c r="D14" s="190" t="s">
        <v>1783</v>
      </c>
      <c r="E14" s="172"/>
      <c r="F14" s="172"/>
      <c r="G14" s="172"/>
      <c r="H14" s="172" t="s">
        <v>1620</v>
      </c>
      <c r="I14" s="172"/>
      <c r="J14" s="172"/>
      <c r="K14" s="172"/>
      <c r="L14" s="172"/>
      <c r="M14" s="172"/>
      <c r="N14" s="172"/>
      <c r="O14" s="172"/>
      <c r="P14" s="230">
        <v>46153</v>
      </c>
      <c r="Q14" s="230">
        <v>46185</v>
      </c>
      <c r="R14" s="172"/>
      <c r="S14" s="192">
        <v>23</v>
      </c>
      <c r="T14" s="192">
        <v>23</v>
      </c>
      <c r="U14" s="192">
        <v>23</v>
      </c>
      <c r="V14" s="192">
        <v>23</v>
      </c>
      <c r="W14" s="191"/>
      <c r="X14" s="191"/>
      <c r="Y14" s="193"/>
      <c r="Z14" s="194">
        <v>0</v>
      </c>
      <c r="AA14" s="192">
        <v>1</v>
      </c>
      <c r="AB14" s="226" t="s">
        <v>1702</v>
      </c>
      <c r="AC14" s="172"/>
      <c r="AD14" s="195">
        <v>1</v>
      </c>
      <c r="AE14" s="198">
        <v>1</v>
      </c>
      <c r="AF14" s="170"/>
      <c r="AG14" s="171"/>
      <c r="AH14" s="171"/>
      <c r="AI14" s="171"/>
      <c r="AJ14" s="171" t="str">
        <f>"      " &amp; TEXT(AE14,"#0.00%") &amp; " " &amp; "ISP 계획" &amp; "(컨설팅)" &amp; " " &amp; IF(P14="","",TEXT(P14,"M/D-")) &amp; IF(Q14="","",TEXT(Q14,"M/D")) &amp; " "</f>
        <v xml:space="preserve">      100.00% ISP 계획(컨설팅) 5/11-6/12 </v>
      </c>
      <c r="AK14" s="171"/>
      <c r="AL14" s="171"/>
      <c r="AM14" s="171"/>
      <c r="AN14" s="171"/>
      <c r="AO14" s="171"/>
      <c r="AP14" s="171"/>
      <c r="AQ14" s="171"/>
      <c r="AR14" s="171"/>
      <c r="AS14" s="171"/>
      <c r="AT14" s="171"/>
      <c r="AU14" s="171"/>
      <c r="AV14" s="171"/>
      <c r="AW14" s="171"/>
      <c r="AX14" s="171"/>
      <c r="AY14" s="171"/>
      <c r="AZ14" s="171"/>
      <c r="BA14" s="171"/>
      <c r="BB14" s="171"/>
      <c r="BC14" s="171"/>
      <c r="BD14" s="171"/>
      <c r="BE14" s="171"/>
      <c r="BF14" s="171"/>
      <c r="BG14" s="171"/>
      <c r="BH14" s="171"/>
      <c r="BI14" s="171"/>
      <c r="BJ14" s="171"/>
      <c r="BK14" s="171"/>
      <c r="BL14" s="171"/>
      <c r="BM14" s="171"/>
      <c r="BN14" s="171"/>
      <c r="BO14" s="171"/>
      <c r="BP14" s="171"/>
      <c r="BQ14" s="171"/>
      <c r="BR14" s="171"/>
      <c r="BS14" s="171"/>
      <c r="BT14" s="171"/>
      <c r="BU14" s="171"/>
      <c r="BV14" s="171"/>
      <c r="BW14" s="171"/>
      <c r="BX14" s="171"/>
      <c r="BY14" s="171"/>
      <c r="BZ14" s="171"/>
      <c r="CA14" s="171"/>
      <c r="CB14" s="171"/>
      <c r="CC14" s="171"/>
      <c r="CD14" s="171"/>
      <c r="CE14" s="171"/>
      <c r="CF14" s="171"/>
      <c r="CG14" s="171"/>
      <c r="CH14" s="171"/>
    </row>
    <row r="15" spans="1:409" ht="12" customHeight="1" outlineLevel="3">
      <c r="A15" s="189"/>
      <c r="B15" s="189"/>
      <c r="C15" s="189">
        <v>4</v>
      </c>
      <c r="D15" s="190" t="s">
        <v>1784</v>
      </c>
      <c r="E15" s="172"/>
      <c r="F15" s="172"/>
      <c r="G15" s="172"/>
      <c r="H15" s="172" t="s">
        <v>1619</v>
      </c>
      <c r="I15" s="172"/>
      <c r="J15" s="172"/>
      <c r="K15" s="172"/>
      <c r="L15" s="172"/>
      <c r="M15" s="172"/>
      <c r="N15" s="172"/>
      <c r="O15" s="172"/>
      <c r="P15" s="230">
        <v>46174</v>
      </c>
      <c r="Q15" s="230">
        <v>46185</v>
      </c>
      <c r="R15" s="172"/>
      <c r="S15" s="192">
        <v>9</v>
      </c>
      <c r="T15" s="192">
        <v>9</v>
      </c>
      <c r="U15" s="192">
        <v>9</v>
      </c>
      <c r="V15" s="192">
        <v>9</v>
      </c>
      <c r="W15" s="191"/>
      <c r="X15" s="191"/>
      <c r="Y15" s="193"/>
      <c r="Z15" s="194">
        <v>0</v>
      </c>
      <c r="AA15" s="192">
        <v>1</v>
      </c>
      <c r="AB15" s="226" t="s">
        <v>1702</v>
      </c>
      <c r="AC15" s="172"/>
      <c r="AD15" s="195">
        <v>1</v>
      </c>
      <c r="AE15" s="198">
        <v>1</v>
      </c>
      <c r="AF15" s="170"/>
      <c r="AG15" s="171"/>
      <c r="AH15" s="171"/>
      <c r="AI15" s="171"/>
      <c r="AJ15" s="171" t="str">
        <f>"      " &amp; TEXT(AE15,"#0.00%") &amp; " " &amp; "ISP 인터뷰" &amp; "(컨설팅)" &amp; " " &amp; IF(P15="","",TEXT(P15,"M/D-")) &amp; IF(Q15="","",TEXT(Q15,"M/D")) &amp; " "</f>
        <v xml:space="preserve">      100.00% ISP 인터뷰(컨설팅) 6/1-6/12 </v>
      </c>
      <c r="AK15" s="171"/>
      <c r="AL15" s="171"/>
      <c r="AM15" s="171"/>
      <c r="AN15" s="171"/>
      <c r="AO15" s="171"/>
      <c r="AP15" s="171"/>
      <c r="AQ15" s="171"/>
      <c r="AR15" s="171"/>
      <c r="AS15" s="171"/>
      <c r="AT15" s="171"/>
      <c r="AU15" s="171"/>
      <c r="AV15" s="171"/>
      <c r="AW15" s="171"/>
      <c r="AX15" s="171"/>
      <c r="AY15" s="171"/>
      <c r="AZ15" s="171"/>
      <c r="BA15" s="171"/>
      <c r="BB15" s="171"/>
      <c r="BC15" s="171"/>
      <c r="BD15" s="171"/>
      <c r="BE15" s="171"/>
      <c r="BF15" s="171"/>
      <c r="BG15" s="171"/>
      <c r="BH15" s="171"/>
      <c r="BI15" s="171"/>
      <c r="BJ15" s="171"/>
      <c r="BK15" s="171"/>
      <c r="BL15" s="171"/>
      <c r="BM15" s="171"/>
      <c r="BN15" s="171"/>
      <c r="BO15" s="171"/>
      <c r="BP15" s="171"/>
      <c r="BQ15" s="171"/>
      <c r="BR15" s="171"/>
      <c r="BS15" s="171"/>
      <c r="BT15" s="171"/>
      <c r="BU15" s="171"/>
      <c r="BV15" s="171"/>
      <c r="BW15" s="171"/>
      <c r="BX15" s="171"/>
      <c r="BY15" s="171"/>
      <c r="BZ15" s="171"/>
      <c r="CA15" s="171"/>
      <c r="CB15" s="171"/>
      <c r="CC15" s="171"/>
      <c r="CD15" s="171"/>
      <c r="CE15" s="171"/>
      <c r="CF15" s="171"/>
      <c r="CG15" s="171"/>
      <c r="CH15" s="171"/>
    </row>
    <row r="16" spans="1:409" ht="12" customHeight="1" outlineLevel="3">
      <c r="A16" s="189"/>
      <c r="B16" s="189"/>
      <c r="C16" s="189">
        <v>4</v>
      </c>
      <c r="D16" s="190" t="s">
        <v>1785</v>
      </c>
      <c r="E16" s="172"/>
      <c r="F16" s="172"/>
      <c r="G16" s="172"/>
      <c r="H16" s="172" t="s">
        <v>1621</v>
      </c>
      <c r="I16" s="172"/>
      <c r="J16" s="172"/>
      <c r="K16" s="172"/>
      <c r="L16" s="172"/>
      <c r="M16" s="172"/>
      <c r="N16" s="172"/>
      <c r="O16" s="172"/>
      <c r="P16" s="230">
        <v>46181</v>
      </c>
      <c r="Q16" s="230">
        <v>46185</v>
      </c>
      <c r="R16" s="172"/>
      <c r="S16" s="192">
        <v>5</v>
      </c>
      <c r="T16" s="192">
        <v>5</v>
      </c>
      <c r="U16" s="192">
        <v>5</v>
      </c>
      <c r="V16" s="192">
        <v>5</v>
      </c>
      <c r="W16" s="191"/>
      <c r="X16" s="191"/>
      <c r="Y16" s="193"/>
      <c r="Z16" s="194">
        <v>0</v>
      </c>
      <c r="AA16" s="192">
        <v>1</v>
      </c>
      <c r="AB16" s="226" t="s">
        <v>1702</v>
      </c>
      <c r="AC16" s="172"/>
      <c r="AD16" s="195">
        <v>1</v>
      </c>
      <c r="AE16" s="198">
        <v>1</v>
      </c>
      <c r="AF16" s="170"/>
      <c r="AG16" s="171"/>
      <c r="AH16" s="171"/>
      <c r="AI16" s="171"/>
      <c r="AJ16" s="171" t="str">
        <f>"      " &amp; TEXT(AE16,"#0.00%") &amp; " " &amp; "ISP 결과보고" &amp; "(컨설팅)" &amp; " " &amp; IF(P16="","",TEXT(P16,"M/D-")) &amp; IF(Q16="","",TEXT(Q16,"M/D")) &amp; " "</f>
        <v xml:space="preserve">      100.00% ISP 결과보고(컨설팅) 6/8-6/12 </v>
      </c>
      <c r="AK16" s="171"/>
      <c r="AL16" s="171"/>
      <c r="AM16" s="171"/>
      <c r="AN16" s="171"/>
      <c r="AO16" s="171"/>
      <c r="AP16" s="171"/>
      <c r="AQ16" s="171"/>
      <c r="AR16" s="171"/>
      <c r="AS16" s="171"/>
      <c r="AT16" s="171"/>
      <c r="AU16" s="171"/>
      <c r="AV16" s="171"/>
      <c r="AW16" s="171"/>
      <c r="AX16" s="171"/>
      <c r="AY16" s="171"/>
      <c r="AZ16" s="171"/>
      <c r="BA16" s="171"/>
      <c r="BB16" s="171"/>
      <c r="BC16" s="171"/>
      <c r="BD16" s="171"/>
      <c r="BE16" s="171"/>
      <c r="BF16" s="171"/>
      <c r="BG16" s="171"/>
      <c r="BH16" s="171"/>
      <c r="BI16" s="171"/>
      <c r="BJ16" s="171"/>
      <c r="BK16" s="171"/>
      <c r="BL16" s="171"/>
      <c r="BM16" s="171"/>
      <c r="BN16" s="171"/>
      <c r="BO16" s="171"/>
      <c r="BP16" s="171"/>
      <c r="BQ16" s="171"/>
      <c r="BR16" s="171"/>
      <c r="BS16" s="171"/>
      <c r="BT16" s="171"/>
      <c r="BU16" s="171"/>
      <c r="BV16" s="171"/>
      <c r="BW16" s="171"/>
      <c r="BX16" s="171"/>
      <c r="BY16" s="171"/>
      <c r="BZ16" s="171"/>
      <c r="CA16" s="171"/>
      <c r="CB16" s="171"/>
      <c r="CC16" s="171"/>
      <c r="CD16" s="171"/>
      <c r="CE16" s="171"/>
      <c r="CF16" s="171"/>
      <c r="CG16" s="171"/>
      <c r="CH16" s="171"/>
    </row>
    <row r="17" spans="1:86" ht="12" customHeight="1" outlineLevel="1">
      <c r="A17" s="189"/>
      <c r="B17" s="189" t="s">
        <v>1387</v>
      </c>
      <c r="C17" s="189">
        <v>2</v>
      </c>
      <c r="D17" s="190" t="s">
        <v>1348</v>
      </c>
      <c r="E17" s="172"/>
      <c r="F17" s="172" t="s">
        <v>1622</v>
      </c>
      <c r="G17" s="172"/>
      <c r="H17" s="172"/>
      <c r="I17" s="172"/>
      <c r="J17" s="172"/>
      <c r="K17" s="172"/>
      <c r="L17" s="172"/>
      <c r="M17" s="172"/>
      <c r="N17" s="172"/>
      <c r="O17" s="172"/>
      <c r="P17" s="191">
        <v>46188</v>
      </c>
      <c r="Q17" s="191">
        <v>46527</v>
      </c>
      <c r="R17" s="172"/>
      <c r="S17" s="192">
        <v>1189</v>
      </c>
      <c r="T17" s="192">
        <v>378</v>
      </c>
      <c r="U17" s="192">
        <v>231</v>
      </c>
      <c r="V17" s="192">
        <v>72</v>
      </c>
      <c r="W17" s="191"/>
      <c r="X17" s="191"/>
      <c r="Y17" s="193">
        <v>0</v>
      </c>
      <c r="Z17" s="194">
        <v>0</v>
      </c>
      <c r="AA17" s="192"/>
      <c r="AB17" s="189"/>
      <c r="AC17" s="172"/>
      <c r="AD17" s="195">
        <v>0.31791421362489486</v>
      </c>
      <c r="AE17" s="196">
        <v>0.31455004205214487</v>
      </c>
      <c r="AF17" s="170"/>
      <c r="AG17" s="171"/>
      <c r="AH17" s="171"/>
      <c r="AI17" s="171"/>
      <c r="AJ17" s="171"/>
      <c r="AK17" s="171"/>
      <c r="AL17" s="171"/>
      <c r="AM17" s="171"/>
      <c r="AN17" s="171"/>
      <c r="AO17" s="171"/>
      <c r="AP17" s="171"/>
      <c r="AQ17" s="171"/>
      <c r="AR17" s="171"/>
      <c r="AS17" s="171"/>
      <c r="AT17" s="171"/>
      <c r="AU17" s="171"/>
      <c r="AV17" s="171"/>
      <c r="AW17" s="171"/>
      <c r="AX17" s="171"/>
      <c r="AY17" s="171"/>
      <c r="AZ17" s="171" t="str">
        <f>"   " &amp; TEXT(AE17,"#0.00%") &amp; " "</f>
        <v xml:space="preserve">   31.46% </v>
      </c>
      <c r="BA17" s="171"/>
      <c r="BB17" s="171"/>
      <c r="BC17" s="171"/>
      <c r="BD17" s="171"/>
      <c r="BE17" s="171"/>
      <c r="BF17" s="171"/>
      <c r="BG17" s="171"/>
      <c r="BH17" s="171"/>
      <c r="BI17" s="171"/>
      <c r="BJ17" s="171"/>
      <c r="BK17" s="171"/>
      <c r="BL17" s="171"/>
      <c r="BM17" s="171"/>
      <c r="BN17" s="171"/>
      <c r="BO17" s="171"/>
      <c r="BP17" s="171"/>
      <c r="BQ17" s="171"/>
      <c r="BR17" s="171"/>
      <c r="BS17" s="171"/>
      <c r="BT17" s="171"/>
      <c r="BU17" s="171"/>
      <c r="BV17" s="171"/>
      <c r="BW17" s="171"/>
      <c r="BX17" s="171"/>
      <c r="BY17" s="171"/>
      <c r="BZ17" s="171"/>
      <c r="CA17" s="171"/>
      <c r="CB17" s="171"/>
      <c r="CC17" s="171"/>
      <c r="CD17" s="171"/>
      <c r="CE17" s="171"/>
      <c r="CF17" s="171"/>
      <c r="CG17" s="171" t="str">
        <f>"     " &amp; "관리통제" &amp; " " &amp; IF(P17="","",TEXT(P17,"M/D-")) &amp; IF(Q17="","",TEXT(Q17,"M/D")) &amp; " "</f>
        <v xml:space="preserve">     관리통제 6/15-5/20 </v>
      </c>
      <c r="CH17" s="171"/>
    </row>
    <row r="18" spans="1:86" ht="12" customHeight="1" outlineLevel="2">
      <c r="A18" s="189"/>
      <c r="B18" s="189" t="s">
        <v>1387</v>
      </c>
      <c r="C18" s="189">
        <v>3</v>
      </c>
      <c r="D18" s="190" t="s">
        <v>1356</v>
      </c>
      <c r="E18" s="172"/>
      <c r="F18" s="172"/>
      <c r="G18" s="172" t="s">
        <v>1623</v>
      </c>
      <c r="H18" s="172"/>
      <c r="I18" s="172"/>
      <c r="J18" s="172"/>
      <c r="K18" s="172"/>
      <c r="L18" s="172"/>
      <c r="M18" s="172"/>
      <c r="N18" s="172"/>
      <c r="O18" s="172"/>
      <c r="P18" s="191">
        <v>46188</v>
      </c>
      <c r="Q18" s="191">
        <v>46527</v>
      </c>
      <c r="R18" s="172"/>
      <c r="S18" s="192">
        <v>231</v>
      </c>
      <c r="T18" s="192">
        <v>72</v>
      </c>
      <c r="U18" s="192">
        <v>231</v>
      </c>
      <c r="V18" s="192">
        <v>72</v>
      </c>
      <c r="W18" s="191"/>
      <c r="X18" s="191"/>
      <c r="Y18" s="193">
        <v>0</v>
      </c>
      <c r="Z18" s="194">
        <v>0</v>
      </c>
      <c r="AA18" s="192"/>
      <c r="AB18" s="189"/>
      <c r="AC18" s="172"/>
      <c r="AD18" s="195">
        <v>0.31168831168831168</v>
      </c>
      <c r="AE18" s="196">
        <v>0.30303030303030298</v>
      </c>
      <c r="AF18" s="170"/>
      <c r="AG18" s="171"/>
      <c r="AH18" s="171"/>
      <c r="AI18" s="171"/>
      <c r="AJ18" s="171"/>
      <c r="AK18" s="171"/>
      <c r="AL18" s="171"/>
      <c r="AM18" s="171"/>
      <c r="AN18" s="171"/>
      <c r="AO18" s="171"/>
      <c r="AP18" s="171"/>
      <c r="AQ18" s="171"/>
      <c r="AR18" s="171"/>
      <c r="AS18" s="171"/>
      <c r="AT18" s="171"/>
      <c r="AU18" s="171"/>
      <c r="AV18" s="171"/>
      <c r="AW18" s="171"/>
      <c r="AX18" s="171"/>
      <c r="AY18" s="171" t="str">
        <f>"      " &amp; TEXT(AE18,"#0.00%") &amp; " "</f>
        <v xml:space="preserve">      30.30% </v>
      </c>
      <c r="AZ18" s="171"/>
      <c r="BA18" s="171"/>
      <c r="BB18" s="171"/>
      <c r="BC18" s="171"/>
      <c r="BD18" s="171"/>
      <c r="BE18" s="171"/>
      <c r="BF18" s="171"/>
      <c r="BG18" s="171"/>
      <c r="BH18" s="171"/>
      <c r="BI18" s="171"/>
      <c r="BJ18" s="171"/>
      <c r="BK18" s="171"/>
      <c r="BL18" s="171"/>
      <c r="BM18" s="171"/>
      <c r="BN18" s="171"/>
      <c r="BO18" s="171"/>
      <c r="BP18" s="171"/>
      <c r="BQ18" s="171"/>
      <c r="BR18" s="171"/>
      <c r="BS18" s="171"/>
      <c r="BT18" s="171"/>
      <c r="BU18" s="171"/>
      <c r="BV18" s="171"/>
      <c r="BW18" s="171"/>
      <c r="BX18" s="171"/>
      <c r="BY18" s="171"/>
      <c r="BZ18" s="171"/>
      <c r="CA18" s="171"/>
      <c r="CB18" s="171"/>
      <c r="CC18" s="171"/>
      <c r="CD18" s="171"/>
      <c r="CE18" s="171"/>
      <c r="CF18" s="171"/>
      <c r="CG18" s="171" t="str">
        <f>"     " &amp; "변경관리" &amp; " " &amp; IF(P18="","",TEXT(P18,"M/D-")) &amp; IF(Q18="","",TEXT(Q18,"M/D")) &amp; " "</f>
        <v xml:space="preserve">     변경관리 6/15-5/20 </v>
      </c>
      <c r="CH18" s="171"/>
    </row>
    <row r="19" spans="1:86" ht="12" customHeight="1" outlineLevel="3">
      <c r="A19" s="189"/>
      <c r="B19" s="189"/>
      <c r="C19" s="189">
        <v>4</v>
      </c>
      <c r="D19" s="190" t="s">
        <v>1786</v>
      </c>
      <c r="E19" s="172"/>
      <c r="F19" s="172"/>
      <c r="G19" s="172"/>
      <c r="H19" s="172" t="s">
        <v>1624</v>
      </c>
      <c r="I19" s="172"/>
      <c r="J19" s="172"/>
      <c r="K19" s="172"/>
      <c r="L19" s="172"/>
      <c r="M19" s="172"/>
      <c r="N19" s="172"/>
      <c r="O19" s="172"/>
      <c r="P19" s="230">
        <v>46188</v>
      </c>
      <c r="Q19" s="230">
        <v>46527</v>
      </c>
      <c r="R19" s="172"/>
      <c r="S19" s="192">
        <v>231</v>
      </c>
      <c r="T19" s="192">
        <v>72</v>
      </c>
      <c r="U19" s="192">
        <v>231</v>
      </c>
      <c r="V19" s="192">
        <v>72</v>
      </c>
      <c r="W19" s="191"/>
      <c r="X19" s="191"/>
      <c r="Y19" s="193"/>
      <c r="Z19" s="194">
        <v>0</v>
      </c>
      <c r="AA19" s="192">
        <v>1</v>
      </c>
      <c r="AB19" s="222" t="s">
        <v>1699</v>
      </c>
      <c r="AC19" s="227" t="s">
        <v>1757</v>
      </c>
      <c r="AD19" s="195">
        <v>0.31168831168831168</v>
      </c>
      <c r="AE19" s="247">
        <v>0.30303030303030298</v>
      </c>
      <c r="AF19" s="170"/>
      <c r="AG19" s="171"/>
      <c r="AH19" s="171"/>
      <c r="AI19" s="171"/>
      <c r="AJ19" s="171"/>
      <c r="AK19" s="171"/>
      <c r="AL19" s="171"/>
      <c r="AM19" s="171"/>
      <c r="AN19" s="171"/>
      <c r="AO19" s="171"/>
      <c r="AP19" s="171"/>
      <c r="AQ19" s="171"/>
      <c r="AR19" s="171"/>
      <c r="AS19" s="171"/>
      <c r="AT19" s="171"/>
      <c r="AU19" s="171"/>
      <c r="AV19" s="171"/>
      <c r="AW19" s="171"/>
      <c r="AX19" s="171"/>
      <c r="AY19" s="171" t="str">
        <f>"      " &amp; TEXT(AE19,"#0.00%") &amp; " "</f>
        <v xml:space="preserve">      30.30% </v>
      </c>
      <c r="AZ19" s="171"/>
      <c r="BA19" s="171"/>
      <c r="BB19" s="171"/>
      <c r="BC19" s="171"/>
      <c r="BD19" s="171"/>
      <c r="BE19" s="171"/>
      <c r="BF19" s="171"/>
      <c r="BG19" s="171"/>
      <c r="BH19" s="171"/>
      <c r="BI19" s="171"/>
      <c r="BJ19" s="171"/>
      <c r="BK19" s="171"/>
      <c r="BL19" s="171"/>
      <c r="BM19" s="171"/>
      <c r="BN19" s="171"/>
      <c r="BO19" s="171"/>
      <c r="BP19" s="171"/>
      <c r="BQ19" s="171"/>
      <c r="BR19" s="171"/>
      <c r="BS19" s="171"/>
      <c r="BT19" s="171"/>
      <c r="BU19" s="171"/>
      <c r="BV19" s="171"/>
      <c r="BW19" s="171"/>
      <c r="BX19" s="171"/>
      <c r="BY19" s="171"/>
      <c r="BZ19" s="171"/>
      <c r="CA19" s="171"/>
      <c r="CB19" s="171"/>
      <c r="CC19" s="171"/>
      <c r="CD19" s="171"/>
      <c r="CE19" s="171"/>
      <c r="CF19" s="171"/>
      <c r="CG19" s="171" t="str">
        <f>"     " &amp; "변경요청 및 영향평가" &amp; "(PMO)" &amp; " " &amp; IF(P19="","",TEXT(P19,"M/D-")) &amp; IF(Q19="","",TEXT(Q19,"M/D")) &amp; " "</f>
        <v xml:space="preserve">     변경요청 및 영향평가(PMO) 6/15-5/20 </v>
      </c>
      <c r="CH19" s="171"/>
    </row>
    <row r="20" spans="1:86" ht="12" customHeight="1" outlineLevel="2">
      <c r="A20" s="189"/>
      <c r="B20" s="189" t="s">
        <v>1387</v>
      </c>
      <c r="C20" s="189">
        <v>3</v>
      </c>
      <c r="D20" s="190" t="s">
        <v>1357</v>
      </c>
      <c r="E20" s="172"/>
      <c r="F20" s="172"/>
      <c r="G20" s="172" t="s">
        <v>1625</v>
      </c>
      <c r="H20" s="172"/>
      <c r="I20" s="172"/>
      <c r="J20" s="172"/>
      <c r="K20" s="172"/>
      <c r="L20" s="172"/>
      <c r="M20" s="172"/>
      <c r="N20" s="172"/>
      <c r="O20" s="172"/>
      <c r="P20" s="191">
        <v>46188</v>
      </c>
      <c r="Q20" s="191">
        <v>46527</v>
      </c>
      <c r="R20" s="172"/>
      <c r="S20" s="192">
        <v>231</v>
      </c>
      <c r="T20" s="192">
        <v>72</v>
      </c>
      <c r="U20" s="192">
        <v>231</v>
      </c>
      <c r="V20" s="192">
        <v>72</v>
      </c>
      <c r="W20" s="191"/>
      <c r="X20" s="191"/>
      <c r="Y20" s="193">
        <v>0</v>
      </c>
      <c r="Z20" s="194">
        <v>0</v>
      </c>
      <c r="AA20" s="192"/>
      <c r="AB20" s="189"/>
      <c r="AC20" s="172"/>
      <c r="AD20" s="195">
        <v>0.31168831168831168</v>
      </c>
      <c r="AE20" s="196">
        <v>0.30303030303030298</v>
      </c>
      <c r="AF20" s="170"/>
      <c r="AG20" s="171"/>
      <c r="AH20" s="171"/>
      <c r="AI20" s="171"/>
      <c r="AJ20" s="171"/>
      <c r="AK20" s="171"/>
      <c r="AL20" s="171"/>
      <c r="AM20" s="171"/>
      <c r="AN20" s="171"/>
      <c r="AO20" s="171"/>
      <c r="AP20" s="171"/>
      <c r="AQ20" s="171"/>
      <c r="AR20" s="171"/>
      <c r="AS20" s="171"/>
      <c r="AT20" s="171"/>
      <c r="AU20" s="171"/>
      <c r="AV20" s="171"/>
      <c r="AW20" s="171"/>
      <c r="AX20" s="171"/>
      <c r="AY20" s="171" t="str">
        <f>"      " &amp; TEXT(AE20,"#0.00%") &amp; " "</f>
        <v xml:space="preserve">      30.30% </v>
      </c>
      <c r="AZ20" s="171"/>
      <c r="BA20" s="171"/>
      <c r="BB20" s="171"/>
      <c r="BC20" s="171"/>
      <c r="BD20" s="171"/>
      <c r="BE20" s="171"/>
      <c r="BF20" s="171"/>
      <c r="BG20" s="171"/>
      <c r="BH20" s="171"/>
      <c r="BI20" s="171"/>
      <c r="BJ20" s="171"/>
      <c r="BK20" s="171"/>
      <c r="BL20" s="171"/>
      <c r="BM20" s="171"/>
      <c r="BN20" s="171"/>
      <c r="BO20" s="171"/>
      <c r="BP20" s="171"/>
      <c r="BQ20" s="171"/>
      <c r="BR20" s="171"/>
      <c r="BS20" s="171"/>
      <c r="BT20" s="171"/>
      <c r="BU20" s="171"/>
      <c r="BV20" s="171"/>
      <c r="BW20" s="171"/>
      <c r="BX20" s="171"/>
      <c r="BY20" s="171"/>
      <c r="BZ20" s="171"/>
      <c r="CA20" s="171"/>
      <c r="CB20" s="171"/>
      <c r="CC20" s="171"/>
      <c r="CD20" s="171"/>
      <c r="CE20" s="171"/>
      <c r="CF20" s="171"/>
      <c r="CG20" s="171" t="str">
        <f>"     " &amp; "위험관리" &amp; " " &amp; IF(P20="","",TEXT(P20,"M/D-")) &amp; IF(Q20="","",TEXT(Q20,"M/D")) &amp; " "</f>
        <v xml:space="preserve">     위험관리 6/15-5/20 </v>
      </c>
      <c r="CH20" s="171"/>
    </row>
    <row r="21" spans="1:86" ht="12" customHeight="1" outlineLevel="3">
      <c r="A21" s="189" t="s">
        <v>1454</v>
      </c>
      <c r="B21" s="189"/>
      <c r="C21" s="189">
        <v>4</v>
      </c>
      <c r="D21" s="190" t="s">
        <v>1787</v>
      </c>
      <c r="E21" s="172"/>
      <c r="F21" s="172"/>
      <c r="G21" s="172"/>
      <c r="H21" s="172" t="s">
        <v>1626</v>
      </c>
      <c r="I21" s="172"/>
      <c r="J21" s="172"/>
      <c r="K21" s="172"/>
      <c r="L21" s="172"/>
      <c r="M21" s="172"/>
      <c r="N21" s="172"/>
      <c r="O21" s="172"/>
      <c r="P21" s="230">
        <v>46188</v>
      </c>
      <c r="Q21" s="230">
        <v>46527</v>
      </c>
      <c r="R21" s="172"/>
      <c r="S21" s="192">
        <v>0</v>
      </c>
      <c r="T21" s="192">
        <v>0</v>
      </c>
      <c r="U21" s="192">
        <v>231</v>
      </c>
      <c r="V21" s="192">
        <v>72</v>
      </c>
      <c r="W21" s="191"/>
      <c r="X21" s="191"/>
      <c r="Y21" s="193"/>
      <c r="Z21" s="194">
        <v>0</v>
      </c>
      <c r="AA21" s="192">
        <v>1</v>
      </c>
      <c r="AB21" s="222" t="s">
        <v>1699</v>
      </c>
      <c r="AC21" s="227" t="s">
        <v>1757</v>
      </c>
      <c r="AD21" s="195">
        <v>0.31168831168831168</v>
      </c>
      <c r="AE21" s="247">
        <v>0.30303030303030298</v>
      </c>
      <c r="AF21" s="170"/>
      <c r="AG21" s="171"/>
      <c r="AH21" s="171"/>
      <c r="AI21" s="171"/>
      <c r="AJ21" s="171"/>
      <c r="AK21" s="171" t="str">
        <f>"     " &amp; TEXT(AE21,"#0.00%") &amp; " " &amp; "위험 식별 및 분석" &amp; "(PMO)" &amp; " " &amp; IF(P21="","",TEXT(P21,"M/D-")) &amp; IF(Q21="","",TEXT(Q21,"M/D")) &amp; " "</f>
        <v xml:space="preserve">     30.30% 위험 식별 및 분석(PMO) 6/15-5/20 </v>
      </c>
      <c r="AL21" s="171"/>
      <c r="AM21" s="171"/>
      <c r="AN21" s="171"/>
      <c r="AO21" s="171"/>
      <c r="AP21" s="171"/>
      <c r="AQ21" s="171"/>
      <c r="AR21" s="171"/>
      <c r="AS21" s="171"/>
      <c r="AT21" s="171"/>
      <c r="AU21" s="171"/>
      <c r="AV21" s="171"/>
      <c r="AW21" s="171"/>
      <c r="AX21" s="171"/>
      <c r="AY21" s="171"/>
      <c r="AZ21" s="171"/>
      <c r="BA21" s="171"/>
      <c r="BB21" s="171"/>
      <c r="BC21" s="171"/>
      <c r="BD21" s="171"/>
      <c r="BE21" s="171"/>
      <c r="BF21" s="171"/>
      <c r="BG21" s="171"/>
      <c r="BH21" s="171"/>
      <c r="BI21" s="171"/>
      <c r="BJ21" s="171"/>
      <c r="BK21" s="171"/>
      <c r="BL21" s="171"/>
      <c r="BM21" s="171"/>
      <c r="BN21" s="171"/>
      <c r="BO21" s="171"/>
      <c r="BP21" s="171"/>
      <c r="BQ21" s="171"/>
      <c r="BR21" s="171"/>
      <c r="BS21" s="171"/>
      <c r="BT21" s="171"/>
      <c r="BU21" s="171"/>
      <c r="BV21" s="171"/>
      <c r="BW21" s="171"/>
      <c r="BX21" s="171"/>
      <c r="BY21" s="171"/>
      <c r="BZ21" s="171"/>
      <c r="CA21" s="171"/>
      <c r="CB21" s="171"/>
      <c r="CC21" s="171"/>
      <c r="CD21" s="171"/>
      <c r="CE21" s="171"/>
      <c r="CF21" s="171"/>
      <c r="CG21" s="171"/>
      <c r="CH21" s="171"/>
    </row>
    <row r="22" spans="1:86" ht="12" customHeight="1" outlineLevel="3">
      <c r="A22" s="189"/>
      <c r="B22" s="189"/>
      <c r="C22" s="189">
        <v>4</v>
      </c>
      <c r="D22" s="190" t="s">
        <v>1788</v>
      </c>
      <c r="E22" s="172"/>
      <c r="F22" s="172"/>
      <c r="G22" s="172"/>
      <c r="H22" s="172" t="s">
        <v>1628</v>
      </c>
      <c r="I22" s="172"/>
      <c r="J22" s="172"/>
      <c r="K22" s="172"/>
      <c r="L22" s="172"/>
      <c r="M22" s="172"/>
      <c r="N22" s="172"/>
      <c r="O22" s="172"/>
      <c r="P22" s="230">
        <v>46188</v>
      </c>
      <c r="Q22" s="230">
        <v>46527</v>
      </c>
      <c r="R22" s="172"/>
      <c r="S22" s="192">
        <v>231</v>
      </c>
      <c r="T22" s="192">
        <v>72</v>
      </c>
      <c r="U22" s="192">
        <v>231</v>
      </c>
      <c r="V22" s="192">
        <v>72</v>
      </c>
      <c r="W22" s="191"/>
      <c r="X22" s="191"/>
      <c r="Y22" s="193"/>
      <c r="Z22" s="194">
        <v>0</v>
      </c>
      <c r="AA22" s="192"/>
      <c r="AB22" s="222" t="s">
        <v>1699</v>
      </c>
      <c r="AC22" s="227" t="s">
        <v>1757</v>
      </c>
      <c r="AD22" s="195">
        <v>0.31168831168831168</v>
      </c>
      <c r="AE22" s="247">
        <v>0.30303030303030298</v>
      </c>
      <c r="AF22" s="170"/>
      <c r="AG22" s="171"/>
      <c r="AH22" s="171"/>
      <c r="AI22" s="171"/>
      <c r="AJ22" s="171"/>
      <c r="AK22" s="171"/>
      <c r="AL22" s="171"/>
      <c r="AM22" s="171"/>
      <c r="AN22" s="171"/>
      <c r="AO22" s="171"/>
      <c r="AP22" s="171"/>
      <c r="AQ22" s="171"/>
      <c r="AR22" s="171"/>
      <c r="AS22" s="171"/>
      <c r="AT22" s="171"/>
      <c r="AU22" s="171"/>
      <c r="AV22" s="171"/>
      <c r="AW22" s="171"/>
      <c r="AX22" s="171"/>
      <c r="AY22" s="171" t="str">
        <f>"      " &amp; TEXT(AE22,"#0.00%") &amp; " "</f>
        <v xml:space="preserve">      30.30% </v>
      </c>
      <c r="AZ22" s="171"/>
      <c r="BA22" s="171"/>
      <c r="BB22" s="171"/>
      <c r="BC22" s="171"/>
      <c r="BD22" s="171"/>
      <c r="BE22" s="171"/>
      <c r="BF22" s="171"/>
      <c r="BG22" s="171"/>
      <c r="BH22" s="171"/>
      <c r="BI22" s="171"/>
      <c r="BJ22" s="171"/>
      <c r="BK22" s="171"/>
      <c r="BL22" s="171"/>
      <c r="BM22" s="171"/>
      <c r="BN22" s="171"/>
      <c r="BO22" s="171"/>
      <c r="BP22" s="171"/>
      <c r="BQ22" s="171"/>
      <c r="BR22" s="171"/>
      <c r="BS22" s="171"/>
      <c r="BT22" s="171"/>
      <c r="BU22" s="171"/>
      <c r="BV22" s="171"/>
      <c r="BW22" s="171"/>
      <c r="BX22" s="171"/>
      <c r="BY22" s="171"/>
      <c r="BZ22" s="171"/>
      <c r="CA22" s="171"/>
      <c r="CB22" s="171"/>
      <c r="CC22" s="171"/>
      <c r="CD22" s="171"/>
      <c r="CE22" s="171"/>
      <c r="CF22" s="171"/>
      <c r="CG22" s="171" t="str">
        <f>"     " &amp; "이슈 식별 및 분석" &amp; "(PMO)" &amp; " " &amp; IF(P22="","",TEXT(P22,"M/D-")) &amp; IF(Q22="","",TEXT(Q22,"M/D")) &amp; " "</f>
        <v xml:space="preserve">     이슈 식별 및 분석(PMO) 6/15-5/20 </v>
      </c>
      <c r="CH22" s="171"/>
    </row>
    <row r="23" spans="1:86" ht="12" customHeight="1" outlineLevel="2">
      <c r="A23" s="189"/>
      <c r="B23" s="189" t="s">
        <v>1387</v>
      </c>
      <c r="C23" s="189">
        <v>3</v>
      </c>
      <c r="D23" s="190" t="s">
        <v>1360</v>
      </c>
      <c r="E23" s="172"/>
      <c r="F23" s="172"/>
      <c r="G23" s="172" t="s">
        <v>1629</v>
      </c>
      <c r="H23" s="172"/>
      <c r="I23" s="172"/>
      <c r="J23" s="172"/>
      <c r="K23" s="172"/>
      <c r="L23" s="172"/>
      <c r="M23" s="172"/>
      <c r="N23" s="172"/>
      <c r="O23" s="172"/>
      <c r="P23" s="191">
        <v>46188</v>
      </c>
      <c r="Q23" s="191">
        <v>46527</v>
      </c>
      <c r="R23" s="172"/>
      <c r="S23" s="192">
        <v>727</v>
      </c>
      <c r="T23" s="192">
        <v>234</v>
      </c>
      <c r="U23" s="192">
        <v>231</v>
      </c>
      <c r="V23" s="192">
        <v>72</v>
      </c>
      <c r="W23" s="191"/>
      <c r="X23" s="191"/>
      <c r="Y23" s="193">
        <v>0</v>
      </c>
      <c r="Z23" s="194">
        <v>0</v>
      </c>
      <c r="AA23" s="192"/>
      <c r="AB23" s="189"/>
      <c r="AC23" s="172"/>
      <c r="AD23" s="195">
        <v>0.3218707015130674</v>
      </c>
      <c r="AE23" s="250">
        <v>0.32187070151306774</v>
      </c>
      <c r="AF23" s="170"/>
      <c r="AG23" s="171"/>
      <c r="AH23" s="171"/>
      <c r="AI23" s="171"/>
      <c r="AJ23" s="171"/>
      <c r="AK23" s="171"/>
      <c r="AL23" s="171"/>
      <c r="AM23" s="171"/>
      <c r="AN23" s="171"/>
      <c r="AO23" s="171"/>
      <c r="AP23" s="171"/>
      <c r="AQ23" s="171"/>
      <c r="AR23" s="171"/>
      <c r="AS23" s="171"/>
      <c r="AT23" s="171"/>
      <c r="AU23" s="171"/>
      <c r="AV23" s="171"/>
      <c r="AW23" s="171"/>
      <c r="AX23" s="171"/>
      <c r="AY23" s="171"/>
      <c r="AZ23" s="171" t="str">
        <f>"     " &amp; TEXT(AE23,"#0.00%") &amp; " "</f>
        <v xml:space="preserve">     32.19% </v>
      </c>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t="str">
        <f>"     " &amp; "수행 및 통제" &amp; " " &amp; IF(P23="","",TEXT(P23,"M/D-")) &amp; IF(Q23="","",TEXT(Q23,"M/D")) &amp; " "</f>
        <v xml:space="preserve">     수행 및 통제 6/15-5/20 </v>
      </c>
      <c r="CH23" s="171"/>
    </row>
    <row r="24" spans="1:86" ht="12" customHeight="1" outlineLevel="3">
      <c r="A24" s="189"/>
      <c r="B24" s="189"/>
      <c r="C24" s="189">
        <v>4</v>
      </c>
      <c r="D24" s="190" t="s">
        <v>1789</v>
      </c>
      <c r="E24" s="172"/>
      <c r="F24" s="172"/>
      <c r="G24" s="172"/>
      <c r="H24" s="172" t="s">
        <v>1630</v>
      </c>
      <c r="I24" s="172"/>
      <c r="J24" s="172"/>
      <c r="K24" s="172"/>
      <c r="L24" s="172"/>
      <c r="M24" s="172"/>
      <c r="N24" s="172"/>
      <c r="O24" s="172"/>
      <c r="P24" s="230">
        <v>46188</v>
      </c>
      <c r="Q24" s="230">
        <v>46527</v>
      </c>
      <c r="R24" s="172"/>
      <c r="S24" s="192">
        <v>231</v>
      </c>
      <c r="T24" s="192">
        <v>72</v>
      </c>
      <c r="U24" s="192">
        <v>231</v>
      </c>
      <c r="V24" s="192">
        <v>72</v>
      </c>
      <c r="W24" s="191"/>
      <c r="X24" s="191"/>
      <c r="Y24" s="193"/>
      <c r="Z24" s="194">
        <v>0</v>
      </c>
      <c r="AA24" s="192"/>
      <c r="AB24" s="222" t="s">
        <v>1699</v>
      </c>
      <c r="AC24" s="172" t="s">
        <v>1703</v>
      </c>
      <c r="AD24" s="195">
        <v>0.31168831168831168</v>
      </c>
      <c r="AE24" s="199">
        <v>0.31168831168831201</v>
      </c>
      <c r="AF24" s="170"/>
      <c r="AG24" s="171"/>
      <c r="AH24" s="171"/>
      <c r="AI24" s="171"/>
      <c r="AJ24" s="171"/>
      <c r="AK24" s="171"/>
      <c r="AL24" s="171"/>
      <c r="AM24" s="171"/>
      <c r="AN24" s="171"/>
      <c r="AO24" s="171"/>
      <c r="AP24" s="171"/>
      <c r="AQ24" s="171"/>
      <c r="AR24" s="171"/>
      <c r="AS24" s="171"/>
      <c r="AT24" s="171"/>
      <c r="AU24" s="171"/>
      <c r="AV24" s="171"/>
      <c r="AW24" s="171"/>
      <c r="AX24" s="171"/>
      <c r="AY24" s="171"/>
      <c r="AZ24" s="171" t="str">
        <f>"  " &amp; TEXT(AE24,"#0.00%") &amp; " "</f>
        <v xml:space="preserve">  31.17% </v>
      </c>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t="str">
        <f>"     " &amp; "주간보고" &amp; "(PMO)" &amp; " " &amp; IF(P24="","",TEXT(P24,"M/D-")) &amp; IF(Q24="","",TEXT(Q24,"M/D")) &amp; " "</f>
        <v xml:space="preserve">     주간보고(PMO) 6/15-5/20 </v>
      </c>
      <c r="CH24" s="171"/>
    </row>
    <row r="25" spans="1:86" ht="12" customHeight="1" outlineLevel="3">
      <c r="A25" s="189"/>
      <c r="B25" s="189"/>
      <c r="C25" s="189">
        <v>4</v>
      </c>
      <c r="D25" s="190" t="s">
        <v>1790</v>
      </c>
      <c r="E25" s="172"/>
      <c r="F25" s="172"/>
      <c r="G25" s="172"/>
      <c r="H25" s="172" t="s">
        <v>1631</v>
      </c>
      <c r="I25" s="172"/>
      <c r="J25" s="172"/>
      <c r="K25" s="172"/>
      <c r="L25" s="172"/>
      <c r="M25" s="172"/>
      <c r="N25" s="172"/>
      <c r="O25" s="172"/>
      <c r="P25" s="230">
        <v>46188</v>
      </c>
      <c r="Q25" s="230">
        <v>46527</v>
      </c>
      <c r="R25" s="172"/>
      <c r="S25" s="192">
        <v>231</v>
      </c>
      <c r="T25" s="192">
        <v>72</v>
      </c>
      <c r="U25" s="192">
        <v>231</v>
      </c>
      <c r="V25" s="192">
        <v>72</v>
      </c>
      <c r="W25" s="191">
        <v>46093</v>
      </c>
      <c r="X25" s="191">
        <v>46111</v>
      </c>
      <c r="Y25" s="193">
        <v>13</v>
      </c>
      <c r="Z25" s="194">
        <v>13</v>
      </c>
      <c r="AA25" s="192">
        <v>3</v>
      </c>
      <c r="AB25" s="222" t="s">
        <v>1699</v>
      </c>
      <c r="AC25" s="172" t="s">
        <v>1704</v>
      </c>
      <c r="AD25" s="195">
        <v>0.31168831168831168</v>
      </c>
      <c r="AE25" s="199">
        <v>0.31168831168831201</v>
      </c>
      <c r="AF25" s="170"/>
      <c r="AG25" s="171"/>
      <c r="AH25" s="171"/>
      <c r="AI25" s="171"/>
      <c r="AJ25" s="171"/>
      <c r="AK25" s="171"/>
      <c r="AL25" s="171"/>
      <c r="AM25" s="171"/>
      <c r="AN25" s="171"/>
      <c r="AO25" s="171"/>
      <c r="AP25" s="171"/>
      <c r="AQ25" s="171"/>
      <c r="AR25" s="171"/>
      <c r="AS25" s="171"/>
      <c r="AT25" s="171"/>
      <c r="AU25" s="171"/>
      <c r="AV25" s="171"/>
      <c r="AW25" s="171"/>
      <c r="AX25" s="171"/>
      <c r="AY25" s="171"/>
      <c r="AZ25" s="171" t="str">
        <f>"  " &amp; TEXT(AE25,"#0.00%") &amp; " "</f>
        <v xml:space="preserve">  31.17% </v>
      </c>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t="str">
        <f>"     " &amp; "월간보고" &amp; "(PMO)" &amp; " " &amp; IF(P25="","",TEXT(P25,"M/D-")) &amp; IF(Q25="","",TEXT(Q25,"M/D")) &amp; " "</f>
        <v xml:space="preserve">     월간보고(PMO) 6/15-5/20 </v>
      </c>
      <c r="CH25" s="171"/>
    </row>
    <row r="26" spans="1:86" ht="12" customHeight="1" outlineLevel="3">
      <c r="A26" s="189"/>
      <c r="B26" s="189"/>
      <c r="C26" s="189">
        <v>4</v>
      </c>
      <c r="D26" s="190" t="s">
        <v>1791</v>
      </c>
      <c r="E26" s="172"/>
      <c r="F26" s="172"/>
      <c r="G26" s="172"/>
      <c r="H26" s="172" t="s">
        <v>1450</v>
      </c>
      <c r="I26" s="172"/>
      <c r="J26" s="172"/>
      <c r="K26" s="172"/>
      <c r="L26" s="172"/>
      <c r="M26" s="172"/>
      <c r="N26" s="172"/>
      <c r="O26" s="172"/>
      <c r="P26" s="230">
        <v>46266</v>
      </c>
      <c r="Q26" s="230">
        <v>46317</v>
      </c>
      <c r="R26" s="172"/>
      <c r="S26" s="192">
        <v>34</v>
      </c>
      <c r="T26" s="192">
        <v>18</v>
      </c>
      <c r="U26" s="192">
        <v>34</v>
      </c>
      <c r="V26" s="192">
        <v>18</v>
      </c>
      <c r="W26" s="191"/>
      <c r="X26" s="191"/>
      <c r="Y26" s="193"/>
      <c r="Z26" s="194">
        <v>0</v>
      </c>
      <c r="AA26" s="192"/>
      <c r="AB26" s="222" t="s">
        <v>1699</v>
      </c>
      <c r="AC26" s="172" t="s">
        <v>1705</v>
      </c>
      <c r="AD26" s="195">
        <v>0.52941176470588236</v>
      </c>
      <c r="AE26" s="199">
        <v>0.52941176470588203</v>
      </c>
      <c r="AF26" s="170"/>
      <c r="AG26" s="171"/>
      <c r="AH26" s="171"/>
      <c r="AI26" s="171"/>
      <c r="AJ26" s="171"/>
      <c r="AK26" s="171"/>
      <c r="AL26" s="171"/>
      <c r="AM26" s="171"/>
      <c r="AN26" s="171"/>
      <c r="AO26" s="171"/>
      <c r="AP26" s="171"/>
      <c r="AQ26" s="171"/>
      <c r="AR26" s="171"/>
      <c r="AS26" s="171"/>
      <c r="AT26" s="171"/>
      <c r="AU26" s="171"/>
      <c r="AV26" s="171"/>
      <c r="AW26" s="171"/>
      <c r="AX26" s="171"/>
      <c r="AY26" s="171"/>
      <c r="AZ26" s="171" t="str">
        <f>"  " &amp; TEXT(AE26,"#0.00%") &amp; " "</f>
        <v xml:space="preserve">  52.94% </v>
      </c>
      <c r="BA26" s="171"/>
      <c r="BB26" s="171"/>
      <c r="BC26" s="171" t="str">
        <f>"     " &amp; "중간보고" &amp; "(PMO)" &amp; " " &amp; IF(P26="","",TEXT(P26,"M/D-")) &amp; IF(Q26="","",TEXT(Q26,"M/D")) &amp; " "</f>
        <v xml:space="preserve">     중간보고(PMO) 9/1-10/22 </v>
      </c>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71"/>
      <c r="CE26" s="171"/>
      <c r="CF26" s="171"/>
      <c r="CG26" s="171"/>
      <c r="CH26" s="171"/>
    </row>
    <row r="27" spans="1:86" ht="12" customHeight="1" outlineLevel="3">
      <c r="A27" s="189"/>
      <c r="B27" s="189"/>
      <c r="C27" s="189">
        <v>4</v>
      </c>
      <c r="D27" s="190" t="s">
        <v>1792</v>
      </c>
      <c r="E27" s="172"/>
      <c r="F27" s="172"/>
      <c r="G27" s="172"/>
      <c r="H27" s="172" t="s">
        <v>1632</v>
      </c>
      <c r="I27" s="172"/>
      <c r="J27" s="172"/>
      <c r="K27" s="172"/>
      <c r="L27" s="172"/>
      <c r="M27" s="172"/>
      <c r="N27" s="172"/>
      <c r="O27" s="172"/>
      <c r="P27" s="230">
        <v>46188</v>
      </c>
      <c r="Q27" s="230">
        <v>46527</v>
      </c>
      <c r="R27" s="172"/>
      <c r="S27" s="192">
        <v>231</v>
      </c>
      <c r="T27" s="192">
        <v>72</v>
      </c>
      <c r="U27" s="192">
        <v>231</v>
      </c>
      <c r="V27" s="192">
        <v>72</v>
      </c>
      <c r="W27" s="191">
        <v>46100</v>
      </c>
      <c r="X27" s="191">
        <v>46107</v>
      </c>
      <c r="Y27" s="193">
        <v>6</v>
      </c>
      <c r="Z27" s="194">
        <v>6</v>
      </c>
      <c r="AA27" s="192">
        <v>1</v>
      </c>
      <c r="AB27" s="222" t="s">
        <v>1699</v>
      </c>
      <c r="AC27" s="172" t="s">
        <v>1706</v>
      </c>
      <c r="AD27" s="195">
        <v>0.31168831168831168</v>
      </c>
      <c r="AE27" s="199">
        <v>0.31168831168831201</v>
      </c>
      <c r="AF27" s="170"/>
      <c r="AG27" s="171"/>
      <c r="AH27" s="171"/>
      <c r="AI27" s="171"/>
      <c r="AJ27" s="171"/>
      <c r="AK27" s="171"/>
      <c r="AL27" s="171"/>
      <c r="AM27" s="171"/>
      <c r="AN27" s="171"/>
      <c r="AO27" s="171"/>
      <c r="AP27" s="171"/>
      <c r="AQ27" s="171"/>
      <c r="AR27" s="171"/>
      <c r="AS27" s="171"/>
      <c r="AT27" s="171"/>
      <c r="AU27" s="171"/>
      <c r="AV27" s="171"/>
      <c r="AW27" s="171"/>
      <c r="AX27" s="171"/>
      <c r="AY27" s="171"/>
      <c r="AZ27" s="171" t="str">
        <f>"  " &amp; TEXT(AE27,"#0.00%") &amp; " "</f>
        <v xml:space="preserve">  31.17% </v>
      </c>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t="str">
        <f>"     " &amp; "인력관리" &amp; "(PMO)" &amp; " " &amp; IF(P27="","",TEXT(P27,"M/D-")) &amp; IF(Q27="","",TEXT(Q27,"M/D")) &amp; " "</f>
        <v xml:space="preserve">     인력관리(PMO) 6/15-5/20 </v>
      </c>
      <c r="CH27" s="171"/>
    </row>
    <row r="28" spans="1:86" ht="12" customHeight="1" outlineLevel="1">
      <c r="A28" s="189"/>
      <c r="B28" s="189" t="s">
        <v>1387</v>
      </c>
      <c r="C28" s="189">
        <v>2</v>
      </c>
      <c r="D28" s="190" t="s">
        <v>1481</v>
      </c>
      <c r="E28" s="172"/>
      <c r="F28" s="172" t="s">
        <v>1633</v>
      </c>
      <c r="G28" s="172"/>
      <c r="H28" s="172"/>
      <c r="I28" s="172"/>
      <c r="J28" s="172"/>
      <c r="K28" s="172"/>
      <c r="L28" s="172"/>
      <c r="M28" s="172"/>
      <c r="N28" s="172"/>
      <c r="O28" s="172"/>
      <c r="P28" s="191">
        <v>46188</v>
      </c>
      <c r="Q28" s="191">
        <v>46265</v>
      </c>
      <c r="R28" s="172"/>
      <c r="S28" s="192">
        <v>54</v>
      </c>
      <c r="T28" s="192">
        <v>54</v>
      </c>
      <c r="U28" s="192">
        <v>54</v>
      </c>
      <c r="V28" s="192">
        <v>54</v>
      </c>
      <c r="W28" s="191"/>
      <c r="X28" s="191"/>
      <c r="Y28" s="193">
        <v>0</v>
      </c>
      <c r="Z28" s="194">
        <v>0</v>
      </c>
      <c r="AA28" s="192"/>
      <c r="AB28" s="189"/>
      <c r="AC28" s="172"/>
      <c r="AD28" s="195">
        <v>1</v>
      </c>
      <c r="AE28" s="197">
        <v>1</v>
      </c>
      <c r="AF28" s="170"/>
      <c r="AG28" s="171"/>
      <c r="AH28" s="171"/>
      <c r="AI28" s="171"/>
      <c r="AJ28" s="171"/>
      <c r="AK28" s="171"/>
      <c r="AL28" s="171"/>
      <c r="AM28" s="171"/>
      <c r="AN28" s="171"/>
      <c r="AO28" s="171"/>
      <c r="AP28" s="171"/>
      <c r="AQ28" s="171"/>
      <c r="AR28" s="171"/>
      <c r="AS28" s="171"/>
      <c r="AT28" s="171"/>
      <c r="AU28" s="171"/>
      <c r="AV28" s="171" t="str">
        <f>"  " &amp; TEXT(AE28,"#0.00%") &amp; " " &amp; "분석/설계" &amp; " " &amp; IF(P28="","",TEXT(P28,"M/D-")) &amp; IF(Q28="","",TEXT(Q28,"M/D")) &amp; " "</f>
        <v xml:space="preserve">  100.00% 분석/설계 6/15-8/31 </v>
      </c>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71"/>
      <c r="CE28" s="171"/>
      <c r="CF28" s="171"/>
      <c r="CG28" s="171"/>
      <c r="CH28" s="171"/>
    </row>
    <row r="29" spans="1:86" ht="12" customHeight="1" outlineLevel="2">
      <c r="A29" s="189"/>
      <c r="B29" s="189" t="s">
        <v>1387</v>
      </c>
      <c r="C29" s="189">
        <v>3</v>
      </c>
      <c r="D29" s="190" t="s">
        <v>1451</v>
      </c>
      <c r="E29" s="172"/>
      <c r="F29" s="172"/>
      <c r="G29" s="172" t="s">
        <v>1634</v>
      </c>
      <c r="H29" s="172"/>
      <c r="I29" s="172"/>
      <c r="J29" s="172"/>
      <c r="K29" s="172"/>
      <c r="L29" s="172"/>
      <c r="M29" s="172"/>
      <c r="N29" s="172"/>
      <c r="O29" s="172"/>
      <c r="P29" s="191">
        <v>46188</v>
      </c>
      <c r="Q29" s="191">
        <v>46213</v>
      </c>
      <c r="R29" s="172"/>
      <c r="S29" s="192">
        <v>20</v>
      </c>
      <c r="T29" s="192">
        <v>20</v>
      </c>
      <c r="U29" s="192">
        <v>20</v>
      </c>
      <c r="V29" s="192">
        <v>20</v>
      </c>
      <c r="W29" s="191"/>
      <c r="X29" s="191"/>
      <c r="Y29" s="193">
        <v>0</v>
      </c>
      <c r="Z29" s="194">
        <v>0</v>
      </c>
      <c r="AA29" s="192"/>
      <c r="AB29" s="189"/>
      <c r="AC29" s="172"/>
      <c r="AD29" s="195">
        <v>1</v>
      </c>
      <c r="AE29" s="197">
        <v>1</v>
      </c>
      <c r="AF29" s="170"/>
      <c r="AG29" s="171"/>
      <c r="AH29" s="171"/>
      <c r="AI29" s="171"/>
      <c r="AJ29" s="171"/>
      <c r="AK29" s="171"/>
      <c r="AL29" s="171"/>
      <c r="AM29" s="171"/>
      <c r="AN29" s="171" t="str">
        <f>"      " &amp; TEXT(AE29,"#0.00%") &amp; " " &amp; "데이터수집" &amp; " " &amp; IF(P29="","",TEXT(P29,"M/D-")) &amp; IF(Q29="","",TEXT(Q29,"M/D")) &amp; " "</f>
        <v xml:space="preserve">      100.00% 데이터수집 6/15-7/10 </v>
      </c>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71"/>
      <c r="CE29" s="171"/>
      <c r="CF29" s="171"/>
      <c r="CG29" s="171"/>
      <c r="CH29" s="171"/>
    </row>
    <row r="30" spans="1:86" ht="12" customHeight="1" outlineLevel="3">
      <c r="A30" s="189"/>
      <c r="B30" s="189"/>
      <c r="C30" s="189">
        <v>4</v>
      </c>
      <c r="D30" s="190" t="s">
        <v>1793</v>
      </c>
      <c r="E30" s="172"/>
      <c r="F30" s="172"/>
      <c r="G30" s="172"/>
      <c r="H30" s="172" t="s">
        <v>1635</v>
      </c>
      <c r="I30" s="172"/>
      <c r="J30" s="172"/>
      <c r="K30" s="172"/>
      <c r="L30" s="172"/>
      <c r="M30" s="172"/>
      <c r="N30" s="172"/>
      <c r="O30" s="172"/>
      <c r="P30" s="230">
        <v>46188</v>
      </c>
      <c r="Q30" s="230">
        <v>46213</v>
      </c>
      <c r="R30" s="172"/>
      <c r="S30" s="192">
        <v>20</v>
      </c>
      <c r="T30" s="192">
        <v>20</v>
      </c>
      <c r="U30" s="192">
        <v>20</v>
      </c>
      <c r="V30" s="192">
        <v>20</v>
      </c>
      <c r="W30" s="191">
        <v>46107</v>
      </c>
      <c r="X30" s="191">
        <v>46118</v>
      </c>
      <c r="Y30" s="193">
        <v>8</v>
      </c>
      <c r="Z30" s="194">
        <v>8</v>
      </c>
      <c r="AA30" s="192">
        <v>1</v>
      </c>
      <c r="AB30" s="222" t="s">
        <v>1699</v>
      </c>
      <c r="AC30" s="172"/>
      <c r="AD30" s="195">
        <v>1</v>
      </c>
      <c r="AE30" s="198">
        <v>1</v>
      </c>
      <c r="AF30" s="170"/>
      <c r="AG30" s="171"/>
      <c r="AH30" s="171"/>
      <c r="AI30" s="171"/>
      <c r="AJ30" s="171"/>
      <c r="AK30" s="171"/>
      <c r="AL30" s="171"/>
      <c r="AM30" s="171"/>
      <c r="AN30" s="171" t="str">
        <f>"      " &amp; TEXT(AE30,"#0.00%") &amp; " " &amp; "프로젝트 데이터수집" &amp; "(PMO)" &amp; " " &amp; IF(P30="","",TEXT(P30,"M/D-")) &amp; IF(Q30="","",TEXT(Q30,"M/D")) &amp; " "</f>
        <v xml:space="preserve">      100.00% 프로젝트 데이터수집(PMO) 6/15-7/10 </v>
      </c>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71"/>
      <c r="CE30" s="171"/>
      <c r="CF30" s="171"/>
      <c r="CG30" s="171"/>
      <c r="CH30" s="171"/>
    </row>
    <row r="31" spans="1:86" ht="12" customHeight="1" outlineLevel="2">
      <c r="A31" s="189"/>
      <c r="B31" s="189" t="s">
        <v>1387</v>
      </c>
      <c r="C31" s="189">
        <v>3</v>
      </c>
      <c r="D31" s="190" t="s">
        <v>1452</v>
      </c>
      <c r="E31" s="172"/>
      <c r="F31" s="172"/>
      <c r="G31" s="172" t="s">
        <v>1636</v>
      </c>
      <c r="H31" s="172"/>
      <c r="I31" s="172"/>
      <c r="J31" s="172"/>
      <c r="K31" s="172"/>
      <c r="L31" s="172"/>
      <c r="M31" s="172"/>
      <c r="N31" s="172"/>
      <c r="O31" s="172"/>
      <c r="P31" s="191">
        <v>46216</v>
      </c>
      <c r="Q31" s="191">
        <v>46265</v>
      </c>
      <c r="R31" s="172"/>
      <c r="S31" s="192">
        <v>34</v>
      </c>
      <c r="T31" s="192">
        <v>34</v>
      </c>
      <c r="U31" s="192">
        <v>34</v>
      </c>
      <c r="V31" s="192">
        <v>34</v>
      </c>
      <c r="W31" s="191"/>
      <c r="X31" s="191"/>
      <c r="Y31" s="193">
        <v>0</v>
      </c>
      <c r="Z31" s="194">
        <v>0</v>
      </c>
      <c r="AA31" s="192"/>
      <c r="AB31" s="189"/>
      <c r="AC31" s="172"/>
      <c r="AD31" s="195">
        <v>1</v>
      </c>
      <c r="AE31" s="197">
        <v>1</v>
      </c>
      <c r="AF31" s="170"/>
      <c r="AG31" s="171"/>
      <c r="AH31" s="171"/>
      <c r="AI31" s="171"/>
      <c r="AJ31" s="171"/>
      <c r="AK31" s="171"/>
      <c r="AL31" s="171"/>
      <c r="AM31" s="171"/>
      <c r="AN31" s="171"/>
      <c r="AO31" s="171"/>
      <c r="AP31" s="171"/>
      <c r="AQ31" s="171"/>
      <c r="AR31" s="171"/>
      <c r="AS31" s="171"/>
      <c r="AT31" s="171"/>
      <c r="AU31" s="171"/>
      <c r="AV31" s="171" t="str">
        <f>"  " &amp; TEXT(AE31,"#0.00%") &amp; " " &amp; "상태보고" &amp; " " &amp; IF(P31="","",TEXT(P31,"M/D-")) &amp; IF(Q31="","",TEXT(Q31,"M/D")) &amp; " "</f>
        <v xml:space="preserve">  100.00% 상태보고 7/13-8/31 </v>
      </c>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71"/>
      <c r="CE31" s="171"/>
      <c r="CF31" s="171"/>
      <c r="CG31" s="171"/>
      <c r="CH31" s="171"/>
    </row>
    <row r="32" spans="1:86" ht="12" customHeight="1" outlineLevel="3">
      <c r="A32" s="189"/>
      <c r="B32" s="189"/>
      <c r="C32" s="189">
        <v>4</v>
      </c>
      <c r="D32" s="190" t="s">
        <v>1794</v>
      </c>
      <c r="E32" s="172"/>
      <c r="F32" s="172"/>
      <c r="G32" s="172"/>
      <c r="H32" s="172" t="s">
        <v>1637</v>
      </c>
      <c r="I32" s="172"/>
      <c r="J32" s="172"/>
      <c r="K32" s="172"/>
      <c r="L32" s="172"/>
      <c r="M32" s="172"/>
      <c r="N32" s="172"/>
      <c r="O32" s="172"/>
      <c r="P32" s="230">
        <v>46216</v>
      </c>
      <c r="Q32" s="230">
        <v>46265</v>
      </c>
      <c r="R32" s="172"/>
      <c r="S32" s="192">
        <v>34</v>
      </c>
      <c r="T32" s="192">
        <v>34</v>
      </c>
      <c r="U32" s="192">
        <v>34</v>
      </c>
      <c r="V32" s="192">
        <v>34</v>
      </c>
      <c r="W32" s="191">
        <v>46107</v>
      </c>
      <c r="X32" s="191">
        <v>46120</v>
      </c>
      <c r="Y32" s="193">
        <v>10</v>
      </c>
      <c r="Z32" s="194">
        <v>10</v>
      </c>
      <c r="AA32" s="192">
        <v>1</v>
      </c>
      <c r="AB32" s="222" t="s">
        <v>1699</v>
      </c>
      <c r="AC32" s="172"/>
      <c r="AD32" s="195">
        <v>1</v>
      </c>
      <c r="AE32" s="198">
        <v>1</v>
      </c>
      <c r="AF32" s="170"/>
      <c r="AG32" s="171"/>
      <c r="AH32" s="171"/>
      <c r="AI32" s="171"/>
      <c r="AJ32" s="171"/>
      <c r="AK32" s="171"/>
      <c r="AL32" s="171"/>
      <c r="AM32" s="171"/>
      <c r="AN32" s="171"/>
      <c r="AO32" s="171"/>
      <c r="AP32" s="171"/>
      <c r="AQ32" s="171"/>
      <c r="AR32" s="171"/>
      <c r="AS32" s="171"/>
      <c r="AT32" s="171"/>
      <c r="AU32" s="171"/>
      <c r="AV32" s="171" t="str">
        <f>"  " &amp; TEXT(AE32,"#0.00%") &amp; " " &amp; "프로젝트 현황 파악" &amp; "(PMO)" &amp; " " &amp; IF(P32="","",TEXT(P32,"M/D-")) &amp; IF(Q32="","",TEXT(Q32,"M/D")) &amp; " "</f>
        <v xml:space="preserve">  100.00% 프로젝트 현황 파악(PMO) 7/13-8/31 </v>
      </c>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71"/>
      <c r="CE32" s="171"/>
      <c r="CF32" s="171"/>
      <c r="CG32" s="171"/>
      <c r="CH32" s="171"/>
    </row>
    <row r="33" spans="1:86" ht="12" customHeight="1" outlineLevel="1">
      <c r="A33" s="189"/>
      <c r="B33" s="189" t="s">
        <v>1387</v>
      </c>
      <c r="C33" s="189">
        <v>2</v>
      </c>
      <c r="D33" s="190" t="s">
        <v>1795</v>
      </c>
      <c r="E33" s="172"/>
      <c r="F33" s="172" t="s">
        <v>1638</v>
      </c>
      <c r="G33" s="172"/>
      <c r="H33" s="172"/>
      <c r="I33" s="172"/>
      <c r="J33" s="172"/>
      <c r="K33" s="172"/>
      <c r="L33" s="172"/>
      <c r="M33" s="172"/>
      <c r="N33" s="172"/>
      <c r="O33" s="172"/>
      <c r="P33" s="191">
        <v>46266</v>
      </c>
      <c r="Q33" s="191">
        <v>46418</v>
      </c>
      <c r="R33" s="172"/>
      <c r="S33" s="192">
        <v>206</v>
      </c>
      <c r="T33" s="192">
        <v>36</v>
      </c>
      <c r="U33" s="192">
        <v>103</v>
      </c>
      <c r="V33" s="192">
        <v>18</v>
      </c>
      <c r="W33" s="191"/>
      <c r="X33" s="191"/>
      <c r="Y33" s="193">
        <v>0</v>
      </c>
      <c r="Z33" s="194">
        <v>0</v>
      </c>
      <c r="AA33" s="192"/>
      <c r="AB33" s="189"/>
      <c r="AC33" s="172"/>
      <c r="AD33" s="195">
        <v>0.17475728155339806</v>
      </c>
      <c r="AE33" s="196">
        <v>0.15533980582524298</v>
      </c>
      <c r="AF33" s="170"/>
      <c r="AG33" s="171"/>
      <c r="AH33" s="171"/>
      <c r="AI33" s="171"/>
      <c r="AJ33" s="171"/>
      <c r="AK33" s="171"/>
      <c r="AL33" s="171"/>
      <c r="AM33" s="171"/>
      <c r="AN33" s="171"/>
      <c r="AO33" s="171"/>
      <c r="AP33" s="171"/>
      <c r="AQ33" s="171"/>
      <c r="AR33" s="171"/>
      <c r="AS33" s="171"/>
      <c r="AT33" s="171"/>
      <c r="AU33" s="171"/>
      <c r="AV33" s="171"/>
      <c r="AW33" s="171"/>
      <c r="AX33" s="171"/>
      <c r="AY33" s="171" t="str">
        <f>"     " &amp; TEXT(AE33,"#0.00%") &amp; " "</f>
        <v xml:space="preserve">     15.53% </v>
      </c>
      <c r="AZ33" s="171"/>
      <c r="BA33" s="171"/>
      <c r="BB33" s="171"/>
      <c r="BC33" s="171"/>
      <c r="BD33" s="171"/>
      <c r="BE33" s="171"/>
      <c r="BF33" s="171"/>
      <c r="BG33" s="171"/>
      <c r="BH33" s="171"/>
      <c r="BI33" s="171"/>
      <c r="BJ33" s="171"/>
      <c r="BK33" s="171"/>
      <c r="BL33" s="171"/>
      <c r="BM33" s="171"/>
      <c r="BN33" s="171"/>
      <c r="BO33" s="171"/>
      <c r="BP33" s="171"/>
      <c r="BQ33" s="171"/>
      <c r="BR33" s="171" t="str">
        <f>" " &amp; "개발통제" &amp; " " &amp; IF(P33="","",TEXT(P33,"M/D-")) &amp; IF(Q33="","",TEXT(Q33,"M/D")) &amp; " "</f>
        <v xml:space="preserve"> 개발통제 9/1-1/31 </v>
      </c>
      <c r="BS33" s="171"/>
      <c r="BT33" s="171"/>
      <c r="BU33" s="171"/>
      <c r="BV33" s="171"/>
      <c r="BW33" s="171"/>
      <c r="BX33" s="171"/>
      <c r="BY33" s="171"/>
      <c r="BZ33" s="171"/>
      <c r="CA33" s="171"/>
      <c r="CB33" s="171"/>
      <c r="CC33" s="171"/>
      <c r="CD33" s="171"/>
      <c r="CE33" s="171"/>
      <c r="CF33" s="171"/>
      <c r="CG33" s="171"/>
      <c r="CH33" s="171"/>
    </row>
    <row r="34" spans="1:86" ht="12" customHeight="1" outlineLevel="2">
      <c r="A34" s="189"/>
      <c r="B34" s="189" t="s">
        <v>1387</v>
      </c>
      <c r="C34" s="189">
        <v>3</v>
      </c>
      <c r="D34" s="190" t="s">
        <v>1796</v>
      </c>
      <c r="E34" s="172"/>
      <c r="F34" s="172"/>
      <c r="G34" s="172" t="s">
        <v>1640</v>
      </c>
      <c r="H34" s="172"/>
      <c r="I34" s="172"/>
      <c r="J34" s="172"/>
      <c r="K34" s="172"/>
      <c r="L34" s="172"/>
      <c r="M34" s="172"/>
      <c r="N34" s="172"/>
      <c r="O34" s="172"/>
      <c r="P34" s="230">
        <v>46266</v>
      </c>
      <c r="Q34" s="230">
        <v>46418</v>
      </c>
      <c r="R34" s="172"/>
      <c r="S34" s="192">
        <v>103</v>
      </c>
      <c r="T34" s="192">
        <v>18</v>
      </c>
      <c r="U34" s="192">
        <v>103</v>
      </c>
      <c r="V34" s="192">
        <v>18</v>
      </c>
      <c r="W34" s="191"/>
      <c r="X34" s="191"/>
      <c r="Y34" s="193">
        <v>0</v>
      </c>
      <c r="Z34" s="194">
        <v>0</v>
      </c>
      <c r="AA34" s="192"/>
      <c r="AB34" s="189"/>
      <c r="AC34" s="172"/>
      <c r="AD34" s="195">
        <v>0.17475728155339806</v>
      </c>
      <c r="AE34" s="196">
        <v>0.15533980582524298</v>
      </c>
      <c r="AF34" s="170"/>
      <c r="AG34" s="171"/>
      <c r="AH34" s="171"/>
      <c r="AI34" s="171"/>
      <c r="AJ34" s="171"/>
      <c r="AK34" s="171"/>
      <c r="AL34" s="171"/>
      <c r="AM34" s="171"/>
      <c r="AN34" s="171"/>
      <c r="AO34" s="171"/>
      <c r="AP34" s="171"/>
      <c r="AQ34" s="171"/>
      <c r="AR34" s="171"/>
      <c r="AS34" s="171"/>
      <c r="AT34" s="171"/>
      <c r="AU34" s="171"/>
      <c r="AV34" s="171"/>
      <c r="AW34" s="171"/>
      <c r="AX34" s="171"/>
      <c r="AY34" s="171" t="str">
        <f>"     " &amp; TEXT(AE34,"#0.00%") &amp; " "</f>
        <v xml:space="preserve">     15.53% </v>
      </c>
      <c r="AZ34" s="171"/>
      <c r="BA34" s="171"/>
      <c r="BB34" s="171"/>
      <c r="BC34" s="171"/>
      <c r="BD34" s="171"/>
      <c r="BE34" s="171"/>
      <c r="BF34" s="171"/>
      <c r="BG34" s="171"/>
      <c r="BH34" s="171"/>
      <c r="BI34" s="171"/>
      <c r="BJ34" s="171"/>
      <c r="BK34" s="171"/>
      <c r="BL34" s="171"/>
      <c r="BM34" s="171"/>
      <c r="BN34" s="171"/>
      <c r="BO34" s="171"/>
      <c r="BP34" s="171"/>
      <c r="BQ34" s="171"/>
      <c r="BR34" s="171" t="str">
        <f>" " &amp; "베이스라인" &amp; " " &amp; IF(P34="","",TEXT(P34,"M/D-")) &amp; IF(Q34="","",TEXT(Q34,"M/D")) &amp; " "</f>
        <v xml:space="preserve"> 베이스라인 9/1-1/31 </v>
      </c>
      <c r="BS34" s="171"/>
      <c r="BT34" s="171"/>
      <c r="BU34" s="171"/>
      <c r="BV34" s="171"/>
      <c r="BW34" s="171"/>
      <c r="BX34" s="171"/>
      <c r="BY34" s="171"/>
      <c r="BZ34" s="171"/>
      <c r="CA34" s="171"/>
      <c r="CB34" s="171"/>
      <c r="CC34" s="171"/>
      <c r="CD34" s="171"/>
      <c r="CE34" s="171"/>
      <c r="CF34" s="171"/>
      <c r="CG34" s="171"/>
      <c r="CH34" s="171"/>
    </row>
    <row r="35" spans="1:86" ht="12" customHeight="1" outlineLevel="3">
      <c r="A35" s="189"/>
      <c r="B35" s="189"/>
      <c r="C35" s="189">
        <v>4</v>
      </c>
      <c r="D35" s="190" t="s">
        <v>1797</v>
      </c>
      <c r="E35" s="172"/>
      <c r="F35" s="172"/>
      <c r="G35" s="172"/>
      <c r="H35" s="172" t="s">
        <v>1639</v>
      </c>
      <c r="I35" s="172"/>
      <c r="J35" s="172"/>
      <c r="K35" s="172"/>
      <c r="L35" s="172"/>
      <c r="M35" s="172"/>
      <c r="N35" s="172"/>
      <c r="O35" s="172"/>
      <c r="P35" s="230">
        <v>46266</v>
      </c>
      <c r="Q35" s="230">
        <v>46418</v>
      </c>
      <c r="R35" s="172"/>
      <c r="S35" s="192">
        <v>103</v>
      </c>
      <c r="T35" s="192">
        <v>18</v>
      </c>
      <c r="U35" s="192">
        <v>103</v>
      </c>
      <c r="V35" s="192">
        <v>18</v>
      </c>
      <c r="W35" s="191"/>
      <c r="X35" s="191"/>
      <c r="Y35" s="193"/>
      <c r="Z35" s="194">
        <v>0</v>
      </c>
      <c r="AA35" s="192">
        <v>1</v>
      </c>
      <c r="AB35" s="222" t="s">
        <v>1699</v>
      </c>
      <c r="AC35" s="223" t="s">
        <v>1707</v>
      </c>
      <c r="AD35" s="195">
        <v>0.17475728155339806</v>
      </c>
      <c r="AE35" s="247">
        <v>0.15533980582524301</v>
      </c>
      <c r="AF35" s="170"/>
      <c r="AG35" s="171"/>
      <c r="AH35" s="171"/>
      <c r="AI35" s="171"/>
      <c r="AJ35" s="171"/>
      <c r="AK35" s="171"/>
      <c r="AL35" s="171"/>
      <c r="AM35" s="171"/>
      <c r="AN35" s="171"/>
      <c r="AO35" s="171"/>
      <c r="AP35" s="171"/>
      <c r="AQ35" s="171"/>
      <c r="AR35" s="171"/>
      <c r="AS35" s="171"/>
      <c r="AT35" s="171"/>
      <c r="AU35" s="171"/>
      <c r="AV35" s="171"/>
      <c r="AW35" s="171"/>
      <c r="AX35" s="171"/>
      <c r="AY35" s="171" t="str">
        <f>"     " &amp; TEXT(AE35,"#0.00%") &amp; " "</f>
        <v xml:space="preserve">     15.53% </v>
      </c>
      <c r="AZ35" s="171"/>
      <c r="BA35" s="171"/>
      <c r="BB35" s="171"/>
      <c r="BC35" s="171"/>
      <c r="BD35" s="171"/>
      <c r="BE35" s="171"/>
      <c r="BF35" s="171"/>
      <c r="BG35" s="171"/>
      <c r="BH35" s="171"/>
      <c r="BI35" s="171"/>
      <c r="BJ35" s="171"/>
      <c r="BK35" s="171"/>
      <c r="BL35" s="171"/>
      <c r="BM35" s="171"/>
      <c r="BN35" s="171"/>
      <c r="BO35" s="171"/>
      <c r="BP35" s="171"/>
      <c r="BQ35" s="171"/>
      <c r="BR35" s="171" t="str">
        <f>" " &amp; "베이스라인 수립" &amp; "(PMO)" &amp; " " &amp; IF(P35="","",TEXT(P35,"M/D-")) &amp; IF(Q35="","",TEXT(Q35,"M/D")) &amp; " "</f>
        <v xml:space="preserve"> 베이스라인 수립(PMO) 9/1-1/31 </v>
      </c>
      <c r="BS35" s="171"/>
      <c r="BT35" s="171"/>
      <c r="BU35" s="171"/>
      <c r="BV35" s="171"/>
      <c r="BW35" s="171"/>
      <c r="BX35" s="171"/>
      <c r="BY35" s="171"/>
      <c r="BZ35" s="171"/>
      <c r="CA35" s="171"/>
      <c r="CB35" s="171"/>
      <c r="CC35" s="171"/>
      <c r="CD35" s="171"/>
      <c r="CE35" s="171"/>
      <c r="CF35" s="171"/>
      <c r="CG35" s="171"/>
      <c r="CH35" s="171"/>
    </row>
    <row r="36" spans="1:86" ht="12" customHeight="1" outlineLevel="2">
      <c r="A36" s="189"/>
      <c r="B36" s="189" t="s">
        <v>1387</v>
      </c>
      <c r="C36" s="189">
        <v>3</v>
      </c>
      <c r="D36" s="190" t="s">
        <v>1798</v>
      </c>
      <c r="E36" s="172"/>
      <c r="F36" s="172"/>
      <c r="G36" s="172" t="s">
        <v>1641</v>
      </c>
      <c r="H36" s="172"/>
      <c r="I36" s="172"/>
      <c r="J36" s="172"/>
      <c r="K36" s="172"/>
      <c r="L36" s="172"/>
      <c r="M36" s="172"/>
      <c r="N36" s="172"/>
      <c r="O36" s="172"/>
      <c r="P36" s="191">
        <v>46266</v>
      </c>
      <c r="Q36" s="191">
        <v>46418</v>
      </c>
      <c r="R36" s="172"/>
      <c r="S36" s="192">
        <v>103</v>
      </c>
      <c r="T36" s="192">
        <v>18</v>
      </c>
      <c r="U36" s="192">
        <v>103</v>
      </c>
      <c r="V36" s="192">
        <v>18</v>
      </c>
      <c r="W36" s="191"/>
      <c r="X36" s="191"/>
      <c r="Y36" s="193">
        <v>0</v>
      </c>
      <c r="Z36" s="194">
        <v>0</v>
      </c>
      <c r="AA36" s="192"/>
      <c r="AB36" s="189"/>
      <c r="AC36" s="172"/>
      <c r="AD36" s="195">
        <v>0.17475728155339806</v>
      </c>
      <c r="AE36" s="196">
        <v>0.15533980582524298</v>
      </c>
      <c r="AF36" s="170"/>
      <c r="AG36" s="171"/>
      <c r="AH36" s="171"/>
      <c r="AI36" s="171"/>
      <c r="AJ36" s="171"/>
      <c r="AK36" s="171"/>
      <c r="AL36" s="171"/>
      <c r="AM36" s="171"/>
      <c r="AN36" s="171"/>
      <c r="AO36" s="171"/>
      <c r="AP36" s="171"/>
      <c r="AQ36" s="171"/>
      <c r="AR36" s="171"/>
      <c r="AS36" s="171"/>
      <c r="AT36" s="171"/>
      <c r="AU36" s="171"/>
      <c r="AV36" s="171"/>
      <c r="AW36" s="171"/>
      <c r="AX36" s="171"/>
      <c r="AY36" s="171" t="str">
        <f>"     " &amp; TEXT(AE36,"#0.00%") &amp; " "</f>
        <v xml:space="preserve">     15.53% </v>
      </c>
      <c r="AZ36" s="171"/>
      <c r="BA36" s="171"/>
      <c r="BB36" s="171"/>
      <c r="BC36" s="171"/>
      <c r="BD36" s="171"/>
      <c r="BE36" s="171"/>
      <c r="BF36" s="171"/>
      <c r="BG36" s="171"/>
      <c r="BH36" s="171"/>
      <c r="BI36" s="171"/>
      <c r="BJ36" s="171"/>
      <c r="BK36" s="171"/>
      <c r="BL36" s="171"/>
      <c r="BM36" s="171"/>
      <c r="BN36" s="171"/>
      <c r="BO36" s="171"/>
      <c r="BP36" s="171"/>
      <c r="BQ36" s="171"/>
      <c r="BR36" s="171" t="str">
        <f>" " &amp; "품질보증" &amp; " " &amp; IF(P36="","",TEXT(P36,"M/D-")) &amp; IF(Q36="","",TEXT(Q36,"M/D")) &amp; " "</f>
        <v xml:space="preserve"> 품질보증 9/1-1/31 </v>
      </c>
      <c r="BS36" s="171"/>
      <c r="BT36" s="171"/>
      <c r="BU36" s="171"/>
      <c r="BV36" s="171"/>
      <c r="BW36" s="171"/>
      <c r="BX36" s="171"/>
      <c r="BY36" s="171"/>
      <c r="BZ36" s="171"/>
      <c r="CA36" s="171"/>
      <c r="CB36" s="171"/>
      <c r="CC36" s="171"/>
      <c r="CD36" s="171"/>
      <c r="CE36" s="171"/>
      <c r="CF36" s="171"/>
      <c r="CG36" s="171"/>
      <c r="CH36" s="171"/>
    </row>
    <row r="37" spans="1:86" ht="12" customHeight="1" outlineLevel="3">
      <c r="A37" s="189"/>
      <c r="B37" s="189"/>
      <c r="C37" s="189">
        <v>4</v>
      </c>
      <c r="D37" s="190" t="s">
        <v>1799</v>
      </c>
      <c r="E37" s="172"/>
      <c r="F37" s="172"/>
      <c r="G37" s="172"/>
      <c r="H37" s="172" t="s">
        <v>1642</v>
      </c>
      <c r="I37" s="172"/>
      <c r="J37" s="172"/>
      <c r="K37" s="172"/>
      <c r="L37" s="172"/>
      <c r="M37" s="172"/>
      <c r="N37" s="172"/>
      <c r="O37" s="172"/>
      <c r="P37" s="230">
        <v>46266</v>
      </c>
      <c r="Q37" s="230">
        <v>46418</v>
      </c>
      <c r="R37" s="172"/>
      <c r="S37" s="192">
        <v>103</v>
      </c>
      <c r="T37" s="192">
        <v>18</v>
      </c>
      <c r="U37" s="192">
        <v>103</v>
      </c>
      <c r="V37" s="192">
        <v>18</v>
      </c>
      <c r="W37" s="191"/>
      <c r="X37" s="191"/>
      <c r="Y37" s="193"/>
      <c r="Z37" s="194">
        <v>0</v>
      </c>
      <c r="AA37" s="192"/>
      <c r="AB37" s="222" t="s">
        <v>1698</v>
      </c>
      <c r="AC37" s="223" t="s">
        <v>1708</v>
      </c>
      <c r="AD37" s="195">
        <v>0.17475728155339806</v>
      </c>
      <c r="AE37" s="247">
        <v>0.15533980582524301</v>
      </c>
      <c r="AF37" s="170"/>
      <c r="AG37" s="171"/>
      <c r="AH37" s="171"/>
      <c r="AI37" s="171"/>
      <c r="AJ37" s="171"/>
      <c r="AK37" s="171"/>
      <c r="AL37" s="171"/>
      <c r="AM37" s="171"/>
      <c r="AN37" s="171"/>
      <c r="AO37" s="171"/>
      <c r="AP37" s="171"/>
      <c r="AQ37" s="171"/>
      <c r="AR37" s="171"/>
      <c r="AS37" s="171"/>
      <c r="AT37" s="171"/>
      <c r="AU37" s="171"/>
      <c r="AV37" s="171"/>
      <c r="AW37" s="171"/>
      <c r="AX37" s="171"/>
      <c r="AY37" s="171" t="str">
        <f>"     " &amp; TEXT(AE37,"#0.00%") &amp; " "</f>
        <v xml:space="preserve">     15.53% </v>
      </c>
      <c r="AZ37" s="171"/>
      <c r="BA37" s="171"/>
      <c r="BB37" s="171"/>
      <c r="BC37" s="171"/>
      <c r="BD37" s="171"/>
      <c r="BE37" s="171"/>
      <c r="BF37" s="171"/>
      <c r="BG37" s="171"/>
      <c r="BH37" s="171"/>
      <c r="BI37" s="171"/>
      <c r="BJ37" s="171"/>
      <c r="BK37" s="171"/>
      <c r="BL37" s="171"/>
      <c r="BM37" s="171"/>
      <c r="BN37" s="171"/>
      <c r="BO37" s="171"/>
      <c r="BP37" s="171"/>
      <c r="BQ37" s="171"/>
      <c r="BR37" s="171" t="str">
        <f>" " &amp; "품질보증 활동수행" &amp; "(QA)" &amp; " " &amp; IF(P37="","",TEXT(P37,"M/D-")) &amp; IF(Q37="","",TEXT(Q37,"M/D")) &amp; " "</f>
        <v xml:space="preserve"> 품질보증 활동수행(QA) 9/1-1/31 </v>
      </c>
      <c r="BS37" s="171"/>
      <c r="BT37" s="171"/>
      <c r="BU37" s="171"/>
      <c r="BV37" s="171"/>
      <c r="BW37" s="171"/>
      <c r="BX37" s="171"/>
      <c r="BY37" s="171"/>
      <c r="BZ37" s="171"/>
      <c r="CA37" s="171"/>
      <c r="CB37" s="171"/>
      <c r="CC37" s="171"/>
      <c r="CD37" s="171"/>
      <c r="CE37" s="171"/>
      <c r="CF37" s="171"/>
      <c r="CG37" s="171"/>
      <c r="CH37" s="171"/>
    </row>
    <row r="38" spans="1:86" ht="12" customHeight="1" outlineLevel="1">
      <c r="A38" s="189"/>
      <c r="B38" s="189" t="s">
        <v>1387</v>
      </c>
      <c r="C38" s="189">
        <v>2</v>
      </c>
      <c r="D38" s="190" t="s">
        <v>1800</v>
      </c>
      <c r="E38" s="172"/>
      <c r="F38" s="172" t="s">
        <v>1643</v>
      </c>
      <c r="G38" s="172"/>
      <c r="H38" s="172"/>
      <c r="I38" s="172"/>
      <c r="J38" s="172"/>
      <c r="K38" s="172"/>
      <c r="L38" s="172"/>
      <c r="M38" s="172"/>
      <c r="N38" s="172"/>
      <c r="O38" s="172"/>
      <c r="P38" s="191">
        <v>46478</v>
      </c>
      <c r="Q38" s="191">
        <v>46527</v>
      </c>
      <c r="R38" s="172"/>
      <c r="S38" s="192">
        <v>136</v>
      </c>
      <c r="T38" s="192">
        <v>0</v>
      </c>
      <c r="U38" s="192">
        <v>34</v>
      </c>
      <c r="V38" s="192">
        <v>0</v>
      </c>
      <c r="W38" s="191"/>
      <c r="X38" s="191"/>
      <c r="Y38" s="193">
        <v>0</v>
      </c>
      <c r="Z38" s="194">
        <v>0</v>
      </c>
      <c r="AA38" s="192"/>
      <c r="AB38" s="189"/>
      <c r="AC38" s="172"/>
      <c r="AD38" s="195">
        <v>0</v>
      </c>
      <c r="AE38" s="197">
        <v>0</v>
      </c>
      <c r="AF38" s="170"/>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t="str">
        <f>"    " &amp; TEXT(AE38,"#0.00%") &amp; " "</f>
        <v xml:space="preserve">    0.00% </v>
      </c>
      <c r="CA38" s="171"/>
      <c r="CB38" s="171"/>
      <c r="CC38" s="171"/>
      <c r="CD38" s="171"/>
      <c r="CE38" s="171"/>
      <c r="CF38" s="171"/>
      <c r="CG38" s="171" t="str">
        <f>"     " &amp; "종료" &amp; " " &amp; IF(P38="","",TEXT(P38,"M/D-")) &amp; IF(Q38="","",TEXT(Q38,"M/D")) &amp; " "</f>
        <v xml:space="preserve">     종료 4/1-5/20 </v>
      </c>
      <c r="CH38" s="171"/>
    </row>
    <row r="39" spans="1:86" ht="12" customHeight="1" outlineLevel="2">
      <c r="A39" s="189"/>
      <c r="B39" s="189" t="s">
        <v>1387</v>
      </c>
      <c r="C39" s="189">
        <v>3</v>
      </c>
      <c r="D39" s="190" t="s">
        <v>1801</v>
      </c>
      <c r="E39" s="172"/>
      <c r="F39" s="172"/>
      <c r="G39" s="172" t="s">
        <v>1644</v>
      </c>
      <c r="H39" s="172"/>
      <c r="I39" s="172"/>
      <c r="J39" s="172"/>
      <c r="K39" s="172"/>
      <c r="L39" s="172"/>
      <c r="M39" s="172"/>
      <c r="N39" s="172"/>
      <c r="O39" s="172"/>
      <c r="P39" s="191">
        <v>46478</v>
      </c>
      <c r="Q39" s="191">
        <v>46527</v>
      </c>
      <c r="R39" s="172"/>
      <c r="S39" s="192">
        <v>102</v>
      </c>
      <c r="T39" s="192">
        <v>0</v>
      </c>
      <c r="U39" s="192">
        <v>34</v>
      </c>
      <c r="V39" s="192">
        <v>0</v>
      </c>
      <c r="W39" s="191"/>
      <c r="X39" s="191"/>
      <c r="Y39" s="193">
        <v>0</v>
      </c>
      <c r="Z39" s="194">
        <v>0</v>
      </c>
      <c r="AA39" s="192"/>
      <c r="AB39" s="189"/>
      <c r="AC39" s="172"/>
      <c r="AD39" s="195">
        <v>0</v>
      </c>
      <c r="AE39" s="197">
        <v>0</v>
      </c>
      <c r="AF39" s="170"/>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t="str">
        <f>"    " &amp; TEXT(AE39,"#0.00%") &amp; " "</f>
        <v xml:space="preserve">    0.00% </v>
      </c>
      <c r="CA39" s="171"/>
      <c r="CB39" s="171"/>
      <c r="CC39" s="171"/>
      <c r="CD39" s="171"/>
      <c r="CE39" s="171"/>
      <c r="CF39" s="171"/>
      <c r="CG39" s="171" t="str">
        <f>"     " &amp; "검수" &amp; " " &amp; IF(P39="","",TEXT(P39,"M/D-")) &amp; IF(Q39="","",TEXT(Q39,"M/D")) &amp; " "</f>
        <v xml:space="preserve">     검수 4/1-5/20 </v>
      </c>
      <c r="CH39" s="171"/>
    </row>
    <row r="40" spans="1:86" ht="12" customHeight="1" outlineLevel="3">
      <c r="A40" s="189"/>
      <c r="B40" s="189"/>
      <c r="C40" s="189">
        <v>4</v>
      </c>
      <c r="D40" s="190" t="s">
        <v>1802</v>
      </c>
      <c r="E40" s="172"/>
      <c r="F40" s="172"/>
      <c r="G40" s="172"/>
      <c r="H40" s="172" t="s">
        <v>1453</v>
      </c>
      <c r="I40" s="172"/>
      <c r="J40" s="172"/>
      <c r="K40" s="172"/>
      <c r="L40" s="172"/>
      <c r="M40" s="172"/>
      <c r="N40" s="172"/>
      <c r="O40" s="172"/>
      <c r="P40" s="230">
        <v>46478</v>
      </c>
      <c r="Q40" s="230">
        <v>46527</v>
      </c>
      <c r="R40" s="172"/>
      <c r="S40" s="192">
        <v>34</v>
      </c>
      <c r="T40" s="192">
        <v>0</v>
      </c>
      <c r="U40" s="192">
        <v>34</v>
      </c>
      <c r="V40" s="192">
        <v>0</v>
      </c>
      <c r="W40" s="191"/>
      <c r="X40" s="191"/>
      <c r="Y40" s="193"/>
      <c r="Z40" s="194">
        <v>0</v>
      </c>
      <c r="AA40" s="192"/>
      <c r="AB40" s="222" t="s">
        <v>1699</v>
      </c>
      <c r="AC40" s="223" t="s">
        <v>1709</v>
      </c>
      <c r="AD40" s="195">
        <v>0</v>
      </c>
      <c r="AE40" s="198">
        <v>0</v>
      </c>
      <c r="AF40" s="170"/>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t="str">
        <f>"    " &amp; TEXT(AE40,"#0.00%") &amp; " "</f>
        <v xml:space="preserve">    0.00% </v>
      </c>
      <c r="CA40" s="171"/>
      <c r="CB40" s="171"/>
      <c r="CC40" s="171"/>
      <c r="CD40" s="171"/>
      <c r="CE40" s="171"/>
      <c r="CF40" s="171"/>
      <c r="CG40" s="171" t="str">
        <f>"     " &amp; "종료보고" &amp; "(PMO)" &amp; " " &amp; IF(P40="","",TEXT(P40,"M/D-")) &amp; IF(Q40="","",TEXT(Q40,"M/D")) &amp; " "</f>
        <v xml:space="preserve">     종료보고(PMO) 4/1-5/20 </v>
      </c>
      <c r="CH40" s="171"/>
    </row>
    <row r="41" spans="1:86" ht="12" customHeight="1" outlineLevel="3">
      <c r="A41" s="189"/>
      <c r="B41" s="189"/>
      <c r="C41" s="189">
        <v>4</v>
      </c>
      <c r="D41" s="190" t="s">
        <v>1803</v>
      </c>
      <c r="E41" s="172"/>
      <c r="F41" s="172"/>
      <c r="G41" s="172"/>
      <c r="H41" s="172" t="s">
        <v>1645</v>
      </c>
      <c r="I41" s="172"/>
      <c r="J41" s="172"/>
      <c r="K41" s="172"/>
      <c r="L41" s="172"/>
      <c r="M41" s="172"/>
      <c r="N41" s="172"/>
      <c r="O41" s="172"/>
      <c r="P41" s="230">
        <v>46478</v>
      </c>
      <c r="Q41" s="230">
        <v>46527</v>
      </c>
      <c r="R41" s="172"/>
      <c r="S41" s="192">
        <v>34</v>
      </c>
      <c r="T41" s="192">
        <v>0</v>
      </c>
      <c r="U41" s="192">
        <v>34</v>
      </c>
      <c r="V41" s="192">
        <v>0</v>
      </c>
      <c r="W41" s="191"/>
      <c r="X41" s="191"/>
      <c r="Y41" s="193"/>
      <c r="Z41" s="194">
        <v>0</v>
      </c>
      <c r="AA41" s="192">
        <v>1</v>
      </c>
      <c r="AB41" s="222" t="s">
        <v>1699</v>
      </c>
      <c r="AC41" s="223" t="s">
        <v>1707</v>
      </c>
      <c r="AD41" s="195">
        <v>0</v>
      </c>
      <c r="AE41" s="198">
        <v>0</v>
      </c>
      <c r="AF41" s="170"/>
      <c r="AG41" s="171"/>
      <c r="AH41" s="171"/>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t="str">
        <f>"    " &amp; TEXT(AE41,"#0.00%") &amp; " "</f>
        <v xml:space="preserve">    0.00% </v>
      </c>
      <c r="CA41" s="171"/>
      <c r="CB41" s="171"/>
      <c r="CC41" s="171"/>
      <c r="CD41" s="171"/>
      <c r="CE41" s="171"/>
      <c r="CF41" s="171"/>
      <c r="CG41" s="171" t="str">
        <f>"     " &amp; "산출물 제출" &amp; "(PMO)" &amp; " " &amp; IF(P41="","",TEXT(P41,"M/D-")) &amp; IF(Q41="","",TEXT(Q41,"M/D")) &amp; " "</f>
        <v xml:space="preserve">     산출물 제출(PMO) 4/1-5/20 </v>
      </c>
      <c r="CH41" s="171"/>
    </row>
    <row r="42" spans="1:86" ht="12" customHeight="1" outlineLevel="3">
      <c r="A42" s="189"/>
      <c r="B42" s="189"/>
      <c r="C42" s="189">
        <v>4</v>
      </c>
      <c r="D42" s="190" t="s">
        <v>1804</v>
      </c>
      <c r="E42" s="172"/>
      <c r="F42" s="172"/>
      <c r="G42" s="172"/>
      <c r="H42" s="172" t="s">
        <v>1646</v>
      </c>
      <c r="I42" s="172"/>
      <c r="J42" s="172"/>
      <c r="K42" s="172"/>
      <c r="L42" s="172"/>
      <c r="M42" s="172"/>
      <c r="N42" s="172"/>
      <c r="O42" s="172"/>
      <c r="P42" s="230">
        <v>46478</v>
      </c>
      <c r="Q42" s="230">
        <v>46527</v>
      </c>
      <c r="R42" s="172"/>
      <c r="S42" s="192">
        <v>34</v>
      </c>
      <c r="T42" s="192">
        <v>0</v>
      </c>
      <c r="U42" s="192">
        <v>34</v>
      </c>
      <c r="V42" s="192">
        <v>0</v>
      </c>
      <c r="W42" s="191">
        <v>46163</v>
      </c>
      <c r="X42" s="191"/>
      <c r="Y42" s="193">
        <v>-32951</v>
      </c>
      <c r="Z42" s="194">
        <v>0</v>
      </c>
      <c r="AA42" s="192">
        <v>1</v>
      </c>
      <c r="AB42" s="222" t="s">
        <v>1699</v>
      </c>
      <c r="AC42" s="223" t="s">
        <v>1710</v>
      </c>
      <c r="AD42" s="195">
        <v>0</v>
      </c>
      <c r="AE42" s="198">
        <v>0</v>
      </c>
      <c r="AF42" s="170"/>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t="str">
        <f>"    " &amp; TEXT(AE42,"#0.00%") &amp; " "</f>
        <v xml:space="preserve">    0.00% </v>
      </c>
      <c r="CA42" s="171"/>
      <c r="CB42" s="171"/>
      <c r="CC42" s="171"/>
      <c r="CD42" s="171"/>
      <c r="CE42" s="171"/>
      <c r="CF42" s="171"/>
      <c r="CG42" s="171" t="str">
        <f>"     " &amp; "검수 요청 및 확인" &amp; "(PMO)" &amp; " " &amp; IF(P42="","",TEXT(P42,"M/D-")) &amp; IF(Q42="","",TEXT(Q42,"M/D")) &amp; " "</f>
        <v xml:space="preserve">     검수 요청 및 확인(PMO) 4/1-5/20 </v>
      </c>
      <c r="CH42" s="171"/>
    </row>
    <row r="43" spans="1:86" ht="12" customHeight="1" outlineLevel="2">
      <c r="A43" s="189"/>
      <c r="B43" s="189" t="s">
        <v>1387</v>
      </c>
      <c r="C43" s="189">
        <v>3</v>
      </c>
      <c r="D43" s="190" t="s">
        <v>1805</v>
      </c>
      <c r="E43" s="172"/>
      <c r="F43" s="172"/>
      <c r="G43" s="172" t="s">
        <v>1647</v>
      </c>
      <c r="H43" s="172"/>
      <c r="I43" s="172"/>
      <c r="J43" s="172"/>
      <c r="K43" s="172"/>
      <c r="L43" s="172"/>
      <c r="M43" s="172"/>
      <c r="N43" s="172"/>
      <c r="O43" s="172"/>
      <c r="P43" s="191">
        <v>46478</v>
      </c>
      <c r="Q43" s="191">
        <v>46527</v>
      </c>
      <c r="R43" s="172"/>
      <c r="S43" s="192">
        <v>34</v>
      </c>
      <c r="T43" s="192">
        <v>0</v>
      </c>
      <c r="U43" s="192">
        <v>34</v>
      </c>
      <c r="V43" s="192">
        <v>0</v>
      </c>
      <c r="W43" s="191"/>
      <c r="X43" s="191"/>
      <c r="Y43" s="193">
        <v>0</v>
      </c>
      <c r="Z43" s="194">
        <v>0</v>
      </c>
      <c r="AA43" s="192"/>
      <c r="AB43" s="189"/>
      <c r="AC43" s="172"/>
      <c r="AD43" s="195">
        <v>0</v>
      </c>
      <c r="AE43" s="197">
        <v>0</v>
      </c>
      <c r="AF43" s="170"/>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t="str">
        <f>"    " &amp; TEXT(AE43,"#0.00%") &amp; " "</f>
        <v xml:space="preserve">    0.00% </v>
      </c>
      <c r="CA43" s="171"/>
      <c r="CB43" s="171"/>
      <c r="CC43" s="171"/>
      <c r="CD43" s="171"/>
      <c r="CE43" s="171"/>
      <c r="CF43" s="171"/>
      <c r="CG43" s="171" t="str">
        <f>"     " &amp; "고객만족도 조사" &amp; " " &amp; IF(P43="","",TEXT(P43,"M/D-")) &amp; IF(Q43="","",TEXT(Q43,"M/D")) &amp; " "</f>
        <v xml:space="preserve">     고객만족도 조사 4/1-5/20 </v>
      </c>
      <c r="CH43" s="171"/>
    </row>
    <row r="44" spans="1:86" ht="12" customHeight="1" outlineLevel="3">
      <c r="A44" s="189"/>
      <c r="B44" s="189"/>
      <c r="C44" s="189">
        <v>4</v>
      </c>
      <c r="D44" s="190" t="s">
        <v>1806</v>
      </c>
      <c r="E44" s="172"/>
      <c r="F44" s="172"/>
      <c r="G44" s="172"/>
      <c r="H44" s="172" t="s">
        <v>1648</v>
      </c>
      <c r="I44" s="172"/>
      <c r="J44" s="172"/>
      <c r="K44" s="172"/>
      <c r="L44" s="172"/>
      <c r="M44" s="172"/>
      <c r="N44" s="172"/>
      <c r="O44" s="172"/>
      <c r="P44" s="230">
        <v>46478</v>
      </c>
      <c r="Q44" s="230">
        <v>46527</v>
      </c>
      <c r="R44" s="172"/>
      <c r="S44" s="192">
        <v>34</v>
      </c>
      <c r="T44" s="192">
        <v>0</v>
      </c>
      <c r="U44" s="192">
        <v>34</v>
      </c>
      <c r="V44" s="192">
        <v>0</v>
      </c>
      <c r="W44" s="191"/>
      <c r="X44" s="191"/>
      <c r="Y44" s="193"/>
      <c r="Z44" s="194">
        <v>0</v>
      </c>
      <c r="AA44" s="192">
        <v>1</v>
      </c>
      <c r="AB44" s="222" t="s">
        <v>1699</v>
      </c>
      <c r="AC44" s="223" t="s">
        <v>1711</v>
      </c>
      <c r="AD44" s="195">
        <v>0</v>
      </c>
      <c r="AE44" s="198">
        <v>0</v>
      </c>
      <c r="AF44" s="170"/>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t="str">
        <f>"    " &amp; TEXT(AE44,"#0.00%") &amp; " "</f>
        <v xml:space="preserve">    0.00% </v>
      </c>
      <c r="CA44" s="171"/>
      <c r="CB44" s="171"/>
      <c r="CC44" s="171"/>
      <c r="CD44" s="171"/>
      <c r="CE44" s="171"/>
      <c r="CF44" s="171"/>
      <c r="CG44" s="171" t="str">
        <f>"     " &amp; "고객만족도 조사 수행" &amp; "(PMO)" &amp; " " &amp; IF(P44="","",TEXT(P44,"M/D-")) &amp; IF(Q44="","",TEXT(Q44,"M/D")) &amp; " "</f>
        <v xml:space="preserve">     고객만족도 조사 수행(PMO) 4/1-5/20 </v>
      </c>
      <c r="CH44" s="171"/>
    </row>
    <row r="45" spans="1:86" ht="12" customHeight="1">
      <c r="A45" s="189"/>
      <c r="B45" s="189" t="s">
        <v>1387</v>
      </c>
      <c r="C45" s="189">
        <v>1</v>
      </c>
      <c r="D45" s="190" t="s">
        <v>1482</v>
      </c>
      <c r="E45" s="172" t="s">
        <v>1649</v>
      </c>
      <c r="F45" s="172"/>
      <c r="G45" s="172"/>
      <c r="H45" s="172"/>
      <c r="I45" s="172"/>
      <c r="J45" s="172"/>
      <c r="K45" s="172"/>
      <c r="L45" s="172"/>
      <c r="M45" s="172"/>
      <c r="N45" s="172"/>
      <c r="O45" s="172"/>
      <c r="P45" s="191">
        <v>46153</v>
      </c>
      <c r="Q45" s="191">
        <v>46527</v>
      </c>
      <c r="R45" s="172"/>
      <c r="S45" s="192">
        <v>5519</v>
      </c>
      <c r="T45" s="192">
        <v>843</v>
      </c>
      <c r="U45" s="192">
        <v>254</v>
      </c>
      <c r="V45" s="192">
        <v>95</v>
      </c>
      <c r="W45" s="191"/>
      <c r="X45" s="191"/>
      <c r="Y45" s="193">
        <v>0</v>
      </c>
      <c r="Z45" s="194">
        <v>0</v>
      </c>
      <c r="AA45" s="192"/>
      <c r="AB45" s="189"/>
      <c r="AC45" s="172"/>
      <c r="AD45" s="195">
        <v>0.15274506251132453</v>
      </c>
      <c r="AE45" s="196">
        <v>6.9715075194781664E-2</v>
      </c>
      <c r="AF45" s="170"/>
      <c r="AG45" s="171"/>
      <c r="AH45" s="171"/>
      <c r="AI45" s="171" t="str">
        <f>"      " &amp; TEXT(AE45,"#0.00%") &amp; " "</f>
        <v xml:space="preserve">      6.97% </v>
      </c>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71"/>
      <c r="CE45" s="171"/>
      <c r="CF45" s="171"/>
      <c r="CG45" s="171" t="str">
        <f>"     " &amp; "개발관리" &amp; " " &amp; IF(P45="","",TEXT(P45,"M/D-")) &amp; IF(Q45="","",TEXT(Q45,"M/D")) &amp; " "</f>
        <v xml:space="preserve">     개발관리 5/11-5/20 </v>
      </c>
      <c r="CH45" s="171"/>
    </row>
    <row r="46" spans="1:86" ht="12" customHeight="1" outlineLevel="1">
      <c r="A46" s="189"/>
      <c r="B46" s="189" t="s">
        <v>1387</v>
      </c>
      <c r="C46" s="189">
        <v>2</v>
      </c>
      <c r="D46" s="190" t="s">
        <v>1483</v>
      </c>
      <c r="E46" s="172"/>
      <c r="F46" s="172" t="s">
        <v>1650</v>
      </c>
      <c r="G46" s="172"/>
      <c r="H46" s="172"/>
      <c r="I46" s="172"/>
      <c r="J46" s="172"/>
      <c r="K46" s="172"/>
      <c r="L46" s="172"/>
      <c r="M46" s="172"/>
      <c r="N46" s="172"/>
      <c r="O46" s="172"/>
      <c r="P46" s="191">
        <v>46153</v>
      </c>
      <c r="Q46" s="191">
        <v>46185</v>
      </c>
      <c r="R46" s="172"/>
      <c r="S46" s="192">
        <v>30</v>
      </c>
      <c r="T46" s="192">
        <v>30</v>
      </c>
      <c r="U46" s="192">
        <v>23</v>
      </c>
      <c r="V46" s="192">
        <v>23</v>
      </c>
      <c r="W46" s="191"/>
      <c r="X46" s="191"/>
      <c r="Y46" s="193">
        <v>0</v>
      </c>
      <c r="Z46" s="194">
        <v>0</v>
      </c>
      <c r="AA46" s="192"/>
      <c r="AB46" s="189"/>
      <c r="AC46" s="172"/>
      <c r="AD46" s="195">
        <v>1</v>
      </c>
      <c r="AE46" s="196">
        <v>0.94</v>
      </c>
      <c r="AF46" s="170"/>
      <c r="AG46" s="171"/>
      <c r="AH46" s="171"/>
      <c r="AI46" s="171"/>
      <c r="AJ46" s="171" t="str">
        <f>"    " &amp; TEXT(AE46,"#0.00%") &amp; " " &amp; "ISP" &amp; " " &amp; IF(P46="","",TEXT(P46,"M/D-")) &amp; IF(Q46="","",TEXT(Q46,"M/D")) &amp; " "</f>
        <v xml:space="preserve">    94.00% ISP 5/11-6/12 </v>
      </c>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71"/>
      <c r="CE46" s="171"/>
      <c r="CF46" s="171"/>
      <c r="CG46" s="171"/>
      <c r="CH46" s="171"/>
    </row>
    <row r="47" spans="1:86" ht="12" customHeight="1" outlineLevel="2">
      <c r="A47" s="189"/>
      <c r="B47" s="189" t="s">
        <v>1387</v>
      </c>
      <c r="C47" s="189">
        <v>3</v>
      </c>
      <c r="D47" s="190" t="s">
        <v>1455</v>
      </c>
      <c r="E47" s="172"/>
      <c r="F47" s="172"/>
      <c r="G47" s="172" t="s">
        <v>1651</v>
      </c>
      <c r="H47" s="172"/>
      <c r="I47" s="172"/>
      <c r="J47" s="172"/>
      <c r="K47" s="172"/>
      <c r="L47" s="172"/>
      <c r="M47" s="172"/>
      <c r="N47" s="172"/>
      <c r="O47" s="172"/>
      <c r="P47" s="191">
        <v>46153</v>
      </c>
      <c r="Q47" s="191">
        <v>46185</v>
      </c>
      <c r="R47" s="172"/>
      <c r="S47" s="192">
        <v>30</v>
      </c>
      <c r="T47" s="192">
        <v>30</v>
      </c>
      <c r="U47" s="192">
        <v>23</v>
      </c>
      <c r="V47" s="192">
        <v>23</v>
      </c>
      <c r="W47" s="191"/>
      <c r="X47" s="191"/>
      <c r="Y47" s="193">
        <v>0</v>
      </c>
      <c r="Z47" s="194">
        <v>0</v>
      </c>
      <c r="AA47" s="192"/>
      <c r="AB47" s="189"/>
      <c r="AC47" s="172"/>
      <c r="AD47" s="195">
        <v>1</v>
      </c>
      <c r="AE47" s="196">
        <v>0.94</v>
      </c>
      <c r="AF47" s="170"/>
      <c r="AG47" s="171"/>
      <c r="AH47" s="171"/>
      <c r="AI47" s="171"/>
      <c r="AJ47" s="171" t="str">
        <f>"    " &amp; TEXT(AE47,"#0.00%") &amp; " " &amp; "ISP 수행" &amp; " " &amp; IF(P47="","",TEXT(P47,"M/D-")) &amp; IF(Q47="","",TEXT(Q47,"M/D")) &amp; " "</f>
        <v xml:space="preserve">    94.00% ISP 수행 5/11-6/12 </v>
      </c>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71"/>
      <c r="CE47" s="171"/>
      <c r="CF47" s="171"/>
      <c r="CG47" s="171"/>
      <c r="CH47" s="171"/>
    </row>
    <row r="48" spans="1:86" ht="12" customHeight="1" outlineLevel="3">
      <c r="A48" s="189"/>
      <c r="B48" s="189"/>
      <c r="C48" s="189">
        <v>4</v>
      </c>
      <c r="D48" s="190" t="s">
        <v>1807</v>
      </c>
      <c r="E48" s="172"/>
      <c r="F48" s="172"/>
      <c r="G48" s="172"/>
      <c r="H48" s="172" t="s">
        <v>1652</v>
      </c>
      <c r="I48" s="172"/>
      <c r="J48" s="172"/>
      <c r="K48" s="172"/>
      <c r="L48" s="172"/>
      <c r="M48" s="172"/>
      <c r="N48" s="172"/>
      <c r="O48" s="172"/>
      <c r="P48" s="230">
        <v>46153</v>
      </c>
      <c r="Q48" s="230">
        <v>46154</v>
      </c>
      <c r="R48" s="172"/>
      <c r="S48" s="192">
        <v>2</v>
      </c>
      <c r="T48" s="192">
        <v>2</v>
      </c>
      <c r="U48" s="192">
        <v>2</v>
      </c>
      <c r="V48" s="192">
        <v>2</v>
      </c>
      <c r="W48" s="191"/>
      <c r="X48" s="191"/>
      <c r="Y48" s="193"/>
      <c r="Z48" s="194">
        <v>0</v>
      </c>
      <c r="AA48" s="192">
        <v>1</v>
      </c>
      <c r="AB48" s="226" t="s">
        <v>1702</v>
      </c>
      <c r="AC48" s="227" t="s">
        <v>1758</v>
      </c>
      <c r="AD48" s="195">
        <v>1</v>
      </c>
      <c r="AE48" s="198">
        <v>1</v>
      </c>
      <c r="AF48" s="170" t="str">
        <f>"   " &amp; TEXT(AE48,"#0.00%") &amp; " " &amp; "ISP 계획 수립" &amp; "(컨설팅)" &amp; " " &amp; IF(P48="","",TEXT(P48,"M/D-")) &amp; IF(Q48="","",TEXT(Q48,"M/D")) &amp; " "</f>
        <v xml:space="preserve">   100.00% ISP 계획 수립(컨설팅) 5/11-5/12 </v>
      </c>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71"/>
      <c r="CE48" s="171"/>
      <c r="CF48" s="171"/>
      <c r="CG48" s="171"/>
      <c r="CH48" s="171"/>
    </row>
    <row r="49" spans="1:86" ht="12" customHeight="1" outlineLevel="3">
      <c r="A49" s="189"/>
      <c r="B49" s="189"/>
      <c r="C49" s="189">
        <v>4</v>
      </c>
      <c r="D49" s="190" t="s">
        <v>1808</v>
      </c>
      <c r="E49" s="172"/>
      <c r="F49" s="172"/>
      <c r="G49" s="172"/>
      <c r="H49" s="172" t="s">
        <v>1654</v>
      </c>
      <c r="I49" s="172"/>
      <c r="J49" s="172"/>
      <c r="K49" s="172"/>
      <c r="L49" s="172"/>
      <c r="M49" s="172"/>
      <c r="N49" s="172"/>
      <c r="O49" s="172"/>
      <c r="P49" s="230">
        <v>46157</v>
      </c>
      <c r="Q49" s="230">
        <v>46185</v>
      </c>
      <c r="R49" s="172"/>
      <c r="S49" s="192">
        <v>19</v>
      </c>
      <c r="T49" s="192">
        <v>19</v>
      </c>
      <c r="U49" s="192">
        <v>19</v>
      </c>
      <c r="V49" s="192">
        <v>19</v>
      </c>
      <c r="W49" s="191"/>
      <c r="X49" s="191"/>
      <c r="Y49" s="193"/>
      <c r="Z49" s="194">
        <v>0</v>
      </c>
      <c r="AA49" s="192">
        <v>1</v>
      </c>
      <c r="AB49" s="226" t="s">
        <v>1702</v>
      </c>
      <c r="AC49" s="227" t="s">
        <v>1759</v>
      </c>
      <c r="AD49" s="195">
        <v>1</v>
      </c>
      <c r="AE49" s="198">
        <v>1</v>
      </c>
      <c r="AF49" s="170"/>
      <c r="AG49" s="171"/>
      <c r="AH49" s="171"/>
      <c r="AI49" s="171"/>
      <c r="AJ49" s="171" t="str">
        <f>"      " &amp; TEXT(AE49,"#0.00%") &amp; " " &amp; "ISP 결과 보고" &amp; "(컨설팅)" &amp; " " &amp; IF(P49="","",TEXT(P49,"M/D-")) &amp; IF(Q49="","",TEXT(Q49,"M/D")) &amp; " "</f>
        <v xml:space="preserve">      100.00% ISP 결과 보고(컨설팅) 5/15-6/12 </v>
      </c>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71"/>
      <c r="CE49" s="171"/>
      <c r="CF49" s="171"/>
      <c r="CG49" s="171"/>
      <c r="CH49" s="171"/>
    </row>
    <row r="50" spans="1:86" ht="12" customHeight="1" outlineLevel="3">
      <c r="A50" s="189"/>
      <c r="B50" s="189"/>
      <c r="C50" s="189">
        <v>4</v>
      </c>
      <c r="D50" s="190" t="s">
        <v>1809</v>
      </c>
      <c r="E50" s="172"/>
      <c r="F50" s="172"/>
      <c r="G50" s="172"/>
      <c r="H50" s="172" t="s">
        <v>1653</v>
      </c>
      <c r="I50" s="172"/>
      <c r="J50" s="172"/>
      <c r="K50" s="172"/>
      <c r="L50" s="172"/>
      <c r="M50" s="172"/>
      <c r="N50" s="172"/>
      <c r="O50" s="172"/>
      <c r="P50" s="231">
        <v>46174</v>
      </c>
      <c r="Q50" s="231">
        <v>46185</v>
      </c>
      <c r="R50" s="172"/>
      <c r="S50" s="192">
        <v>9</v>
      </c>
      <c r="T50" s="192">
        <v>9</v>
      </c>
      <c r="U50" s="192">
        <v>9</v>
      </c>
      <c r="V50" s="192">
        <v>9</v>
      </c>
      <c r="W50" s="191"/>
      <c r="X50" s="191"/>
      <c r="Y50" s="193"/>
      <c r="Z50" s="194">
        <v>0</v>
      </c>
      <c r="AA50" s="192"/>
      <c r="AB50" s="189" t="s">
        <v>1712</v>
      </c>
      <c r="AC50" s="227" t="s">
        <v>1760</v>
      </c>
      <c r="AD50" s="195">
        <v>1</v>
      </c>
      <c r="AE50" s="200">
        <v>0.8</v>
      </c>
      <c r="AF50" s="170"/>
      <c r="AG50" s="171"/>
      <c r="AH50" s="171"/>
      <c r="AI50" s="171"/>
      <c r="AJ50" s="171" t="str">
        <f>"    " &amp; TEXT(AE50,"#0.00%") &amp; " " &amp; "메뉴 및 구조화" &amp; "(기획)" &amp; " " &amp; IF(P50="","",TEXT(P50,"M/D-")) &amp; IF(Q50="","",TEXT(Q50,"M/D")) &amp; " "</f>
        <v xml:space="preserve">    80.00% 메뉴 및 구조화(기획) 6/1-6/12 </v>
      </c>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71"/>
      <c r="CE50" s="171"/>
      <c r="CF50" s="171"/>
      <c r="CG50" s="171"/>
      <c r="CH50" s="171"/>
    </row>
    <row r="51" spans="1:86" ht="12" customHeight="1" outlineLevel="1">
      <c r="A51" s="189"/>
      <c r="B51" s="189" t="s">
        <v>1387</v>
      </c>
      <c r="C51" s="189">
        <v>2</v>
      </c>
      <c r="D51" s="190" t="s">
        <v>1484</v>
      </c>
      <c r="E51" s="172"/>
      <c r="F51" s="172" t="s">
        <v>1354</v>
      </c>
      <c r="G51" s="172"/>
      <c r="H51" s="172"/>
      <c r="I51" s="172"/>
      <c r="J51" s="172"/>
      <c r="K51" s="172"/>
      <c r="L51" s="172"/>
      <c r="M51" s="172"/>
      <c r="N51" s="172"/>
      <c r="O51" s="172"/>
      <c r="P51" s="191">
        <v>46188</v>
      </c>
      <c r="Q51" s="191">
        <v>46297</v>
      </c>
      <c r="R51" s="172"/>
      <c r="S51" s="192">
        <v>83</v>
      </c>
      <c r="T51" s="192">
        <v>79</v>
      </c>
      <c r="U51" s="192">
        <v>76</v>
      </c>
      <c r="V51" s="192">
        <v>72</v>
      </c>
      <c r="W51" s="191"/>
      <c r="X51" s="191"/>
      <c r="Y51" s="193">
        <v>0</v>
      </c>
      <c r="Z51" s="194">
        <v>0</v>
      </c>
      <c r="AA51" s="192"/>
      <c r="AB51" s="189"/>
      <c r="AC51" s="172"/>
      <c r="AD51" s="195">
        <v>0.95180722891566261</v>
      </c>
      <c r="AE51" s="196">
        <v>0.86457831325301193</v>
      </c>
      <c r="AF51" s="170"/>
      <c r="AG51" s="171"/>
      <c r="AH51" s="171"/>
      <c r="AI51" s="171"/>
      <c r="AJ51" s="171"/>
      <c r="AK51" s="171"/>
      <c r="AL51" s="171"/>
      <c r="AM51" s="171"/>
      <c r="AN51" s="171"/>
      <c r="AO51" s="171"/>
      <c r="AP51" s="171"/>
      <c r="AQ51" s="171"/>
      <c r="AR51" s="171"/>
      <c r="AS51" s="171"/>
      <c r="AT51" s="171"/>
      <c r="AU51" s="171"/>
      <c r="AV51" s="171"/>
      <c r="AW51" s="171"/>
      <c r="AX51" s="171" t="str">
        <f>"     " &amp; TEXT(AE51,"#0.00%") &amp; " " &amp; "분석" &amp; " " &amp; IF(P51="","",TEXT(P51,"M/D-")) &amp; IF(Q51="","",TEXT(Q51,"M/D")) &amp; " "</f>
        <v xml:space="preserve">     86.46% 분석 6/15-10/2 </v>
      </c>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71"/>
      <c r="CE51" s="171"/>
      <c r="CF51" s="171"/>
      <c r="CG51" s="171"/>
      <c r="CH51" s="171"/>
    </row>
    <row r="52" spans="1:86" ht="12" customHeight="1" outlineLevel="2">
      <c r="A52" s="189"/>
      <c r="B52" s="189" t="s">
        <v>1387</v>
      </c>
      <c r="C52" s="189">
        <v>3</v>
      </c>
      <c r="D52" s="190" t="s">
        <v>1456</v>
      </c>
      <c r="E52" s="172"/>
      <c r="F52" s="172"/>
      <c r="G52" s="172" t="s">
        <v>1655</v>
      </c>
      <c r="H52" s="172"/>
      <c r="I52" s="172"/>
      <c r="J52" s="172"/>
      <c r="K52" s="172"/>
      <c r="L52" s="172"/>
      <c r="M52" s="172"/>
      <c r="N52" s="172"/>
      <c r="O52" s="172"/>
      <c r="P52" s="191">
        <v>46188</v>
      </c>
      <c r="Q52" s="191">
        <v>46213</v>
      </c>
      <c r="R52" s="172"/>
      <c r="S52" s="192">
        <v>31</v>
      </c>
      <c r="T52" s="192">
        <v>31</v>
      </c>
      <c r="U52" s="192">
        <v>20</v>
      </c>
      <c r="V52" s="192">
        <v>20</v>
      </c>
      <c r="W52" s="191"/>
      <c r="X52" s="191"/>
      <c r="Y52" s="193">
        <v>0</v>
      </c>
      <c r="Z52" s="194">
        <v>0</v>
      </c>
      <c r="AA52" s="192"/>
      <c r="AB52" s="189"/>
      <c r="AC52" s="172"/>
      <c r="AD52" s="195">
        <v>1</v>
      </c>
      <c r="AE52" s="196">
        <v>0.93548387096774188</v>
      </c>
      <c r="AF52" s="170"/>
      <c r="AG52" s="171"/>
      <c r="AH52" s="171"/>
      <c r="AI52" s="171"/>
      <c r="AJ52" s="171"/>
      <c r="AK52" s="171"/>
      <c r="AL52" s="171"/>
      <c r="AM52" s="171"/>
      <c r="AN52" s="171" t="str">
        <f>"    " &amp; TEXT(AE52,"#0.00%") &amp; " " &amp; "요구사항 정의" &amp; " " &amp; IF(P52="","",TEXT(P52,"M/D-")) &amp; IF(Q52="","",TEXT(Q52,"M/D")) &amp; " "</f>
        <v xml:space="preserve">    93.55% 요구사항 정의 6/15-7/10 </v>
      </c>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71"/>
      <c r="CE52" s="171"/>
      <c r="CF52" s="171"/>
      <c r="CG52" s="171"/>
      <c r="CH52" s="171"/>
    </row>
    <row r="53" spans="1:86" ht="12" customHeight="1" outlineLevel="3">
      <c r="A53" s="189"/>
      <c r="B53" s="189"/>
      <c r="C53" s="189">
        <v>4</v>
      </c>
      <c r="D53" s="190" t="s">
        <v>1810</v>
      </c>
      <c r="E53" s="172"/>
      <c r="F53" s="172"/>
      <c r="G53" s="172"/>
      <c r="H53" s="172" t="s">
        <v>1656</v>
      </c>
      <c r="I53" s="172"/>
      <c r="J53" s="172"/>
      <c r="K53" s="172"/>
      <c r="L53" s="172"/>
      <c r="M53" s="172"/>
      <c r="N53" s="172"/>
      <c r="O53" s="172"/>
      <c r="P53" s="230">
        <v>46188</v>
      </c>
      <c r="Q53" s="230">
        <v>46199</v>
      </c>
      <c r="R53" s="172"/>
      <c r="S53" s="192">
        <v>10</v>
      </c>
      <c r="T53" s="192">
        <v>10</v>
      </c>
      <c r="U53" s="192">
        <v>10</v>
      </c>
      <c r="V53" s="192">
        <v>10</v>
      </c>
      <c r="W53" s="191"/>
      <c r="X53" s="191"/>
      <c r="Y53" s="193"/>
      <c r="Z53" s="194">
        <v>0</v>
      </c>
      <c r="AA53" s="192"/>
      <c r="AB53" s="189" t="s">
        <v>1712</v>
      </c>
      <c r="AC53" s="223" t="s">
        <v>1713</v>
      </c>
      <c r="AD53" s="195">
        <v>1</v>
      </c>
      <c r="AE53" s="200">
        <v>0.8</v>
      </c>
      <c r="AF53" s="170"/>
      <c r="AG53" s="171"/>
      <c r="AH53" s="171"/>
      <c r="AI53" s="171"/>
      <c r="AJ53" s="171"/>
      <c r="AK53" s="171"/>
      <c r="AL53" s="171" t="str">
        <f>"    " &amp; TEXT(AE53,"#0.00%") &amp; " " &amp; "요구사항 분석" &amp; "(기획)" &amp; " " &amp; IF(P53="","",TEXT(P53,"M/D-")) &amp; IF(Q53="","",TEXT(Q53,"M/D")) &amp; " "</f>
        <v xml:space="preserve">    80.00% 요구사항 분석(기획) 6/15-6/26 </v>
      </c>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71"/>
      <c r="CE53" s="171"/>
      <c r="CF53" s="171"/>
      <c r="CG53" s="171"/>
      <c r="CH53" s="171"/>
    </row>
    <row r="54" spans="1:86" ht="12" customHeight="1" outlineLevel="3">
      <c r="A54" s="189"/>
      <c r="B54" s="189"/>
      <c r="C54" s="189">
        <v>4</v>
      </c>
      <c r="D54" s="190" t="s">
        <v>1811</v>
      </c>
      <c r="E54" s="172"/>
      <c r="F54" s="172"/>
      <c r="G54" s="172"/>
      <c r="H54" s="172" t="s">
        <v>1657</v>
      </c>
      <c r="I54" s="172"/>
      <c r="J54" s="172"/>
      <c r="K54" s="172"/>
      <c r="L54" s="172"/>
      <c r="M54" s="172"/>
      <c r="N54" s="172"/>
      <c r="O54" s="172"/>
      <c r="P54" s="230">
        <v>46188</v>
      </c>
      <c r="Q54" s="230">
        <v>46192</v>
      </c>
      <c r="R54" s="172"/>
      <c r="S54" s="192">
        <v>5</v>
      </c>
      <c r="T54" s="192">
        <v>5</v>
      </c>
      <c r="U54" s="192">
        <v>5</v>
      </c>
      <c r="V54" s="192">
        <v>5</v>
      </c>
      <c r="W54" s="191"/>
      <c r="X54" s="191"/>
      <c r="Y54" s="193"/>
      <c r="Z54" s="194">
        <v>0</v>
      </c>
      <c r="AA54" s="192">
        <v>1</v>
      </c>
      <c r="AB54" s="222" t="s">
        <v>1698</v>
      </c>
      <c r="AC54" s="223" t="s">
        <v>1761</v>
      </c>
      <c r="AD54" s="195">
        <v>1</v>
      </c>
      <c r="AE54" s="198">
        <v>1</v>
      </c>
      <c r="AF54" s="170"/>
      <c r="AG54" s="171"/>
      <c r="AH54" s="171"/>
      <c r="AI54" s="171"/>
      <c r="AJ54" s="171"/>
      <c r="AK54" s="171" t="str">
        <f>"      " &amp; TEXT(AE54,"#0.00%") &amp; " " &amp; "보안 교육" &amp; "(QA)" &amp; " " &amp; IF(P54="","",TEXT(P54,"M/D-")) &amp; IF(Q54="","",TEXT(Q54,"M/D")) &amp; " "</f>
        <v xml:space="preserve">      100.00% 보안 교육(QA) 6/15-6/19 </v>
      </c>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71"/>
      <c r="CE54" s="171"/>
      <c r="CF54" s="171"/>
      <c r="CG54" s="171"/>
      <c r="CH54" s="171"/>
    </row>
    <row r="55" spans="1:86" ht="12" customHeight="1" outlineLevel="3">
      <c r="A55" s="189"/>
      <c r="B55" s="189"/>
      <c r="C55" s="189">
        <v>4</v>
      </c>
      <c r="D55" s="190" t="s">
        <v>1812</v>
      </c>
      <c r="E55" s="172"/>
      <c r="F55" s="172"/>
      <c r="G55" s="172"/>
      <c r="H55" s="172" t="s">
        <v>1658</v>
      </c>
      <c r="I55" s="172"/>
      <c r="J55" s="172"/>
      <c r="K55" s="172"/>
      <c r="L55" s="172"/>
      <c r="M55" s="172"/>
      <c r="N55" s="172"/>
      <c r="O55" s="172"/>
      <c r="P55" s="230">
        <v>46195</v>
      </c>
      <c r="Q55" s="230">
        <v>46199</v>
      </c>
      <c r="R55" s="172"/>
      <c r="S55" s="192">
        <v>5</v>
      </c>
      <c r="T55" s="192">
        <v>5</v>
      </c>
      <c r="U55" s="192">
        <v>5</v>
      </c>
      <c r="V55" s="192">
        <v>5</v>
      </c>
      <c r="W55" s="191"/>
      <c r="X55" s="191"/>
      <c r="Y55" s="193"/>
      <c r="Z55" s="194">
        <v>0</v>
      </c>
      <c r="AA55" s="192">
        <v>1</v>
      </c>
      <c r="AB55" s="222" t="s">
        <v>1698</v>
      </c>
      <c r="AC55" s="223" t="s">
        <v>1762</v>
      </c>
      <c r="AD55" s="195">
        <v>1</v>
      </c>
      <c r="AE55" s="198">
        <v>1</v>
      </c>
      <c r="AF55" s="170"/>
      <c r="AG55" s="171"/>
      <c r="AH55" s="171"/>
      <c r="AI55" s="171"/>
      <c r="AJ55" s="171"/>
      <c r="AK55" s="171"/>
      <c r="AL55" s="171" t="str">
        <f>"      " &amp; TEXT(AE55,"#0.00%") &amp; " " &amp; "오픈소스 교육" &amp; "(QA)" &amp; " " &amp; IF(P55="","",TEXT(P55,"M/D-")) &amp; IF(Q55="","",TEXT(Q55,"M/D")) &amp; " "</f>
        <v xml:space="preserve">      100.00% 오픈소스 교육(QA) 6/22-6/26 </v>
      </c>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71"/>
      <c r="CE55" s="171"/>
      <c r="CF55" s="171"/>
      <c r="CG55" s="171"/>
      <c r="CH55" s="171"/>
    </row>
    <row r="56" spans="1:86" ht="12" customHeight="1" outlineLevel="3">
      <c r="A56" s="189"/>
      <c r="B56" s="189"/>
      <c r="C56" s="189">
        <v>4</v>
      </c>
      <c r="D56" s="190" t="s">
        <v>1813</v>
      </c>
      <c r="E56" s="172"/>
      <c r="F56" s="172"/>
      <c r="G56" s="172"/>
      <c r="H56" s="172" t="s">
        <v>1655</v>
      </c>
      <c r="I56" s="172"/>
      <c r="J56" s="172"/>
      <c r="K56" s="172"/>
      <c r="L56" s="172"/>
      <c r="M56" s="172"/>
      <c r="N56" s="172"/>
      <c r="O56" s="172"/>
      <c r="P56" s="231">
        <v>46199</v>
      </c>
      <c r="Q56" s="231">
        <v>46213</v>
      </c>
      <c r="R56" s="172"/>
      <c r="S56" s="192">
        <v>11</v>
      </c>
      <c r="T56" s="192">
        <v>11</v>
      </c>
      <c r="U56" s="192">
        <v>11</v>
      </c>
      <c r="V56" s="192">
        <v>11</v>
      </c>
      <c r="W56" s="191"/>
      <c r="X56" s="191"/>
      <c r="Y56" s="193"/>
      <c r="Z56" s="194">
        <v>0</v>
      </c>
      <c r="AA56" s="192">
        <v>1</v>
      </c>
      <c r="AB56" s="222" t="s">
        <v>1699</v>
      </c>
      <c r="AC56" s="223" t="s">
        <v>1763</v>
      </c>
      <c r="AD56" s="195">
        <v>1</v>
      </c>
      <c r="AE56" s="198">
        <v>1</v>
      </c>
      <c r="AF56" s="170"/>
      <c r="AG56" s="171"/>
      <c r="AH56" s="171"/>
      <c r="AI56" s="171"/>
      <c r="AJ56" s="171"/>
      <c r="AK56" s="171"/>
      <c r="AL56" s="171"/>
      <c r="AM56" s="171"/>
      <c r="AN56" s="171" t="str">
        <f>"      " &amp; TEXT(AE56,"#0.00%") &amp; " " &amp; "요구사항 정의" &amp; "(PMO)" &amp; " " &amp; IF(P56="","",TEXT(P56,"M/D-")) &amp; IF(Q56="","",TEXT(Q56,"M/D")) &amp; " "</f>
        <v xml:space="preserve">      100.00% 요구사항 정의(PMO) 6/26-7/10 </v>
      </c>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71"/>
      <c r="CE56" s="171"/>
      <c r="CF56" s="171"/>
      <c r="CG56" s="171"/>
      <c r="CH56" s="171"/>
    </row>
    <row r="57" spans="1:86" ht="12" customHeight="1" outlineLevel="2">
      <c r="A57" s="189" t="s">
        <v>1477</v>
      </c>
      <c r="B57" s="189" t="s">
        <v>1387</v>
      </c>
      <c r="C57" s="189">
        <v>3</v>
      </c>
      <c r="D57" s="190" t="s">
        <v>1457</v>
      </c>
      <c r="E57" s="172"/>
      <c r="F57" s="172"/>
      <c r="G57" s="172" t="s">
        <v>1659</v>
      </c>
      <c r="H57" s="172"/>
      <c r="I57" s="172"/>
      <c r="J57" s="172"/>
      <c r="K57" s="172"/>
      <c r="L57" s="172"/>
      <c r="M57" s="172"/>
      <c r="N57" s="172"/>
      <c r="O57" s="172"/>
      <c r="P57" s="191">
        <v>46188</v>
      </c>
      <c r="Q57" s="191">
        <v>46297</v>
      </c>
      <c r="R57" s="172"/>
      <c r="S57" s="192">
        <v>52</v>
      </c>
      <c r="T57" s="192">
        <v>48</v>
      </c>
      <c r="U57" s="192">
        <v>76</v>
      </c>
      <c r="V57" s="192">
        <v>72</v>
      </c>
      <c r="W57" s="191"/>
      <c r="X57" s="191"/>
      <c r="Y57" s="193">
        <v>0</v>
      </c>
      <c r="Z57" s="194">
        <v>0</v>
      </c>
      <c r="AA57" s="192"/>
      <c r="AB57" s="189"/>
      <c r="AC57" s="172"/>
      <c r="AD57" s="195">
        <v>0.92307692307692313</v>
      </c>
      <c r="AE57" s="201">
        <v>0.8223076923076923</v>
      </c>
      <c r="AF57" s="170"/>
      <c r="AG57" s="171"/>
      <c r="AH57" s="171"/>
      <c r="AI57" s="171"/>
      <c r="AJ57" s="171"/>
      <c r="AK57" s="171" t="str">
        <f>"     " &amp; TEXT(AE57,"#0.00%") &amp; " " &amp; "프로세스 정의" &amp; " " &amp; IF(P57="","",TEXT(P57,"M/D-")) &amp; IF(Q57="","",TEXT(Q57,"M/D")) &amp; " "</f>
        <v xml:space="preserve">     82.23% 프로세스 정의 6/15-10/2 </v>
      </c>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71"/>
      <c r="CE57" s="171"/>
      <c r="CF57" s="171"/>
      <c r="CG57" s="171"/>
      <c r="CH57" s="171"/>
    </row>
    <row r="58" spans="1:86" ht="12" customHeight="1" outlineLevel="3">
      <c r="A58" s="189"/>
      <c r="B58" s="189"/>
      <c r="C58" s="189">
        <v>4</v>
      </c>
      <c r="D58" s="190" t="s">
        <v>1459</v>
      </c>
      <c r="E58" s="172"/>
      <c r="F58" s="172"/>
      <c r="G58" s="172"/>
      <c r="H58" s="172" t="s">
        <v>1660</v>
      </c>
      <c r="I58" s="172"/>
      <c r="J58" s="172"/>
      <c r="K58" s="172"/>
      <c r="L58" s="172"/>
      <c r="M58" s="172"/>
      <c r="N58" s="172"/>
      <c r="O58" s="172"/>
      <c r="P58" s="230">
        <v>46188</v>
      </c>
      <c r="Q58" s="230">
        <v>46213</v>
      </c>
      <c r="R58" s="172"/>
      <c r="S58" s="192">
        <v>20</v>
      </c>
      <c r="T58" s="192">
        <v>20</v>
      </c>
      <c r="U58" s="192">
        <v>20</v>
      </c>
      <c r="V58" s="192">
        <v>20</v>
      </c>
      <c r="W58" s="191"/>
      <c r="X58" s="191"/>
      <c r="Y58" s="193"/>
      <c r="Z58" s="194">
        <v>0</v>
      </c>
      <c r="AA58" s="192"/>
      <c r="AB58" s="222" t="s">
        <v>1714</v>
      </c>
      <c r="AC58" s="223" t="s">
        <v>1715</v>
      </c>
      <c r="AD58" s="195">
        <v>1</v>
      </c>
      <c r="AE58" s="198">
        <v>1</v>
      </c>
      <c r="AF58" s="170"/>
      <c r="AG58" s="171"/>
      <c r="AH58" s="171"/>
      <c r="AI58" s="171"/>
      <c r="AJ58" s="171"/>
      <c r="AK58" s="171"/>
      <c r="AL58" s="171"/>
      <c r="AM58" s="171"/>
      <c r="AN58" s="171" t="str">
        <f>"      " &amp; TEXT(AE58,"#0.00%") &amp; " " &amp; "개발 기술 Rule 수립" &amp; "(AA)" &amp; " " &amp; IF(P58="","",TEXT(P58,"M/D-")) &amp; IF(Q58="","",TEXT(Q58,"M/D")) &amp; " "</f>
        <v xml:space="preserve">      100.00% 개발 기술 Rule 수립(AA) 6/15-7/10 </v>
      </c>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71"/>
      <c r="CE58" s="171"/>
      <c r="CF58" s="171"/>
      <c r="CG58" s="171"/>
      <c r="CH58" s="171"/>
    </row>
    <row r="59" spans="1:86" ht="12" customHeight="1" outlineLevel="3">
      <c r="A59" s="189"/>
      <c r="B59" s="189"/>
      <c r="C59" s="189">
        <v>4</v>
      </c>
      <c r="D59" s="190" t="s">
        <v>1460</v>
      </c>
      <c r="E59" s="172"/>
      <c r="F59" s="172"/>
      <c r="G59" s="172"/>
      <c r="H59" s="172" t="s">
        <v>1661</v>
      </c>
      <c r="I59" s="172"/>
      <c r="J59" s="172"/>
      <c r="K59" s="172"/>
      <c r="L59" s="172"/>
      <c r="M59" s="172"/>
      <c r="N59" s="172"/>
      <c r="O59" s="172"/>
      <c r="P59" s="231">
        <v>46188</v>
      </c>
      <c r="Q59" s="231">
        <v>46199</v>
      </c>
      <c r="R59" s="172"/>
      <c r="S59" s="192">
        <v>10</v>
      </c>
      <c r="T59" s="192">
        <v>10</v>
      </c>
      <c r="U59" s="192">
        <v>10</v>
      </c>
      <c r="V59" s="192">
        <v>10</v>
      </c>
      <c r="W59" s="191"/>
      <c r="X59" s="191"/>
      <c r="Y59" s="193"/>
      <c r="Z59" s="194">
        <v>0</v>
      </c>
      <c r="AA59" s="192"/>
      <c r="AB59" s="226" t="s">
        <v>1712</v>
      </c>
      <c r="AC59" s="227" t="s">
        <v>1764</v>
      </c>
      <c r="AD59" s="195">
        <v>1</v>
      </c>
      <c r="AE59" s="198">
        <v>1</v>
      </c>
      <c r="AF59" s="170"/>
      <c r="AG59" s="171"/>
      <c r="AH59" s="171"/>
      <c r="AI59" s="171"/>
      <c r="AJ59" s="171"/>
      <c r="AK59" s="171"/>
      <c r="AL59" s="171" t="str">
        <f>"      " &amp; TEXT(AE59,"#0.00%") &amp; " " &amp; "AS-IS 업무 분석" &amp; "(기획)" &amp; " " &amp; IF(P59="","",TEXT(P59,"M/D-")) &amp; IF(Q59="","",TEXT(Q59,"M/D")) &amp; " "</f>
        <v xml:space="preserve">      100.00% AS-IS 업무 분석(기획) 6/15-6/26 </v>
      </c>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71"/>
      <c r="CE59" s="171"/>
      <c r="CF59" s="171"/>
      <c r="CG59" s="171"/>
      <c r="CH59" s="171"/>
    </row>
    <row r="60" spans="1:86" ht="12" customHeight="1" outlineLevel="3">
      <c r="A60" s="189"/>
      <c r="B60" s="189"/>
      <c r="C60" s="189">
        <v>4</v>
      </c>
      <c r="D60" s="190" t="s">
        <v>1461</v>
      </c>
      <c r="E60" s="172"/>
      <c r="F60" s="172"/>
      <c r="G60" s="172"/>
      <c r="H60" s="172" t="s">
        <v>1662</v>
      </c>
      <c r="I60" s="172"/>
      <c r="J60" s="172"/>
      <c r="K60" s="172"/>
      <c r="L60" s="172"/>
      <c r="M60" s="172"/>
      <c r="N60" s="172"/>
      <c r="O60" s="172"/>
      <c r="P60" s="230">
        <v>46266</v>
      </c>
      <c r="Q60" s="230">
        <v>46297</v>
      </c>
      <c r="R60" s="172"/>
      <c r="S60" s="192">
        <v>22</v>
      </c>
      <c r="T60" s="192">
        <v>18</v>
      </c>
      <c r="U60" s="192">
        <v>22</v>
      </c>
      <c r="V60" s="192">
        <v>18</v>
      </c>
      <c r="W60" s="191"/>
      <c r="X60" s="191"/>
      <c r="Y60" s="193"/>
      <c r="Z60" s="194">
        <v>0</v>
      </c>
      <c r="AA60" s="192"/>
      <c r="AB60" s="226" t="s">
        <v>1712</v>
      </c>
      <c r="AC60" s="223" t="s">
        <v>1765</v>
      </c>
      <c r="AD60" s="195">
        <v>0.81818181818181823</v>
      </c>
      <c r="AE60" s="200">
        <v>0.57999999999999996</v>
      </c>
      <c r="AF60" s="170"/>
      <c r="AG60" s="171"/>
      <c r="AH60" s="171"/>
      <c r="AI60" s="171"/>
      <c r="AJ60" s="171"/>
      <c r="AK60" s="171"/>
      <c r="AL60" s="171"/>
      <c r="AM60" s="171"/>
      <c r="AN60" s="171"/>
      <c r="AO60" s="171"/>
      <c r="AP60" s="171"/>
      <c r="AQ60" s="171"/>
      <c r="AR60" s="171"/>
      <c r="AS60" s="171"/>
      <c r="AT60" s="171"/>
      <c r="AU60" s="171"/>
      <c r="AV60" s="171"/>
      <c r="AW60" s="171"/>
      <c r="AX60" s="171"/>
      <c r="AY60" s="171" t="str">
        <f>"" &amp; TEXT(AE60,"#0.00%") &amp; " " &amp; "TO-BE 업무 프로세스 정의" &amp; "(기획)" &amp; " " &amp; IF(P60="","",TEXT(P60,"M/D-")) &amp; IF(Q60="","",TEXT(Q60,"M/D")) &amp; " "</f>
        <v xml:space="preserve">58.00% TO-BE 업무 프로세스 정의(기획) 9/1-10/2 </v>
      </c>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71"/>
      <c r="CE60" s="171"/>
      <c r="CF60" s="171"/>
      <c r="CG60" s="171"/>
      <c r="CH60" s="171"/>
    </row>
    <row r="61" spans="1:86" ht="12" customHeight="1" outlineLevel="1">
      <c r="A61" s="189"/>
      <c r="B61" s="189" t="s">
        <v>1387</v>
      </c>
      <c r="C61" s="189">
        <v>2</v>
      </c>
      <c r="D61" s="190" t="s">
        <v>1485</v>
      </c>
      <c r="E61" s="172"/>
      <c r="F61" s="172" t="s">
        <v>1358</v>
      </c>
      <c r="G61" s="172"/>
      <c r="H61" s="172"/>
      <c r="I61" s="172"/>
      <c r="J61" s="172"/>
      <c r="K61" s="172"/>
      <c r="L61" s="172"/>
      <c r="M61" s="172"/>
      <c r="N61" s="172"/>
      <c r="O61" s="172"/>
      <c r="P61" s="191">
        <v>46216</v>
      </c>
      <c r="Q61" s="191">
        <v>46356</v>
      </c>
      <c r="R61" s="172"/>
      <c r="S61" s="192">
        <v>1063</v>
      </c>
      <c r="T61" s="192">
        <v>734</v>
      </c>
      <c r="U61" s="192">
        <v>95</v>
      </c>
      <c r="V61" s="192">
        <v>52</v>
      </c>
      <c r="W61" s="191"/>
      <c r="X61" s="191"/>
      <c r="Y61" s="193">
        <v>0</v>
      </c>
      <c r="Z61" s="194">
        <v>0</v>
      </c>
      <c r="AA61" s="192"/>
      <c r="AB61" s="189"/>
      <c r="AC61" s="172"/>
      <c r="AD61" s="195">
        <v>0.69049858889934146</v>
      </c>
      <c r="AE61" s="201">
        <v>0.26791862652869242</v>
      </c>
      <c r="AF61" s="170"/>
      <c r="AG61" s="171"/>
      <c r="AH61" s="171"/>
      <c r="AI61" s="171"/>
      <c r="AJ61" s="171"/>
      <c r="AK61" s="171"/>
      <c r="AL61" s="171"/>
      <c r="AM61" s="171"/>
      <c r="AN61" s="171"/>
      <c r="AO61" s="171"/>
      <c r="AP61" s="171"/>
      <c r="AQ61" s="171"/>
      <c r="AR61" s="171"/>
      <c r="AS61" s="171"/>
      <c r="AT61" s="171" t="str">
        <f>"    " &amp; TEXT(AE61,"#0.00%") &amp; " "</f>
        <v xml:space="preserve">    26.79% </v>
      </c>
      <c r="AU61" s="171"/>
      <c r="AV61" s="171"/>
      <c r="AW61" s="171"/>
      <c r="AX61" s="171"/>
      <c r="AY61" s="171"/>
      <c r="AZ61" s="171"/>
      <c r="BA61" s="171"/>
      <c r="BB61" s="171"/>
      <c r="BC61" s="171"/>
      <c r="BD61" s="171"/>
      <c r="BE61" s="171"/>
      <c r="BF61" s="171"/>
      <c r="BG61" s="171"/>
      <c r="BH61" s="171"/>
      <c r="BI61" s="171" t="str">
        <f>"  " &amp; "설계" &amp; " " &amp; IF(P61="","",TEXT(P61,"M/D-")) &amp; IF(Q61="","",TEXT(Q61,"M/D")) &amp; " "</f>
        <v xml:space="preserve">  설계 7/13-11/30 </v>
      </c>
      <c r="BJ61" s="171"/>
      <c r="BK61" s="171"/>
      <c r="BL61" s="171"/>
      <c r="BM61" s="171"/>
      <c r="BN61" s="171"/>
      <c r="BO61" s="171"/>
      <c r="BP61" s="171"/>
      <c r="BQ61" s="171"/>
      <c r="BR61" s="171"/>
      <c r="BS61" s="171"/>
      <c r="BT61" s="171"/>
      <c r="BU61" s="171"/>
      <c r="BV61" s="171"/>
      <c r="BW61" s="171"/>
      <c r="BX61" s="171"/>
      <c r="BY61" s="171"/>
      <c r="BZ61" s="171"/>
      <c r="CA61" s="171"/>
      <c r="CB61" s="171"/>
      <c r="CC61" s="171"/>
      <c r="CD61" s="171"/>
      <c r="CE61" s="171"/>
      <c r="CF61" s="171"/>
      <c r="CG61" s="171"/>
      <c r="CH61" s="171"/>
    </row>
    <row r="62" spans="1:86" ht="12" customHeight="1" outlineLevel="2">
      <c r="A62" s="189"/>
      <c r="B62" s="189" t="s">
        <v>1387</v>
      </c>
      <c r="C62" s="189">
        <v>3</v>
      </c>
      <c r="D62" s="190" t="s">
        <v>1463</v>
      </c>
      <c r="E62" s="172"/>
      <c r="F62" s="172"/>
      <c r="G62" s="172" t="s">
        <v>1458</v>
      </c>
      <c r="H62" s="172"/>
      <c r="I62" s="172"/>
      <c r="J62" s="172"/>
      <c r="K62" s="172"/>
      <c r="L62" s="172"/>
      <c r="M62" s="172"/>
      <c r="N62" s="172"/>
      <c r="O62" s="172"/>
      <c r="P62" s="191">
        <v>46216</v>
      </c>
      <c r="Q62" s="191">
        <v>46356</v>
      </c>
      <c r="R62" s="172"/>
      <c r="S62" s="192">
        <v>1043</v>
      </c>
      <c r="T62" s="192">
        <v>714</v>
      </c>
      <c r="U62" s="192">
        <v>95</v>
      </c>
      <c r="V62" s="192">
        <v>52</v>
      </c>
      <c r="W62" s="191"/>
      <c r="X62" s="191"/>
      <c r="Y62" s="193">
        <v>0</v>
      </c>
      <c r="Z62" s="194">
        <v>0</v>
      </c>
      <c r="AA62" s="192"/>
      <c r="AB62" s="189"/>
      <c r="AC62" s="172"/>
      <c r="AD62" s="195">
        <v>0.68456375838926176</v>
      </c>
      <c r="AE62" s="201">
        <v>0.25388063279002876</v>
      </c>
      <c r="AF62" s="170"/>
      <c r="AG62" s="171"/>
      <c r="AH62" s="171"/>
      <c r="AI62" s="171"/>
      <c r="AJ62" s="171"/>
      <c r="AK62" s="171"/>
      <c r="AL62" s="171"/>
      <c r="AM62" s="171"/>
      <c r="AN62" s="171"/>
      <c r="AO62" s="171"/>
      <c r="AP62" s="171"/>
      <c r="AQ62" s="171"/>
      <c r="AR62" s="171"/>
      <c r="AS62" s="171"/>
      <c r="AT62" s="171" t="str">
        <f>"  " &amp; TEXT(AE62,"#0.00%") &amp; " "</f>
        <v xml:space="preserve">  25.39% </v>
      </c>
      <c r="AU62" s="171"/>
      <c r="AV62" s="171"/>
      <c r="AW62" s="171"/>
      <c r="AX62" s="171"/>
      <c r="AY62" s="171"/>
      <c r="AZ62" s="171"/>
      <c r="BA62" s="171"/>
      <c r="BB62" s="171"/>
      <c r="BC62" s="171"/>
      <c r="BD62" s="171"/>
      <c r="BE62" s="171"/>
      <c r="BF62" s="171"/>
      <c r="BG62" s="171"/>
      <c r="BH62" s="171"/>
      <c r="BI62" s="171" t="str">
        <f>"  " &amp; "시스템 설계" &amp; " " &amp; IF(P62="","",TEXT(P62,"M/D-")) &amp; IF(Q62="","",TEXT(Q62,"M/D")) &amp; " "</f>
        <v xml:space="preserve">  시스템 설계 7/13-11/30 </v>
      </c>
      <c r="BJ62" s="171"/>
      <c r="BK62" s="171"/>
      <c r="BL62" s="171"/>
      <c r="BM62" s="171"/>
      <c r="BN62" s="171"/>
      <c r="BO62" s="171"/>
      <c r="BP62" s="171"/>
      <c r="BQ62" s="171"/>
      <c r="BR62" s="171"/>
      <c r="BS62" s="171"/>
      <c r="BT62" s="171"/>
      <c r="BU62" s="171"/>
      <c r="BV62" s="171"/>
      <c r="BW62" s="171"/>
      <c r="BX62" s="171"/>
      <c r="BY62" s="171"/>
      <c r="BZ62" s="171"/>
      <c r="CA62" s="171"/>
      <c r="CB62" s="171"/>
      <c r="CC62" s="171"/>
      <c r="CD62" s="171"/>
      <c r="CE62" s="171"/>
      <c r="CF62" s="171"/>
      <c r="CG62" s="171"/>
      <c r="CH62" s="171"/>
    </row>
    <row r="63" spans="1:86" ht="12" customHeight="1" outlineLevel="3">
      <c r="A63" s="189"/>
      <c r="B63" s="189"/>
      <c r="C63" s="189">
        <v>4</v>
      </c>
      <c r="D63" s="190" t="s">
        <v>1464</v>
      </c>
      <c r="E63" s="172"/>
      <c r="F63" s="172"/>
      <c r="G63" s="172"/>
      <c r="H63" s="172" t="s">
        <v>1664</v>
      </c>
      <c r="I63" s="172"/>
      <c r="J63" s="172"/>
      <c r="K63" s="172"/>
      <c r="L63" s="172"/>
      <c r="M63" s="172"/>
      <c r="N63" s="172"/>
      <c r="O63" s="172"/>
      <c r="P63" s="231">
        <v>46216</v>
      </c>
      <c r="Q63" s="231">
        <v>46234</v>
      </c>
      <c r="R63" s="172"/>
      <c r="S63" s="192">
        <v>14</v>
      </c>
      <c r="T63" s="192">
        <v>14</v>
      </c>
      <c r="U63" s="192">
        <v>14</v>
      </c>
      <c r="V63" s="192">
        <v>14</v>
      </c>
      <c r="W63" s="191"/>
      <c r="X63" s="191"/>
      <c r="Y63" s="193"/>
      <c r="Z63" s="194">
        <v>0</v>
      </c>
      <c r="AA63" s="192"/>
      <c r="AB63" s="222" t="s">
        <v>1714</v>
      </c>
      <c r="AC63" s="223" t="s">
        <v>1716</v>
      </c>
      <c r="AD63" s="195">
        <v>1</v>
      </c>
      <c r="AE63" s="200">
        <v>0.9</v>
      </c>
      <c r="AF63" s="170"/>
      <c r="AG63" s="171"/>
      <c r="AH63" s="171"/>
      <c r="AI63" s="171"/>
      <c r="AJ63" s="171"/>
      <c r="AK63" s="171"/>
      <c r="AL63" s="171"/>
      <c r="AM63" s="171"/>
      <c r="AN63" s="171"/>
      <c r="AO63" s="171"/>
      <c r="AP63" s="171"/>
      <c r="AQ63" s="171" t="str">
        <f>"    " &amp; TEXT(AE63,"#0.00%") &amp; " " &amp; "아키텍쳐 설계" &amp; "(AA)" &amp; " " &amp; IF(P63="","",TEXT(P63,"M/D-")) &amp; IF(Q63="","",TEXT(Q63,"M/D")) &amp; " "</f>
        <v xml:space="preserve">    90.00% 아키텍쳐 설계(AA) 7/13-7/31 </v>
      </c>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row>
    <row r="64" spans="1:86" ht="12" customHeight="1" outlineLevel="3">
      <c r="A64" s="189"/>
      <c r="B64" s="189" t="s">
        <v>1387</v>
      </c>
      <c r="C64" s="189">
        <v>4</v>
      </c>
      <c r="D64" s="190" t="s">
        <v>1465</v>
      </c>
      <c r="E64" s="172"/>
      <c r="F64" s="172"/>
      <c r="G64" s="172"/>
      <c r="H64" s="172" t="s">
        <v>1663</v>
      </c>
      <c r="I64" s="172"/>
      <c r="J64" s="172"/>
      <c r="K64" s="172"/>
      <c r="L64" s="172"/>
      <c r="M64" s="172"/>
      <c r="N64" s="172"/>
      <c r="O64" s="172"/>
      <c r="P64" s="231">
        <v>46266</v>
      </c>
      <c r="Q64" s="231">
        <v>46297</v>
      </c>
      <c r="R64" s="172"/>
      <c r="S64" s="192">
        <v>330</v>
      </c>
      <c r="T64" s="192">
        <v>270</v>
      </c>
      <c r="U64" s="192">
        <v>22</v>
      </c>
      <c r="V64" s="192">
        <v>18</v>
      </c>
      <c r="W64" s="191"/>
      <c r="X64" s="191"/>
      <c r="Y64" s="193">
        <v>0</v>
      </c>
      <c r="Z64" s="194">
        <v>0</v>
      </c>
      <c r="AA64" s="192"/>
      <c r="AB64" s="226"/>
      <c r="AC64" s="227"/>
      <c r="AD64" s="195">
        <v>0.81818181818181823</v>
      </c>
      <c r="AE64" s="201">
        <v>0.43333333333333335</v>
      </c>
      <c r="AF64" s="170"/>
      <c r="AG64" s="171"/>
      <c r="AH64" s="171"/>
      <c r="AI64" s="171"/>
      <c r="AJ64" s="171"/>
      <c r="AK64" s="171"/>
      <c r="AL64" s="171"/>
      <c r="AM64" s="171"/>
      <c r="AN64" s="171"/>
      <c r="AO64" s="171"/>
      <c r="AP64" s="171"/>
      <c r="AQ64" s="171"/>
      <c r="AR64" s="171"/>
      <c r="AS64" s="171"/>
      <c r="AT64" s="171"/>
      <c r="AU64" s="171"/>
      <c r="AV64" s="171"/>
      <c r="AW64" s="171"/>
      <c r="AX64" s="171" t="str">
        <f>"  " &amp; TEXT(AE64,"#0.00%") &amp; " " &amp; "프로세스 세부 규칙 정의" &amp; " " &amp; IF(P64="","",TEXT(P64,"M/D-")) &amp; IF(Q64="","",TEXT(Q64,"M/D")) &amp; " "</f>
        <v xml:space="preserve">  43.33% 프로세스 세부 규칙 정의 9/1-10/2 </v>
      </c>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row>
    <row r="65" spans="1:86" ht="12" customHeight="1" outlineLevel="4">
      <c r="A65" s="189"/>
      <c r="B65" s="189"/>
      <c r="C65" s="189">
        <v>5</v>
      </c>
      <c r="D65" s="190" t="s">
        <v>1466</v>
      </c>
      <c r="E65" s="172"/>
      <c r="F65" s="172"/>
      <c r="G65" s="172"/>
      <c r="H65" s="172"/>
      <c r="I65" s="172" t="s">
        <v>1842</v>
      </c>
      <c r="J65" s="172"/>
      <c r="K65" s="172"/>
      <c r="L65" s="172"/>
      <c r="M65" s="172"/>
      <c r="N65" s="172"/>
      <c r="O65" s="172"/>
      <c r="P65" s="230">
        <v>46266</v>
      </c>
      <c r="Q65" s="230">
        <v>46297</v>
      </c>
      <c r="R65" s="172"/>
      <c r="S65" s="192">
        <v>22</v>
      </c>
      <c r="T65" s="192">
        <v>18</v>
      </c>
      <c r="U65" s="192">
        <v>22</v>
      </c>
      <c r="V65" s="192">
        <v>18</v>
      </c>
      <c r="W65" s="191"/>
      <c r="X65" s="191"/>
      <c r="Y65" s="193"/>
      <c r="Z65" s="194">
        <v>0</v>
      </c>
      <c r="AA65" s="192"/>
      <c r="AB65" s="226" t="s">
        <v>2062</v>
      </c>
      <c r="AC65" s="227" t="s">
        <v>1903</v>
      </c>
      <c r="AD65" s="195">
        <v>0.81818181818181823</v>
      </c>
      <c r="AE65" s="200">
        <v>0</v>
      </c>
      <c r="AF65" s="170"/>
      <c r="AG65" s="171"/>
      <c r="AH65" s="171"/>
      <c r="AI65" s="171"/>
      <c r="AJ65" s="171"/>
      <c r="AK65" s="171"/>
      <c r="AL65" s="171"/>
      <c r="AM65" s="171"/>
      <c r="AN65" s="171"/>
      <c r="AO65" s="171"/>
      <c r="AP65" s="171"/>
      <c r="AQ65" s="171"/>
      <c r="AR65" s="171"/>
      <c r="AS65" s="171"/>
      <c r="AT65" s="171"/>
      <c r="AU65" s="171"/>
      <c r="AV65" s="171" t="str">
        <f>"  " &amp; TEXT(AE65,"#0.00%") &amp; " "</f>
        <v xml:space="preserve">  0.00% </v>
      </c>
      <c r="AW65" s="171"/>
      <c r="AX65" s="171"/>
      <c r="AY65" s="171"/>
      <c r="AZ65" s="171" t="str">
        <f>"      " &amp; "상품" &amp; "(김동오)" &amp; " " &amp; IF(P65="","",TEXT(P65,"M/D-")) &amp; IF(Q65="","",TEXT(Q65,"M/D")) &amp; " "</f>
        <v xml:space="preserve">      상품(김동오) 9/1-10/2 </v>
      </c>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row>
    <row r="66" spans="1:86" ht="12" customHeight="1" outlineLevel="4">
      <c r="A66" s="189"/>
      <c r="B66" s="189"/>
      <c r="C66" s="189">
        <v>5</v>
      </c>
      <c r="D66" s="190" t="s">
        <v>1467</v>
      </c>
      <c r="E66" s="172"/>
      <c r="F66" s="172"/>
      <c r="G66" s="172"/>
      <c r="H66" s="172"/>
      <c r="I66" s="172" t="s">
        <v>1853</v>
      </c>
      <c r="J66" s="172"/>
      <c r="K66" s="172"/>
      <c r="L66" s="172"/>
      <c r="M66" s="172"/>
      <c r="N66" s="172"/>
      <c r="O66" s="172"/>
      <c r="P66" s="230">
        <v>46266</v>
      </c>
      <c r="Q66" s="230">
        <v>46297</v>
      </c>
      <c r="R66" s="172"/>
      <c r="S66" s="192">
        <v>22</v>
      </c>
      <c r="T66" s="192">
        <v>18</v>
      </c>
      <c r="U66" s="192">
        <v>22</v>
      </c>
      <c r="V66" s="192">
        <v>18</v>
      </c>
      <c r="W66" s="191"/>
      <c r="X66" s="191"/>
      <c r="Y66" s="193"/>
      <c r="Z66" s="194">
        <v>0</v>
      </c>
      <c r="AA66" s="192"/>
      <c r="AB66" s="251" t="s">
        <v>2063</v>
      </c>
      <c r="AC66" s="227" t="s">
        <v>1903</v>
      </c>
      <c r="AD66" s="195">
        <v>0.81818181818181823</v>
      </c>
      <c r="AE66" s="200">
        <v>0.5</v>
      </c>
      <c r="AF66" s="170"/>
      <c r="AG66" s="171"/>
      <c r="AH66" s="171"/>
      <c r="AI66" s="171"/>
      <c r="AJ66" s="171"/>
      <c r="AK66" s="171"/>
      <c r="AL66" s="171"/>
      <c r="AM66" s="171"/>
      <c r="AN66" s="171"/>
      <c r="AO66" s="171"/>
      <c r="AP66" s="171"/>
      <c r="AQ66" s="171"/>
      <c r="AR66" s="171"/>
      <c r="AS66" s="171"/>
      <c r="AT66" s="171"/>
      <c r="AU66" s="171"/>
      <c r="AV66" s="171"/>
      <c r="AW66" s="171"/>
      <c r="AX66" s="171" t="str">
        <f>"    " &amp; TEXT(AE66,"#0.00%") &amp; " " &amp; "제휴판매" &amp; "(김수현)" &amp; " " &amp; IF(P66="","",TEXT(P66,"M/D-")) &amp; IF(Q66="","",TEXT(Q66,"M/D")) &amp; " "</f>
        <v xml:space="preserve">    50.00% 제휴판매(김수현) 9/1-10/2 </v>
      </c>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row>
    <row r="67" spans="1:86" ht="12" customHeight="1" outlineLevel="4">
      <c r="A67" s="189"/>
      <c r="B67" s="189"/>
      <c r="C67" s="189">
        <v>5</v>
      </c>
      <c r="D67" s="190" t="s">
        <v>1468</v>
      </c>
      <c r="E67" s="172"/>
      <c r="F67" s="172"/>
      <c r="G67" s="172"/>
      <c r="H67" s="172"/>
      <c r="I67" s="172" t="s">
        <v>1854</v>
      </c>
      <c r="J67" s="172"/>
      <c r="K67" s="172"/>
      <c r="L67" s="172"/>
      <c r="M67" s="172"/>
      <c r="N67" s="172"/>
      <c r="O67" s="172"/>
      <c r="P67" s="230">
        <v>46266</v>
      </c>
      <c r="Q67" s="230">
        <v>46297</v>
      </c>
      <c r="R67" s="172"/>
      <c r="S67" s="192">
        <v>22</v>
      </c>
      <c r="T67" s="192">
        <v>18</v>
      </c>
      <c r="U67" s="192">
        <v>22</v>
      </c>
      <c r="V67" s="192">
        <v>18</v>
      </c>
      <c r="W67" s="191"/>
      <c r="X67" s="191"/>
      <c r="Y67" s="193"/>
      <c r="Z67" s="194">
        <v>0</v>
      </c>
      <c r="AA67" s="192"/>
      <c r="AB67" s="251" t="s">
        <v>2063</v>
      </c>
      <c r="AC67" s="227" t="s">
        <v>1903</v>
      </c>
      <c r="AD67" s="195">
        <v>0.81818181818181823</v>
      </c>
      <c r="AE67" s="200">
        <v>0.5</v>
      </c>
      <c r="AF67" s="170"/>
      <c r="AG67" s="171"/>
      <c r="AH67" s="171"/>
      <c r="AI67" s="171"/>
      <c r="AJ67" s="171"/>
      <c r="AK67" s="171"/>
      <c r="AL67" s="171"/>
      <c r="AM67" s="171"/>
      <c r="AN67" s="171"/>
      <c r="AO67" s="171"/>
      <c r="AP67" s="171"/>
      <c r="AQ67" s="171"/>
      <c r="AR67" s="171"/>
      <c r="AS67" s="171"/>
      <c r="AT67" s="171"/>
      <c r="AU67" s="171"/>
      <c r="AV67" s="171"/>
      <c r="AW67" s="171"/>
      <c r="AX67" s="171" t="str">
        <f>"    " &amp; TEXT(AE67,"#0.00%") &amp; " " &amp; "파트너오피스(PO)" &amp; "(김수현)" &amp; " " &amp; IF(P67="","",TEXT(P67,"M/D-")) &amp; IF(Q67="","",TEXT(Q67,"M/D")) &amp; " "</f>
        <v xml:space="preserve">    50.00% 파트너오피스(PO)(김수현) 9/1-10/2 </v>
      </c>
      <c r="AY67" s="171"/>
      <c r="AZ67" s="171"/>
      <c r="BA67" s="171"/>
      <c r="BB67" s="171"/>
      <c r="BC67" s="171"/>
      <c r="BD67" s="171"/>
      <c r="BE67" s="171"/>
      <c r="BF67" s="171"/>
      <c r="BG67" s="171"/>
      <c r="BH67" s="171"/>
      <c r="BI67" s="171"/>
      <c r="BJ67" s="171"/>
      <c r="BK67" s="171"/>
      <c r="BL67" s="171"/>
      <c r="BM67" s="171"/>
      <c r="BN67" s="171"/>
      <c r="BO67" s="171"/>
      <c r="BP67" s="171"/>
      <c r="BQ67" s="171"/>
      <c r="BR67" s="171"/>
      <c r="BS67" s="171"/>
      <c r="BT67" s="171"/>
      <c r="BU67" s="171"/>
      <c r="BV67" s="171"/>
      <c r="BW67" s="171"/>
      <c r="BX67" s="171"/>
      <c r="BY67" s="171"/>
      <c r="BZ67" s="171"/>
      <c r="CA67" s="171"/>
      <c r="CB67" s="171"/>
      <c r="CC67" s="171"/>
      <c r="CD67" s="171"/>
      <c r="CE67" s="171"/>
      <c r="CF67" s="171"/>
      <c r="CG67" s="171"/>
      <c r="CH67" s="171"/>
    </row>
    <row r="68" spans="1:86" ht="12" customHeight="1" outlineLevel="4">
      <c r="A68" s="189"/>
      <c r="B68" s="189"/>
      <c r="C68" s="189">
        <v>5</v>
      </c>
      <c r="D68" s="190" t="s">
        <v>1469</v>
      </c>
      <c r="E68" s="172"/>
      <c r="F68" s="172"/>
      <c r="G68" s="172"/>
      <c r="H68" s="172"/>
      <c r="I68" s="172" t="s">
        <v>1855</v>
      </c>
      <c r="J68" s="172"/>
      <c r="K68" s="172"/>
      <c r="L68" s="172"/>
      <c r="M68" s="172"/>
      <c r="N68" s="172"/>
      <c r="O68" s="172"/>
      <c r="P68" s="230">
        <v>46266</v>
      </c>
      <c r="Q68" s="230">
        <v>46297</v>
      </c>
      <c r="R68" s="172"/>
      <c r="S68" s="192">
        <v>22</v>
      </c>
      <c r="T68" s="192">
        <v>18</v>
      </c>
      <c r="U68" s="192">
        <v>22</v>
      </c>
      <c r="V68" s="192">
        <v>18</v>
      </c>
      <c r="W68" s="191"/>
      <c r="X68" s="191"/>
      <c r="Y68" s="193"/>
      <c r="Z68" s="194">
        <v>0</v>
      </c>
      <c r="AA68" s="192"/>
      <c r="AB68" s="251" t="s">
        <v>2064</v>
      </c>
      <c r="AC68" s="227" t="s">
        <v>1903</v>
      </c>
      <c r="AD68" s="195">
        <v>0.81818181818181823</v>
      </c>
      <c r="AE68" s="200">
        <v>0</v>
      </c>
      <c r="AF68" s="170"/>
      <c r="AG68" s="171"/>
      <c r="AH68" s="171"/>
      <c r="AI68" s="171"/>
      <c r="AJ68" s="171"/>
      <c r="AK68" s="171"/>
      <c r="AL68" s="171"/>
      <c r="AM68" s="171"/>
      <c r="AN68" s="171"/>
      <c r="AO68" s="171"/>
      <c r="AP68" s="171"/>
      <c r="AQ68" s="171"/>
      <c r="AR68" s="171"/>
      <c r="AS68" s="171"/>
      <c r="AT68" s="171"/>
      <c r="AU68" s="171"/>
      <c r="AV68" s="171" t="str">
        <f>"  " &amp; TEXT(AE68,"#0.00%") &amp; " "</f>
        <v xml:space="preserve">  0.00% </v>
      </c>
      <c r="AW68" s="171"/>
      <c r="AX68" s="171"/>
      <c r="AY68" s="171"/>
      <c r="AZ68" s="171" t="str">
        <f>"      " &amp; "제휴카드" &amp; "(박선미)" &amp; " " &amp; IF(P68="","",TEXT(P68,"M/D-")) &amp; IF(Q68="","",TEXT(Q68,"M/D")) &amp; " "</f>
        <v xml:space="preserve">      제휴카드(박선미) 9/1-10/2 </v>
      </c>
      <c r="BA68" s="171"/>
      <c r="BB68" s="171"/>
      <c r="BC68" s="171"/>
      <c r="BD68" s="171"/>
      <c r="BE68" s="171"/>
      <c r="BF68" s="171"/>
      <c r="BG68" s="171"/>
      <c r="BH68" s="171"/>
      <c r="BI68" s="171"/>
      <c r="BJ68" s="171"/>
      <c r="BK68" s="171"/>
      <c r="BL68" s="171"/>
      <c r="BM68" s="171"/>
      <c r="BN68" s="171"/>
      <c r="BO68" s="171"/>
      <c r="BP68" s="171"/>
      <c r="BQ68" s="171"/>
      <c r="BR68" s="171"/>
      <c r="BS68" s="171"/>
      <c r="BT68" s="171"/>
      <c r="BU68" s="171"/>
      <c r="BV68" s="171"/>
      <c r="BW68" s="171"/>
      <c r="BX68" s="171"/>
      <c r="BY68" s="171"/>
      <c r="BZ68" s="171"/>
      <c r="CA68" s="171"/>
      <c r="CB68" s="171"/>
      <c r="CC68" s="171"/>
      <c r="CD68" s="171"/>
      <c r="CE68" s="171"/>
      <c r="CF68" s="171"/>
      <c r="CG68" s="171"/>
      <c r="CH68" s="171"/>
    </row>
    <row r="69" spans="1:86" ht="12" customHeight="1" outlineLevel="4">
      <c r="A69" s="189"/>
      <c r="B69" s="189"/>
      <c r="C69" s="189">
        <v>5</v>
      </c>
      <c r="D69" s="190" t="s">
        <v>1846</v>
      </c>
      <c r="E69" s="172"/>
      <c r="F69" s="172"/>
      <c r="G69" s="172"/>
      <c r="H69" s="172"/>
      <c r="I69" s="172" t="s">
        <v>1858</v>
      </c>
      <c r="J69" s="172"/>
      <c r="K69" s="172"/>
      <c r="L69" s="172"/>
      <c r="M69" s="172"/>
      <c r="N69" s="172"/>
      <c r="O69" s="172"/>
      <c r="P69" s="230">
        <v>46266</v>
      </c>
      <c r="Q69" s="230">
        <v>46297</v>
      </c>
      <c r="R69" s="172"/>
      <c r="S69" s="192">
        <v>22</v>
      </c>
      <c r="T69" s="192">
        <v>18</v>
      </c>
      <c r="U69" s="192">
        <v>22</v>
      </c>
      <c r="V69" s="192">
        <v>18</v>
      </c>
      <c r="W69" s="191"/>
      <c r="X69" s="191"/>
      <c r="Y69" s="193"/>
      <c r="Z69" s="194">
        <v>0</v>
      </c>
      <c r="AA69" s="192"/>
      <c r="AB69" s="252" t="s">
        <v>2065</v>
      </c>
      <c r="AC69" s="227" t="s">
        <v>1903</v>
      </c>
      <c r="AD69" s="195">
        <v>0.81818181818181823</v>
      </c>
      <c r="AE69" s="200">
        <v>0.5</v>
      </c>
      <c r="AF69" s="170"/>
      <c r="AG69" s="171"/>
      <c r="AH69" s="171"/>
      <c r="AI69" s="171"/>
      <c r="AJ69" s="171"/>
      <c r="AK69" s="171"/>
      <c r="AL69" s="171"/>
      <c r="AM69" s="171"/>
      <c r="AN69" s="171"/>
      <c r="AO69" s="171"/>
      <c r="AP69" s="171"/>
      <c r="AQ69" s="171"/>
      <c r="AR69" s="171"/>
      <c r="AS69" s="171"/>
      <c r="AT69" s="171"/>
      <c r="AU69" s="171"/>
      <c r="AV69" s="171"/>
      <c r="AW69" s="171"/>
      <c r="AX69" s="171" t="str">
        <f>"    " &amp; TEXT(AE69,"#0.00%") &amp; " " &amp; "주문/결제/취소" &amp; "(유재희)" &amp; " " &amp; IF(P69="","",TEXT(P69,"M/D-")) &amp; IF(Q69="","",TEXT(Q69,"M/D")) &amp; " "</f>
        <v xml:space="preserve">    50.00% 주문/결제/취소(유재희) 9/1-10/2 </v>
      </c>
      <c r="AY69" s="171"/>
      <c r="AZ69" s="171"/>
      <c r="BA69" s="171"/>
      <c r="BB69" s="171"/>
      <c r="BC69" s="171"/>
      <c r="BD69" s="171"/>
      <c r="BE69" s="171"/>
      <c r="BF69" s="171"/>
      <c r="BG69" s="171"/>
      <c r="BH69" s="171"/>
      <c r="BI69" s="171"/>
      <c r="BJ69" s="171"/>
      <c r="BK69" s="171"/>
      <c r="BL69" s="171"/>
      <c r="BM69" s="171"/>
      <c r="BN69" s="171"/>
      <c r="BO69" s="171"/>
      <c r="BP69" s="171"/>
      <c r="BQ69" s="171"/>
      <c r="BR69" s="171"/>
      <c r="BS69" s="171"/>
      <c r="BT69" s="171"/>
      <c r="BU69" s="171"/>
      <c r="BV69" s="171"/>
      <c r="BW69" s="171"/>
      <c r="BX69" s="171"/>
      <c r="BY69" s="171"/>
      <c r="BZ69" s="171"/>
      <c r="CA69" s="171"/>
      <c r="CB69" s="171"/>
      <c r="CC69" s="171"/>
      <c r="CD69" s="171"/>
      <c r="CE69" s="171"/>
      <c r="CF69" s="171"/>
      <c r="CG69" s="171"/>
      <c r="CH69" s="171"/>
    </row>
    <row r="70" spans="1:86" ht="12" customHeight="1" outlineLevel="4">
      <c r="A70" s="189"/>
      <c r="B70" s="189"/>
      <c r="C70" s="189">
        <v>5</v>
      </c>
      <c r="D70" s="190" t="s">
        <v>1847</v>
      </c>
      <c r="E70" s="172"/>
      <c r="F70" s="172"/>
      <c r="G70" s="172"/>
      <c r="H70" s="172"/>
      <c r="I70" s="172" t="s">
        <v>1857</v>
      </c>
      <c r="J70" s="172"/>
      <c r="K70" s="172"/>
      <c r="L70" s="172"/>
      <c r="M70" s="172"/>
      <c r="N70" s="172"/>
      <c r="O70" s="172"/>
      <c r="P70" s="230">
        <v>46266</v>
      </c>
      <c r="Q70" s="230">
        <v>46297</v>
      </c>
      <c r="R70" s="172"/>
      <c r="S70" s="192">
        <v>22</v>
      </c>
      <c r="T70" s="192">
        <v>18</v>
      </c>
      <c r="U70" s="192">
        <v>22</v>
      </c>
      <c r="V70" s="192">
        <v>18</v>
      </c>
      <c r="W70" s="191"/>
      <c r="X70" s="191"/>
      <c r="Y70" s="193"/>
      <c r="Z70" s="194">
        <v>0</v>
      </c>
      <c r="AA70" s="192"/>
      <c r="AB70" s="251" t="s">
        <v>2064</v>
      </c>
      <c r="AC70" s="227" t="s">
        <v>1903</v>
      </c>
      <c r="AD70" s="195">
        <v>0.81818181818181823</v>
      </c>
      <c r="AE70" s="200">
        <v>0.5</v>
      </c>
      <c r="AF70" s="170"/>
      <c r="AG70" s="171"/>
      <c r="AH70" s="171"/>
      <c r="AI70" s="171"/>
      <c r="AJ70" s="171"/>
      <c r="AK70" s="171"/>
      <c r="AL70" s="171"/>
      <c r="AM70" s="171"/>
      <c r="AN70" s="171"/>
      <c r="AO70" s="171"/>
      <c r="AP70" s="171"/>
      <c r="AQ70" s="171"/>
      <c r="AR70" s="171"/>
      <c r="AS70" s="171"/>
      <c r="AT70" s="171"/>
      <c r="AU70" s="171"/>
      <c r="AV70" s="171"/>
      <c r="AW70" s="171"/>
      <c r="AX70" s="171" t="str">
        <f>"    " &amp; TEXT(AE70,"#0.00%") &amp; " " &amp; "회원/멤버십/포인트" &amp; "(박선미)" &amp; " " &amp; IF(P70="","",TEXT(P70,"M/D-")) &amp; IF(Q70="","",TEXT(Q70,"M/D")) &amp; " "</f>
        <v xml:space="preserve">    50.00% 회원/멤버십/포인트(박선미) 9/1-10/2 </v>
      </c>
      <c r="AY70" s="171"/>
      <c r="AZ70" s="171"/>
      <c r="BA70" s="171"/>
      <c r="BB70" s="171"/>
      <c r="BC70" s="171"/>
      <c r="BD70" s="171"/>
      <c r="BE70" s="171"/>
      <c r="BF70" s="171"/>
      <c r="BG70" s="171"/>
      <c r="BH70" s="171"/>
      <c r="BI70" s="171"/>
      <c r="BJ70" s="171"/>
      <c r="BK70" s="171"/>
      <c r="BL70" s="171"/>
      <c r="BM70" s="171"/>
      <c r="BN70" s="171"/>
      <c r="BO70" s="171"/>
      <c r="BP70" s="171"/>
      <c r="BQ70" s="171"/>
      <c r="BR70" s="171"/>
      <c r="BS70" s="171"/>
      <c r="BT70" s="171"/>
      <c r="BU70" s="171"/>
      <c r="BV70" s="171"/>
      <c r="BW70" s="171"/>
      <c r="BX70" s="171"/>
      <c r="BY70" s="171"/>
      <c r="BZ70" s="171"/>
      <c r="CA70" s="171"/>
      <c r="CB70" s="171"/>
      <c r="CC70" s="171"/>
      <c r="CD70" s="171"/>
      <c r="CE70" s="171"/>
      <c r="CF70" s="171"/>
      <c r="CG70" s="171"/>
      <c r="CH70" s="171"/>
    </row>
    <row r="71" spans="1:86" ht="12" customHeight="1" outlineLevel="4">
      <c r="A71" s="189"/>
      <c r="B71" s="189"/>
      <c r="C71" s="189">
        <v>5</v>
      </c>
      <c r="D71" s="190" t="s">
        <v>1848</v>
      </c>
      <c r="E71" s="172"/>
      <c r="F71" s="172"/>
      <c r="G71" s="172"/>
      <c r="H71" s="172"/>
      <c r="I71" s="172" t="s">
        <v>1856</v>
      </c>
      <c r="J71" s="172"/>
      <c r="K71" s="172"/>
      <c r="L71" s="172"/>
      <c r="M71" s="172"/>
      <c r="N71" s="172"/>
      <c r="O71" s="172"/>
      <c r="P71" s="230">
        <v>46266</v>
      </c>
      <c r="Q71" s="230">
        <v>46297</v>
      </c>
      <c r="R71" s="172"/>
      <c r="S71" s="192">
        <v>22</v>
      </c>
      <c r="T71" s="192">
        <v>18</v>
      </c>
      <c r="U71" s="192">
        <v>22</v>
      </c>
      <c r="V71" s="192">
        <v>18</v>
      </c>
      <c r="W71" s="191"/>
      <c r="X71" s="191"/>
      <c r="Y71" s="193"/>
      <c r="Z71" s="194">
        <v>0</v>
      </c>
      <c r="AA71" s="192"/>
      <c r="AB71" s="251" t="s">
        <v>2066</v>
      </c>
      <c r="AC71" s="227" t="s">
        <v>1903</v>
      </c>
      <c r="AD71" s="195">
        <v>0.81818181818181823</v>
      </c>
      <c r="AE71" s="200">
        <v>0.5</v>
      </c>
      <c r="AF71" s="170"/>
      <c r="AG71" s="171"/>
      <c r="AH71" s="171"/>
      <c r="AI71" s="171"/>
      <c r="AJ71" s="171"/>
      <c r="AK71" s="171"/>
      <c r="AL71" s="171"/>
      <c r="AM71" s="171"/>
      <c r="AN71" s="171"/>
      <c r="AO71" s="171"/>
      <c r="AP71" s="171"/>
      <c r="AQ71" s="171"/>
      <c r="AR71" s="171"/>
      <c r="AS71" s="171"/>
      <c r="AT71" s="171"/>
      <c r="AU71" s="171"/>
      <c r="AV71" s="171"/>
      <c r="AW71" s="171"/>
      <c r="AX71" s="171" t="str">
        <f>"    " &amp; TEXT(AE71,"#0.00%") &amp; " " &amp; "프로모션/이벤트" &amp; "(이채원)" &amp; " " &amp; IF(P71="","",TEXT(P71,"M/D-")) &amp; IF(Q71="","",TEXT(Q71,"M/D")) &amp; " "</f>
        <v xml:space="preserve">    50.00% 프로모션/이벤트(이채원) 9/1-10/2 </v>
      </c>
      <c r="AY71" s="171"/>
      <c r="AZ71" s="171"/>
      <c r="BA71" s="171"/>
      <c r="BB71" s="171"/>
      <c r="BC71" s="171"/>
      <c r="BD71" s="171"/>
      <c r="BE71" s="171"/>
      <c r="BF71" s="171"/>
      <c r="BG71" s="171"/>
      <c r="BH71" s="171"/>
      <c r="BI71" s="171"/>
      <c r="BJ71" s="171"/>
      <c r="BK71" s="171"/>
      <c r="BL71" s="171"/>
      <c r="BM71" s="171"/>
      <c r="BN71" s="171"/>
      <c r="BO71" s="171"/>
      <c r="BP71" s="171"/>
      <c r="BQ71" s="171"/>
      <c r="BR71" s="171"/>
      <c r="BS71" s="171"/>
      <c r="BT71" s="171"/>
      <c r="BU71" s="171"/>
      <c r="BV71" s="171"/>
      <c r="BW71" s="171"/>
      <c r="BX71" s="171"/>
      <c r="BY71" s="171"/>
      <c r="BZ71" s="171"/>
      <c r="CA71" s="171"/>
      <c r="CB71" s="171"/>
      <c r="CC71" s="171"/>
      <c r="CD71" s="171"/>
      <c r="CE71" s="171"/>
      <c r="CF71" s="171"/>
      <c r="CG71" s="171"/>
      <c r="CH71" s="171"/>
    </row>
    <row r="72" spans="1:86" ht="12" customHeight="1" outlineLevel="4">
      <c r="A72" s="189"/>
      <c r="B72" s="189"/>
      <c r="C72" s="189">
        <v>5</v>
      </c>
      <c r="D72" s="190" t="s">
        <v>1849</v>
      </c>
      <c r="E72" s="172"/>
      <c r="F72" s="172"/>
      <c r="G72" s="172"/>
      <c r="H72" s="172"/>
      <c r="I72" s="172" t="s">
        <v>1859</v>
      </c>
      <c r="J72" s="172"/>
      <c r="K72" s="172"/>
      <c r="L72" s="172"/>
      <c r="M72" s="172"/>
      <c r="N72" s="172"/>
      <c r="O72" s="172"/>
      <c r="P72" s="230">
        <v>46266</v>
      </c>
      <c r="Q72" s="230">
        <v>46297</v>
      </c>
      <c r="R72" s="172"/>
      <c r="S72" s="192">
        <v>22</v>
      </c>
      <c r="T72" s="192">
        <v>18</v>
      </c>
      <c r="U72" s="192">
        <v>22</v>
      </c>
      <c r="V72" s="192">
        <v>18</v>
      </c>
      <c r="W72" s="191"/>
      <c r="X72" s="191"/>
      <c r="Y72" s="193"/>
      <c r="Z72" s="194">
        <v>0</v>
      </c>
      <c r="AA72" s="192"/>
      <c r="AB72" s="251" t="s">
        <v>2066</v>
      </c>
      <c r="AC72" s="227" t="s">
        <v>1903</v>
      </c>
      <c r="AD72" s="195">
        <v>0.81818181818181823</v>
      </c>
      <c r="AE72" s="200">
        <v>0.5</v>
      </c>
      <c r="AF72" s="170"/>
      <c r="AG72" s="171"/>
      <c r="AH72" s="171"/>
      <c r="AI72" s="171"/>
      <c r="AJ72" s="171"/>
      <c r="AK72" s="171"/>
      <c r="AL72" s="171"/>
      <c r="AM72" s="171"/>
      <c r="AN72" s="171"/>
      <c r="AO72" s="171"/>
      <c r="AP72" s="171"/>
      <c r="AQ72" s="171"/>
      <c r="AR72" s="171"/>
      <c r="AS72" s="171"/>
      <c r="AT72" s="171"/>
      <c r="AU72" s="171"/>
      <c r="AV72" s="171"/>
      <c r="AW72" s="171"/>
      <c r="AX72" s="171" t="str">
        <f>"    " &amp; TEXT(AE72,"#0.00%") &amp; " " &amp; "할인쿠폰" &amp; "(이채원)" &amp; " " &amp; IF(P72="","",TEXT(P72,"M/D-")) &amp; IF(Q72="","",TEXT(Q72,"M/D")) &amp; " "</f>
        <v xml:space="preserve">    50.00% 할인쿠폰(이채원) 9/1-10/2 </v>
      </c>
      <c r="AY72" s="171"/>
      <c r="AZ72" s="171"/>
      <c r="BA72" s="171"/>
      <c r="BB72" s="171"/>
      <c r="BC72" s="171"/>
      <c r="BD72" s="171"/>
      <c r="BE72" s="171"/>
      <c r="BF72" s="171"/>
      <c r="BG72" s="171"/>
      <c r="BH72" s="171"/>
      <c r="BI72" s="171"/>
      <c r="BJ72" s="171"/>
      <c r="BK72" s="171"/>
      <c r="BL72" s="171"/>
      <c r="BM72" s="171"/>
      <c r="BN72" s="171"/>
      <c r="BO72" s="171"/>
      <c r="BP72" s="171"/>
      <c r="BQ72" s="171"/>
      <c r="BR72" s="171"/>
      <c r="BS72" s="171"/>
      <c r="BT72" s="171"/>
      <c r="BU72" s="171"/>
      <c r="BV72" s="171"/>
      <c r="BW72" s="171"/>
      <c r="BX72" s="171"/>
      <c r="BY72" s="171"/>
      <c r="BZ72" s="171"/>
      <c r="CA72" s="171"/>
      <c r="CB72" s="171"/>
      <c r="CC72" s="171"/>
      <c r="CD72" s="171"/>
      <c r="CE72" s="171"/>
      <c r="CF72" s="171"/>
      <c r="CG72" s="171"/>
      <c r="CH72" s="171"/>
    </row>
    <row r="73" spans="1:86" ht="12" customHeight="1" outlineLevel="4">
      <c r="A73" s="189"/>
      <c r="B73" s="189"/>
      <c r="C73" s="189">
        <v>5</v>
      </c>
      <c r="D73" s="190" t="s">
        <v>1865</v>
      </c>
      <c r="E73" s="172"/>
      <c r="F73" s="172"/>
      <c r="G73" s="172"/>
      <c r="H73" s="172"/>
      <c r="I73" s="172" t="s">
        <v>1843</v>
      </c>
      <c r="J73" s="172"/>
      <c r="K73" s="172"/>
      <c r="L73" s="172"/>
      <c r="M73" s="172"/>
      <c r="N73" s="172"/>
      <c r="O73" s="172"/>
      <c r="P73" s="230">
        <v>46266</v>
      </c>
      <c r="Q73" s="230">
        <v>46297</v>
      </c>
      <c r="R73" s="172"/>
      <c r="S73" s="192">
        <v>22</v>
      </c>
      <c r="T73" s="192">
        <v>18</v>
      </c>
      <c r="U73" s="192">
        <v>22</v>
      </c>
      <c r="V73" s="192">
        <v>18</v>
      </c>
      <c r="W73" s="191"/>
      <c r="X73" s="191"/>
      <c r="Y73" s="193"/>
      <c r="Z73" s="194">
        <v>0</v>
      </c>
      <c r="AA73" s="192"/>
      <c r="AB73" s="251" t="s">
        <v>2067</v>
      </c>
      <c r="AC73" s="227" t="s">
        <v>1903</v>
      </c>
      <c r="AD73" s="195">
        <v>0.81818181818181823</v>
      </c>
      <c r="AE73" s="200">
        <v>0.5</v>
      </c>
      <c r="AF73" s="170"/>
      <c r="AG73" s="171"/>
      <c r="AH73" s="171"/>
      <c r="AI73" s="171"/>
      <c r="AJ73" s="171"/>
      <c r="AK73" s="171"/>
      <c r="AL73" s="171"/>
      <c r="AM73" s="171"/>
      <c r="AN73" s="171"/>
      <c r="AO73" s="171"/>
      <c r="AP73" s="171"/>
      <c r="AQ73" s="171"/>
      <c r="AR73" s="171"/>
      <c r="AS73" s="171"/>
      <c r="AT73" s="171"/>
      <c r="AU73" s="171"/>
      <c r="AV73" s="171"/>
      <c r="AW73" s="171"/>
      <c r="AX73" s="171" t="str">
        <f>"    " &amp; TEXT(AE73,"#0.00%") &amp; " " &amp; "정산" &amp; "(함유진)" &amp; " " &amp; IF(P73="","",TEXT(P73,"M/D-")) &amp; IF(Q73="","",TEXT(Q73,"M/D")) &amp; " "</f>
        <v xml:space="preserve">    50.00% 정산(함유진) 9/1-10/2 </v>
      </c>
      <c r="AY73" s="171"/>
      <c r="AZ73" s="171"/>
      <c r="BA73" s="171"/>
      <c r="BB73" s="171"/>
      <c r="BC73" s="171"/>
      <c r="BD73" s="171"/>
      <c r="BE73" s="171"/>
      <c r="BF73" s="171"/>
      <c r="BG73" s="171"/>
      <c r="BH73" s="171"/>
      <c r="BI73" s="171"/>
      <c r="BJ73" s="171"/>
      <c r="BK73" s="171"/>
      <c r="BL73" s="171"/>
      <c r="BM73" s="171"/>
      <c r="BN73" s="171"/>
      <c r="BO73" s="171"/>
      <c r="BP73" s="171"/>
      <c r="BQ73" s="171"/>
      <c r="BR73" s="171"/>
      <c r="BS73" s="171"/>
      <c r="BT73" s="171"/>
      <c r="BU73" s="171"/>
      <c r="BV73" s="171"/>
      <c r="BW73" s="171"/>
      <c r="BX73" s="171"/>
      <c r="BY73" s="171"/>
      <c r="BZ73" s="171"/>
      <c r="CA73" s="171"/>
      <c r="CB73" s="171"/>
      <c r="CC73" s="171"/>
      <c r="CD73" s="171"/>
      <c r="CE73" s="171"/>
      <c r="CF73" s="171"/>
      <c r="CG73" s="171"/>
      <c r="CH73" s="171"/>
    </row>
    <row r="74" spans="1:86" ht="12" customHeight="1" outlineLevel="4">
      <c r="A74" s="189"/>
      <c r="B74" s="189"/>
      <c r="C74" s="189">
        <v>5</v>
      </c>
      <c r="D74" s="190" t="s">
        <v>1866</v>
      </c>
      <c r="E74" s="172"/>
      <c r="F74" s="172"/>
      <c r="G74" s="172"/>
      <c r="H74" s="172"/>
      <c r="I74" s="172" t="s">
        <v>1860</v>
      </c>
      <c r="J74" s="172"/>
      <c r="K74" s="172"/>
      <c r="L74" s="172"/>
      <c r="M74" s="172"/>
      <c r="N74" s="172"/>
      <c r="O74" s="172"/>
      <c r="P74" s="230">
        <v>46266</v>
      </c>
      <c r="Q74" s="230">
        <v>46297</v>
      </c>
      <c r="R74" s="172"/>
      <c r="S74" s="192">
        <v>22</v>
      </c>
      <c r="T74" s="192">
        <v>18</v>
      </c>
      <c r="U74" s="192">
        <v>22</v>
      </c>
      <c r="V74" s="192">
        <v>18</v>
      </c>
      <c r="W74" s="191"/>
      <c r="X74" s="191"/>
      <c r="Y74" s="193"/>
      <c r="Z74" s="194">
        <v>0</v>
      </c>
      <c r="AA74" s="192"/>
      <c r="AB74" s="251" t="s">
        <v>2067</v>
      </c>
      <c r="AC74" s="227" t="s">
        <v>1903</v>
      </c>
      <c r="AD74" s="195">
        <v>0.81818181818181823</v>
      </c>
      <c r="AE74" s="200">
        <v>0.5</v>
      </c>
      <c r="AF74" s="170"/>
      <c r="AG74" s="171"/>
      <c r="AH74" s="171"/>
      <c r="AI74" s="171"/>
      <c r="AJ74" s="171"/>
      <c r="AK74" s="171"/>
      <c r="AL74" s="171"/>
      <c r="AM74" s="171"/>
      <c r="AN74" s="171"/>
      <c r="AO74" s="171"/>
      <c r="AP74" s="171"/>
      <c r="AQ74" s="171"/>
      <c r="AR74" s="171"/>
      <c r="AS74" s="171"/>
      <c r="AT74" s="171"/>
      <c r="AU74" s="171"/>
      <c r="AV74" s="171"/>
      <c r="AW74" s="171"/>
      <c r="AX74" s="171" t="str">
        <f>"    " &amp; TEXT(AE74,"#0.00%") &amp; " " &amp; "통계" &amp; "(함유진)" &amp; " " &amp; IF(P74="","",TEXT(P74,"M/D-")) &amp; IF(Q74="","",TEXT(Q74,"M/D")) &amp; " "</f>
        <v xml:space="preserve">    50.00% 통계(함유진) 9/1-10/2 </v>
      </c>
      <c r="AY74" s="171"/>
      <c r="AZ74" s="171"/>
      <c r="BA74" s="171"/>
      <c r="BB74" s="171"/>
      <c r="BC74" s="171"/>
      <c r="BD74" s="171"/>
      <c r="BE74" s="171"/>
      <c r="BF74" s="171"/>
      <c r="BG74" s="171"/>
      <c r="BH74" s="171"/>
      <c r="BI74" s="171"/>
      <c r="BJ74" s="171"/>
      <c r="BK74" s="171"/>
      <c r="BL74" s="171"/>
      <c r="BM74" s="171"/>
      <c r="BN74" s="171"/>
      <c r="BO74" s="171"/>
      <c r="BP74" s="171"/>
      <c r="BQ74" s="171"/>
      <c r="BR74" s="171"/>
      <c r="BS74" s="171"/>
      <c r="BT74" s="171"/>
      <c r="BU74" s="171"/>
      <c r="BV74" s="171"/>
      <c r="BW74" s="171"/>
      <c r="BX74" s="171"/>
      <c r="BY74" s="171"/>
      <c r="BZ74" s="171"/>
      <c r="CA74" s="171"/>
      <c r="CB74" s="171"/>
      <c r="CC74" s="171"/>
      <c r="CD74" s="171"/>
      <c r="CE74" s="171"/>
      <c r="CF74" s="171"/>
      <c r="CG74" s="171"/>
      <c r="CH74" s="171"/>
    </row>
    <row r="75" spans="1:86" ht="12" customHeight="1" outlineLevel="4">
      <c r="A75" s="189"/>
      <c r="B75" s="189"/>
      <c r="C75" s="189">
        <v>5</v>
      </c>
      <c r="D75" s="190" t="s">
        <v>1867</v>
      </c>
      <c r="E75" s="172"/>
      <c r="F75" s="172"/>
      <c r="G75" s="172"/>
      <c r="H75" s="172"/>
      <c r="I75" s="172" t="s">
        <v>1844</v>
      </c>
      <c r="J75" s="172"/>
      <c r="K75" s="172"/>
      <c r="L75" s="172"/>
      <c r="M75" s="172"/>
      <c r="N75" s="172"/>
      <c r="O75" s="172"/>
      <c r="P75" s="230">
        <v>46266</v>
      </c>
      <c r="Q75" s="230">
        <v>46297</v>
      </c>
      <c r="R75" s="172"/>
      <c r="S75" s="192">
        <v>22</v>
      </c>
      <c r="T75" s="192">
        <v>18</v>
      </c>
      <c r="U75" s="192">
        <v>22</v>
      </c>
      <c r="V75" s="192">
        <v>18</v>
      </c>
      <c r="W75" s="191"/>
      <c r="X75" s="191"/>
      <c r="Y75" s="193"/>
      <c r="Z75" s="194">
        <v>0</v>
      </c>
      <c r="AA75" s="192"/>
      <c r="AB75" s="251" t="s">
        <v>2068</v>
      </c>
      <c r="AC75" s="227" t="s">
        <v>1903</v>
      </c>
      <c r="AD75" s="195">
        <v>0.81818181818181823</v>
      </c>
      <c r="AE75" s="200">
        <v>0.5</v>
      </c>
      <c r="AF75" s="170"/>
      <c r="AG75" s="171"/>
      <c r="AH75" s="171"/>
      <c r="AI75" s="171"/>
      <c r="AJ75" s="171"/>
      <c r="AK75" s="171"/>
      <c r="AL75" s="171"/>
      <c r="AM75" s="171"/>
      <c r="AN75" s="171"/>
      <c r="AO75" s="171"/>
      <c r="AP75" s="171"/>
      <c r="AQ75" s="171"/>
      <c r="AR75" s="171"/>
      <c r="AS75" s="171"/>
      <c r="AT75" s="171"/>
      <c r="AU75" s="171"/>
      <c r="AV75" s="171"/>
      <c r="AW75" s="171"/>
      <c r="AX75" s="171" t="str">
        <f>"    " &amp; TEXT(AE75,"#0.00%") &amp; " " &amp; "전시관리" &amp; "(이윤희)" &amp; " " &amp; IF(P75="","",TEXT(P75,"M/D-")) &amp; IF(Q75="","",TEXT(Q75,"M/D")) &amp; " "</f>
        <v xml:space="preserve">    50.00% 전시관리(이윤희) 9/1-10/2 </v>
      </c>
      <c r="AY75" s="171"/>
      <c r="AZ75" s="171"/>
      <c r="BA75" s="171"/>
      <c r="BB75" s="171"/>
      <c r="BC75" s="171"/>
      <c r="BD75" s="171"/>
      <c r="BE75" s="171"/>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c r="CC75" s="171"/>
      <c r="CD75" s="171"/>
      <c r="CE75" s="171"/>
      <c r="CF75" s="171"/>
      <c r="CG75" s="171"/>
      <c r="CH75" s="171"/>
    </row>
    <row r="76" spans="1:86" ht="12" customHeight="1" outlineLevel="4">
      <c r="A76" s="189"/>
      <c r="B76" s="189"/>
      <c r="C76" s="189">
        <v>5</v>
      </c>
      <c r="D76" s="190" t="s">
        <v>1868</v>
      </c>
      <c r="E76" s="172"/>
      <c r="F76" s="172"/>
      <c r="G76" s="172"/>
      <c r="H76" s="172"/>
      <c r="I76" s="172" t="s">
        <v>1861</v>
      </c>
      <c r="J76" s="172"/>
      <c r="K76" s="172"/>
      <c r="L76" s="172"/>
      <c r="M76" s="172"/>
      <c r="N76" s="172"/>
      <c r="O76" s="172"/>
      <c r="P76" s="230">
        <v>46266</v>
      </c>
      <c r="Q76" s="230">
        <v>46297</v>
      </c>
      <c r="R76" s="172"/>
      <c r="S76" s="192">
        <v>22</v>
      </c>
      <c r="T76" s="192">
        <v>18</v>
      </c>
      <c r="U76" s="192">
        <v>22</v>
      </c>
      <c r="V76" s="192">
        <v>18</v>
      </c>
      <c r="W76" s="191"/>
      <c r="X76" s="191"/>
      <c r="Y76" s="193"/>
      <c r="Z76" s="194">
        <v>0</v>
      </c>
      <c r="AA76" s="192"/>
      <c r="AB76" s="251" t="s">
        <v>2069</v>
      </c>
      <c r="AC76" s="227" t="s">
        <v>1903</v>
      </c>
      <c r="AD76" s="195">
        <v>0.81818181818181823</v>
      </c>
      <c r="AE76" s="200">
        <v>0.5</v>
      </c>
      <c r="AF76" s="170"/>
      <c r="AG76" s="171"/>
      <c r="AH76" s="171"/>
      <c r="AI76" s="171"/>
      <c r="AJ76" s="171"/>
      <c r="AK76" s="171"/>
      <c r="AL76" s="171"/>
      <c r="AM76" s="171"/>
      <c r="AN76" s="171"/>
      <c r="AO76" s="171"/>
      <c r="AP76" s="171"/>
      <c r="AQ76" s="171"/>
      <c r="AR76" s="171"/>
      <c r="AS76" s="171"/>
      <c r="AT76" s="171"/>
      <c r="AU76" s="171"/>
      <c r="AV76" s="171"/>
      <c r="AW76" s="171"/>
      <c r="AX76" s="171" t="str">
        <f>"    " &amp; TEXT(AE76,"#0.00%") &amp; " " &amp; "App" &amp; "(오지원)" &amp; " " &amp; IF(P76="","",TEXT(P76,"M/D-")) &amp; IF(Q76="","",TEXT(Q76,"M/D")) &amp; " "</f>
        <v xml:space="preserve">    50.00% App(오지원) 9/1-10/2 </v>
      </c>
      <c r="AY76" s="171"/>
      <c r="AZ76" s="171"/>
      <c r="BA76" s="171"/>
      <c r="BB76" s="171"/>
      <c r="BC76" s="171"/>
      <c r="BD76" s="171"/>
      <c r="BE76" s="171"/>
      <c r="BF76" s="171"/>
      <c r="BG76" s="171"/>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71"/>
      <c r="CE76" s="171"/>
      <c r="CF76" s="171"/>
      <c r="CG76" s="171"/>
      <c r="CH76" s="171"/>
    </row>
    <row r="77" spans="1:86" ht="12" customHeight="1" outlineLevel="4">
      <c r="A77" s="189"/>
      <c r="B77" s="189"/>
      <c r="C77" s="189">
        <v>5</v>
      </c>
      <c r="D77" s="190" t="s">
        <v>1869</v>
      </c>
      <c r="E77" s="172"/>
      <c r="F77" s="172"/>
      <c r="G77" s="172"/>
      <c r="H77" s="172"/>
      <c r="I77" s="172" t="s">
        <v>1862</v>
      </c>
      <c r="J77" s="172"/>
      <c r="K77" s="172"/>
      <c r="L77" s="172"/>
      <c r="M77" s="172"/>
      <c r="N77" s="172"/>
      <c r="O77" s="172"/>
      <c r="P77" s="230">
        <v>46266</v>
      </c>
      <c r="Q77" s="230">
        <v>46297</v>
      </c>
      <c r="R77" s="172"/>
      <c r="S77" s="192">
        <v>22</v>
      </c>
      <c r="T77" s="192">
        <v>18</v>
      </c>
      <c r="U77" s="192">
        <v>22</v>
      </c>
      <c r="V77" s="192">
        <v>18</v>
      </c>
      <c r="W77" s="191"/>
      <c r="X77" s="191"/>
      <c r="Y77" s="193"/>
      <c r="Z77" s="194">
        <v>0</v>
      </c>
      <c r="AA77" s="192"/>
      <c r="AB77" s="251" t="s">
        <v>2065</v>
      </c>
      <c r="AC77" s="227" t="s">
        <v>1903</v>
      </c>
      <c r="AD77" s="195">
        <v>0.81818181818181823</v>
      </c>
      <c r="AE77" s="200">
        <v>0.5</v>
      </c>
      <c r="AF77" s="170"/>
      <c r="AG77" s="171"/>
      <c r="AH77" s="171"/>
      <c r="AI77" s="171"/>
      <c r="AJ77" s="171"/>
      <c r="AK77" s="171"/>
      <c r="AL77" s="171"/>
      <c r="AM77" s="171"/>
      <c r="AN77" s="171"/>
      <c r="AO77" s="171"/>
      <c r="AP77" s="171"/>
      <c r="AQ77" s="171"/>
      <c r="AR77" s="171"/>
      <c r="AS77" s="171"/>
      <c r="AT77" s="171"/>
      <c r="AU77" s="171"/>
      <c r="AV77" s="171"/>
      <c r="AW77" s="171"/>
      <c r="AX77" s="171" t="str">
        <f>"    " &amp; TEXT(AE77,"#0.00%") &amp; " " &amp; "고객센터" &amp; "(유재희)" &amp; " " &amp; IF(P77="","",TEXT(P77,"M/D-")) &amp; IF(Q77="","",TEXT(Q77,"M/D")) &amp; " "</f>
        <v xml:space="preserve">    50.00% 고객센터(유재희) 9/1-10/2 </v>
      </c>
      <c r="AY77" s="171"/>
      <c r="AZ77" s="171"/>
      <c r="BA77" s="171"/>
      <c r="BB77" s="171"/>
      <c r="BC77" s="171"/>
      <c r="BD77" s="171"/>
      <c r="BE77" s="171"/>
      <c r="BF77" s="171"/>
      <c r="BG77" s="171"/>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71"/>
      <c r="CE77" s="171"/>
      <c r="CF77" s="171"/>
      <c r="CG77" s="171"/>
      <c r="CH77" s="171"/>
    </row>
    <row r="78" spans="1:86" ht="12" customHeight="1" outlineLevel="4">
      <c r="A78" s="189"/>
      <c r="B78" s="189"/>
      <c r="C78" s="189">
        <v>5</v>
      </c>
      <c r="D78" s="190" t="s">
        <v>1870</v>
      </c>
      <c r="E78" s="172"/>
      <c r="F78" s="172"/>
      <c r="G78" s="172"/>
      <c r="H78" s="172"/>
      <c r="I78" s="172" t="s">
        <v>1863</v>
      </c>
      <c r="J78" s="172"/>
      <c r="K78" s="172"/>
      <c r="L78" s="172"/>
      <c r="M78" s="172"/>
      <c r="N78" s="172"/>
      <c r="O78" s="172"/>
      <c r="P78" s="230">
        <v>46266</v>
      </c>
      <c r="Q78" s="230">
        <v>46297</v>
      </c>
      <c r="R78" s="172"/>
      <c r="S78" s="192">
        <v>22</v>
      </c>
      <c r="T78" s="192">
        <v>18</v>
      </c>
      <c r="U78" s="192">
        <v>22</v>
      </c>
      <c r="V78" s="192">
        <v>18</v>
      </c>
      <c r="W78" s="191"/>
      <c r="X78" s="191"/>
      <c r="Y78" s="193"/>
      <c r="Z78" s="194">
        <v>0</v>
      </c>
      <c r="AA78" s="192"/>
      <c r="AB78" s="251" t="s">
        <v>2068</v>
      </c>
      <c r="AC78" s="227" t="s">
        <v>1903</v>
      </c>
      <c r="AD78" s="195">
        <v>0.81818181818181823</v>
      </c>
      <c r="AE78" s="200">
        <v>0.5</v>
      </c>
      <c r="AF78" s="170"/>
      <c r="AG78" s="171"/>
      <c r="AH78" s="171"/>
      <c r="AI78" s="171"/>
      <c r="AJ78" s="171"/>
      <c r="AK78" s="171"/>
      <c r="AL78" s="171"/>
      <c r="AM78" s="171"/>
      <c r="AN78" s="171"/>
      <c r="AO78" s="171"/>
      <c r="AP78" s="171"/>
      <c r="AQ78" s="171"/>
      <c r="AR78" s="171"/>
      <c r="AS78" s="171"/>
      <c r="AT78" s="171"/>
      <c r="AU78" s="171"/>
      <c r="AV78" s="171"/>
      <c r="AW78" s="171"/>
      <c r="AX78" s="171" t="str">
        <f>"    " &amp; TEXT(AE78,"#0.00%") &amp; " " &amp; "현장운영시스템" &amp; "(이윤희)" &amp; " " &amp; IF(P78="","",TEXT(P78,"M/D-")) &amp; IF(Q78="","",TEXT(Q78,"M/D")) &amp; " "</f>
        <v xml:space="preserve">    50.00% 현장운영시스템(이윤희) 9/1-10/2 </v>
      </c>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71"/>
      <c r="CE78" s="171"/>
      <c r="CF78" s="171"/>
      <c r="CG78" s="171"/>
      <c r="CH78" s="171"/>
    </row>
    <row r="79" spans="1:86" ht="12" customHeight="1" outlineLevel="4">
      <c r="A79" s="189"/>
      <c r="B79" s="189"/>
      <c r="C79" s="189">
        <v>5</v>
      </c>
      <c r="D79" s="190" t="s">
        <v>1871</v>
      </c>
      <c r="E79" s="172"/>
      <c r="F79" s="172"/>
      <c r="G79" s="172"/>
      <c r="H79" s="172"/>
      <c r="I79" s="172" t="s">
        <v>1864</v>
      </c>
      <c r="J79" s="172"/>
      <c r="K79" s="172"/>
      <c r="L79" s="172"/>
      <c r="M79" s="172"/>
      <c r="N79" s="172"/>
      <c r="O79" s="172"/>
      <c r="P79" s="230">
        <v>46266</v>
      </c>
      <c r="Q79" s="230">
        <v>46297</v>
      </c>
      <c r="R79" s="172"/>
      <c r="S79" s="192">
        <v>22</v>
      </c>
      <c r="T79" s="192">
        <v>18</v>
      </c>
      <c r="U79" s="192">
        <v>22</v>
      </c>
      <c r="V79" s="192">
        <v>18</v>
      </c>
      <c r="W79" s="191"/>
      <c r="X79" s="191"/>
      <c r="Y79" s="193"/>
      <c r="Z79" s="194">
        <v>0</v>
      </c>
      <c r="AA79" s="192"/>
      <c r="AB79" s="251" t="s">
        <v>2068</v>
      </c>
      <c r="AC79" s="227" t="s">
        <v>1903</v>
      </c>
      <c r="AD79" s="195">
        <v>0.81818181818181823</v>
      </c>
      <c r="AE79" s="200">
        <v>0.5</v>
      </c>
      <c r="AF79" s="170"/>
      <c r="AG79" s="171"/>
      <c r="AH79" s="171"/>
      <c r="AI79" s="171"/>
      <c r="AJ79" s="171"/>
      <c r="AK79" s="171"/>
      <c r="AL79" s="171"/>
      <c r="AM79" s="171"/>
      <c r="AN79" s="171"/>
      <c r="AO79" s="171"/>
      <c r="AP79" s="171"/>
      <c r="AQ79" s="171"/>
      <c r="AR79" s="171"/>
      <c r="AS79" s="171"/>
      <c r="AT79" s="171"/>
      <c r="AU79" s="171"/>
      <c r="AV79" s="171"/>
      <c r="AW79" s="171"/>
      <c r="AX79" s="171" t="str">
        <f>"    " &amp; TEXT(AE79,"#0.00%") &amp; " " &amp; "권한/운영관리" &amp; "(이윤희)" &amp; " " &amp; IF(P79="","",TEXT(P79,"M/D-")) &amp; IF(Q79="","",TEXT(Q79,"M/D")) &amp; " "</f>
        <v xml:space="preserve">    50.00% 권한/운영관리(이윤희) 9/1-10/2 </v>
      </c>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71"/>
      <c r="CE79" s="171"/>
      <c r="CF79" s="171"/>
      <c r="CG79" s="171"/>
      <c r="CH79" s="171"/>
    </row>
    <row r="80" spans="1:86" ht="12" customHeight="1" outlineLevel="3">
      <c r="A80" s="189"/>
      <c r="B80" s="189"/>
      <c r="C80" s="189">
        <v>4</v>
      </c>
      <c r="D80" s="190" t="s">
        <v>1814</v>
      </c>
      <c r="E80" s="172"/>
      <c r="F80" s="172"/>
      <c r="G80" s="172"/>
      <c r="H80" s="172" t="s">
        <v>1665</v>
      </c>
      <c r="I80" s="172"/>
      <c r="J80" s="172"/>
      <c r="K80" s="172"/>
      <c r="L80" s="172"/>
      <c r="M80" s="172"/>
      <c r="N80" s="172"/>
      <c r="O80" s="172"/>
      <c r="P80" s="231">
        <v>46223</v>
      </c>
      <c r="Q80" s="231">
        <v>46241</v>
      </c>
      <c r="R80" s="172"/>
      <c r="S80" s="192">
        <v>15</v>
      </c>
      <c r="T80" s="192">
        <v>15</v>
      </c>
      <c r="U80" s="192">
        <v>15</v>
      </c>
      <c r="V80" s="192">
        <v>15</v>
      </c>
      <c r="W80" s="191"/>
      <c r="X80" s="191"/>
      <c r="Y80" s="193"/>
      <c r="Z80" s="194">
        <v>0</v>
      </c>
      <c r="AA80" s="192"/>
      <c r="AB80" s="222" t="s">
        <v>1714</v>
      </c>
      <c r="AC80" s="223" t="s">
        <v>1719</v>
      </c>
      <c r="AD80" s="195">
        <v>1</v>
      </c>
      <c r="AE80" s="198">
        <v>1</v>
      </c>
      <c r="AF80" s="170"/>
      <c r="AG80" s="171"/>
      <c r="AH80" s="171"/>
      <c r="AI80" s="171"/>
      <c r="AJ80" s="171"/>
      <c r="AK80" s="171"/>
      <c r="AL80" s="171"/>
      <c r="AM80" s="171"/>
      <c r="AN80" s="171"/>
      <c r="AO80" s="171"/>
      <c r="AP80" s="171"/>
      <c r="AQ80" s="171"/>
      <c r="AR80" s="171" t="str">
        <f>"      " &amp; TEXT(AE80,"#0.00%") &amp; " " &amp; "네이밍,코드스타일,디렉토리구조 정의" &amp; "(AA)" &amp; " " &amp; IF(P80="","",TEXT(P80,"M/D-")) &amp; IF(Q80="","",TEXT(Q80,"M/D")) &amp; " "</f>
        <v xml:space="preserve">      100.00% 네이밍,코드스타일,디렉토리구조 정의(AA) 7/20-8/7 </v>
      </c>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71"/>
      <c r="CE80" s="171"/>
      <c r="CF80" s="171"/>
      <c r="CG80" s="171"/>
      <c r="CH80" s="171"/>
    </row>
    <row r="81" spans="1:86" ht="12" customHeight="1" outlineLevel="3">
      <c r="A81" s="189"/>
      <c r="B81" s="189" t="s">
        <v>1387</v>
      </c>
      <c r="C81" s="189">
        <v>4</v>
      </c>
      <c r="D81" s="190" t="s">
        <v>1815</v>
      </c>
      <c r="E81" s="172"/>
      <c r="F81" s="172"/>
      <c r="G81" s="172"/>
      <c r="H81" s="172" t="s">
        <v>1666</v>
      </c>
      <c r="I81" s="172"/>
      <c r="J81" s="172"/>
      <c r="K81" s="172"/>
      <c r="L81" s="172"/>
      <c r="M81" s="172"/>
      <c r="N81" s="172"/>
      <c r="O81" s="172"/>
      <c r="P81" s="231">
        <v>46266</v>
      </c>
      <c r="Q81" s="231">
        <v>46318</v>
      </c>
      <c r="R81" s="172"/>
      <c r="S81" s="192">
        <v>432</v>
      </c>
      <c r="T81" s="192">
        <v>260</v>
      </c>
      <c r="U81" s="192">
        <v>35</v>
      </c>
      <c r="V81" s="192">
        <v>18</v>
      </c>
      <c r="W81" s="191"/>
      <c r="X81" s="191"/>
      <c r="Y81" s="193">
        <v>0</v>
      </c>
      <c r="Z81" s="194">
        <v>0</v>
      </c>
      <c r="AA81" s="192"/>
      <c r="AB81" s="226"/>
      <c r="AC81" s="223"/>
      <c r="AD81" s="195">
        <v>0.60185185185185186</v>
      </c>
      <c r="AE81" s="201">
        <v>0</v>
      </c>
      <c r="AF81" s="170"/>
      <c r="AG81" s="171"/>
      <c r="AH81" s="171"/>
      <c r="AI81" s="171"/>
      <c r="AJ81" s="171"/>
      <c r="AK81" s="171"/>
      <c r="AL81" s="171"/>
      <c r="AM81" s="171"/>
      <c r="AN81" s="171"/>
      <c r="AO81" s="171"/>
      <c r="AP81" s="171"/>
      <c r="AQ81" s="171"/>
      <c r="AR81" s="171"/>
      <c r="AS81" s="171"/>
      <c r="AT81" s="171"/>
      <c r="AU81" s="171"/>
      <c r="AV81" s="171" t="str">
        <f>"  " &amp; TEXT(AE81,"#0.00%") &amp; " "</f>
        <v xml:space="preserve">  0.00% </v>
      </c>
      <c r="AW81" s="171"/>
      <c r="AX81" s="171"/>
      <c r="AY81" s="171"/>
      <c r="AZ81" s="171"/>
      <c r="BA81" s="171"/>
      <c r="BB81" s="171"/>
      <c r="BC81" s="171" t="str">
        <f>"      " &amp; "페이지별 기능설명,사용자 Flow, 예외처리 로직상세 정의" &amp; " " &amp; IF(P81="","",TEXT(P81,"M/D-")) &amp; IF(Q81="","",TEXT(Q81,"M/D")) &amp; " "</f>
        <v xml:space="preserve">      페이지별 기능설명,사용자 Flow, 예외처리 로직상세 정의 9/1-10/23 </v>
      </c>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71"/>
      <c r="CE81" s="171"/>
      <c r="CF81" s="171"/>
      <c r="CG81" s="171"/>
      <c r="CH81" s="171"/>
    </row>
    <row r="82" spans="1:86" ht="12" customHeight="1" outlineLevel="4">
      <c r="A82" s="189"/>
      <c r="B82" s="189" t="s">
        <v>1387</v>
      </c>
      <c r="C82" s="189">
        <v>5</v>
      </c>
      <c r="D82" s="190" t="s">
        <v>1874</v>
      </c>
      <c r="E82" s="172"/>
      <c r="F82" s="172"/>
      <c r="G82" s="172"/>
      <c r="H82" s="172"/>
      <c r="I82" s="172" t="s">
        <v>1872</v>
      </c>
      <c r="J82" s="172"/>
      <c r="K82" s="172"/>
      <c r="L82" s="172"/>
      <c r="M82" s="172"/>
      <c r="N82" s="172"/>
      <c r="O82" s="172"/>
      <c r="P82" s="231">
        <v>46266</v>
      </c>
      <c r="Q82" s="231">
        <v>46311</v>
      </c>
      <c r="R82" s="172"/>
      <c r="S82" s="192">
        <v>260</v>
      </c>
      <c r="T82" s="192">
        <v>180</v>
      </c>
      <c r="U82" s="192">
        <v>30</v>
      </c>
      <c r="V82" s="192">
        <v>18</v>
      </c>
      <c r="W82" s="191"/>
      <c r="X82" s="191"/>
      <c r="Y82" s="193">
        <v>0</v>
      </c>
      <c r="Z82" s="194">
        <v>0</v>
      </c>
      <c r="AA82" s="192"/>
      <c r="AB82" s="226"/>
      <c r="AC82" s="223"/>
      <c r="AD82" s="195">
        <v>0.69230769230769229</v>
      </c>
      <c r="AE82" s="201">
        <v>0</v>
      </c>
      <c r="AF82" s="170"/>
      <c r="AG82" s="171"/>
      <c r="AH82" s="171"/>
      <c r="AI82" s="171"/>
      <c r="AJ82" s="171"/>
      <c r="AK82" s="171"/>
      <c r="AL82" s="171"/>
      <c r="AM82" s="171"/>
      <c r="AN82" s="171"/>
      <c r="AO82" s="171"/>
      <c r="AP82" s="171"/>
      <c r="AQ82" s="171"/>
      <c r="AR82" s="171"/>
      <c r="AS82" s="171"/>
      <c r="AT82" s="171"/>
      <c r="AU82" s="171"/>
      <c r="AV82" s="171" t="str">
        <f>"  " &amp; TEXT(AE82,"#0.00%") &amp; " "</f>
        <v xml:space="preserve">  0.00% </v>
      </c>
      <c r="AW82" s="171"/>
      <c r="AX82" s="171"/>
      <c r="AY82" s="171"/>
      <c r="AZ82" s="171"/>
      <c r="BA82" s="171"/>
      <c r="BB82" s="171" t="str">
        <f>"      " &amp; "Front Office(FO)" &amp; " " &amp; IF(P82="","",TEXT(P82,"M/D-")) &amp; IF(Q82="","",TEXT(Q82,"M/D")) &amp; " "</f>
        <v xml:space="preserve">      Front Office(FO) 9/1-10/16 </v>
      </c>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71"/>
      <c r="CE82" s="171"/>
      <c r="CF82" s="171"/>
      <c r="CG82" s="171"/>
      <c r="CH82" s="171"/>
    </row>
    <row r="83" spans="1:86" ht="12" customHeight="1" outlineLevel="5">
      <c r="A83" s="189"/>
      <c r="B83" s="189" t="s">
        <v>1387</v>
      </c>
      <c r="C83" s="189">
        <v>6</v>
      </c>
      <c r="D83" s="190" t="s">
        <v>1875</v>
      </c>
      <c r="E83" s="172"/>
      <c r="F83" s="172"/>
      <c r="G83" s="172"/>
      <c r="H83" s="172"/>
      <c r="I83" s="172"/>
      <c r="J83" s="172" t="s">
        <v>1920</v>
      </c>
      <c r="K83" s="172"/>
      <c r="L83" s="172"/>
      <c r="M83" s="172"/>
      <c r="N83" s="172"/>
      <c r="O83" s="172"/>
      <c r="P83" s="231"/>
      <c r="Q83" s="231"/>
      <c r="R83" s="172"/>
      <c r="S83" s="192">
        <v>0</v>
      </c>
      <c r="T83" s="192">
        <v>0</v>
      </c>
      <c r="U83" s="192">
        <v>0</v>
      </c>
      <c r="V83" s="192">
        <v>0</v>
      </c>
      <c r="W83" s="191"/>
      <c r="X83" s="191"/>
      <c r="Y83" s="193">
        <v>0</v>
      </c>
      <c r="Z83" s="194">
        <v>0</v>
      </c>
      <c r="AA83" s="192"/>
      <c r="AB83" s="307" t="s">
        <v>2069</v>
      </c>
      <c r="AC83" s="223"/>
      <c r="AD83" s="195">
        <v>0</v>
      </c>
      <c r="AE83" s="246">
        <v>0</v>
      </c>
      <c r="AF83" s="170"/>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71"/>
      <c r="CE83" s="171"/>
      <c r="CF83" s="171"/>
      <c r="CG83" s="171"/>
      <c r="CH83" s="171"/>
    </row>
    <row r="84" spans="1:86" ht="12" customHeight="1" outlineLevel="6">
      <c r="A84" s="189"/>
      <c r="B84" s="189"/>
      <c r="C84" s="189">
        <v>7</v>
      </c>
      <c r="D84" s="190" t="s">
        <v>2120</v>
      </c>
      <c r="E84" s="172"/>
      <c r="F84" s="172"/>
      <c r="G84" s="172"/>
      <c r="H84" s="172"/>
      <c r="I84" s="172"/>
      <c r="J84" s="172"/>
      <c r="K84" s="172" t="s">
        <v>2115</v>
      </c>
      <c r="L84" s="172"/>
      <c r="M84" s="172"/>
      <c r="N84" s="172"/>
      <c r="O84" s="172"/>
      <c r="P84" s="231"/>
      <c r="Q84" s="231"/>
      <c r="R84" s="172"/>
      <c r="S84" s="192">
        <v>0</v>
      </c>
      <c r="T84" s="192">
        <v>0</v>
      </c>
      <c r="U84" s="192">
        <v>0</v>
      </c>
      <c r="V84" s="192">
        <v>0</v>
      </c>
      <c r="W84" s="191"/>
      <c r="X84" s="191"/>
      <c r="Y84" s="193">
        <v>0</v>
      </c>
      <c r="Z84" s="194">
        <v>0</v>
      </c>
      <c r="AA84" s="192"/>
      <c r="AB84" s="307"/>
      <c r="AC84" s="223"/>
      <c r="AD84" s="195">
        <v>0</v>
      </c>
      <c r="AE84" s="246">
        <v>0</v>
      </c>
      <c r="AF84" s="170"/>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71"/>
      <c r="CE84" s="171"/>
      <c r="CF84" s="171"/>
      <c r="CG84" s="171"/>
      <c r="CH84" s="171"/>
    </row>
    <row r="85" spans="1:86" ht="12" customHeight="1" outlineLevel="6">
      <c r="A85" s="189"/>
      <c r="B85" s="189"/>
      <c r="C85" s="189">
        <v>7</v>
      </c>
      <c r="D85" s="190" t="s">
        <v>2121</v>
      </c>
      <c r="E85" s="172"/>
      <c r="F85" s="172"/>
      <c r="G85" s="172"/>
      <c r="H85" s="172"/>
      <c r="I85" s="172"/>
      <c r="J85" s="172"/>
      <c r="K85" s="172" t="s">
        <v>2117</v>
      </c>
      <c r="L85" s="172"/>
      <c r="M85" s="172"/>
      <c r="N85" s="172"/>
      <c r="O85" s="172"/>
      <c r="P85" s="231"/>
      <c r="Q85" s="231"/>
      <c r="R85" s="172"/>
      <c r="S85" s="192">
        <v>0</v>
      </c>
      <c r="T85" s="192">
        <v>0</v>
      </c>
      <c r="U85" s="192">
        <v>0</v>
      </c>
      <c r="V85" s="192">
        <v>0</v>
      </c>
      <c r="W85" s="191"/>
      <c r="X85" s="191"/>
      <c r="Y85" s="193">
        <v>0</v>
      </c>
      <c r="Z85" s="194">
        <v>0</v>
      </c>
      <c r="AA85" s="192"/>
      <c r="AB85" s="307"/>
      <c r="AC85" s="223"/>
      <c r="AD85" s="195">
        <v>0</v>
      </c>
      <c r="AE85" s="246">
        <v>0</v>
      </c>
      <c r="AF85" s="170"/>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71"/>
      <c r="CE85" s="171"/>
      <c r="CF85" s="171"/>
      <c r="CG85" s="171"/>
      <c r="CH85" s="171"/>
    </row>
    <row r="86" spans="1:86" ht="12" customHeight="1" outlineLevel="6">
      <c r="A86" s="189"/>
      <c r="B86" s="189"/>
      <c r="C86" s="189">
        <v>7</v>
      </c>
      <c r="D86" s="190" t="s">
        <v>2122</v>
      </c>
      <c r="E86" s="172"/>
      <c r="F86" s="172"/>
      <c r="G86" s="172"/>
      <c r="H86" s="172"/>
      <c r="I86" s="172"/>
      <c r="J86" s="172"/>
      <c r="K86" s="172" t="s">
        <v>2116</v>
      </c>
      <c r="L86" s="172"/>
      <c r="M86" s="172"/>
      <c r="N86" s="172"/>
      <c r="O86" s="172"/>
      <c r="P86" s="231"/>
      <c r="Q86" s="231"/>
      <c r="R86" s="172"/>
      <c r="S86" s="192">
        <v>0</v>
      </c>
      <c r="T86" s="192">
        <v>0</v>
      </c>
      <c r="U86" s="192">
        <v>0</v>
      </c>
      <c r="V86" s="192">
        <v>0</v>
      </c>
      <c r="W86" s="191"/>
      <c r="X86" s="191"/>
      <c r="Y86" s="193">
        <v>0</v>
      </c>
      <c r="Z86" s="194">
        <v>0</v>
      </c>
      <c r="AA86" s="192"/>
      <c r="AB86" s="307"/>
      <c r="AC86" s="223"/>
      <c r="AD86" s="195">
        <v>0</v>
      </c>
      <c r="AE86" s="246">
        <v>0</v>
      </c>
      <c r="AF86" s="170"/>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71"/>
      <c r="CE86" s="171"/>
      <c r="CF86" s="171"/>
      <c r="CG86" s="171"/>
      <c r="CH86" s="171"/>
    </row>
    <row r="87" spans="1:86" ht="12" customHeight="1" outlineLevel="6">
      <c r="A87" s="189"/>
      <c r="B87" s="189"/>
      <c r="C87" s="189">
        <v>7</v>
      </c>
      <c r="D87" s="190" t="s">
        <v>2123</v>
      </c>
      <c r="E87" s="172"/>
      <c r="F87" s="172"/>
      <c r="G87" s="172"/>
      <c r="H87" s="172"/>
      <c r="I87" s="172"/>
      <c r="J87" s="172"/>
      <c r="K87" s="172" t="s">
        <v>2118</v>
      </c>
      <c r="L87" s="172"/>
      <c r="M87" s="172"/>
      <c r="N87" s="172"/>
      <c r="O87" s="172"/>
      <c r="P87" s="231"/>
      <c r="Q87" s="231"/>
      <c r="R87" s="172"/>
      <c r="S87" s="192">
        <v>0</v>
      </c>
      <c r="T87" s="192">
        <v>0</v>
      </c>
      <c r="U87" s="192">
        <v>0</v>
      </c>
      <c r="V87" s="192">
        <v>0</v>
      </c>
      <c r="W87" s="191"/>
      <c r="X87" s="191"/>
      <c r="Y87" s="193">
        <v>0</v>
      </c>
      <c r="Z87" s="194">
        <v>0</v>
      </c>
      <c r="AA87" s="192"/>
      <c r="AB87" s="307"/>
      <c r="AC87" s="223"/>
      <c r="AD87" s="195">
        <v>0</v>
      </c>
      <c r="AE87" s="246">
        <v>0</v>
      </c>
      <c r="AF87" s="170"/>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71"/>
      <c r="CE87" s="171"/>
      <c r="CF87" s="171"/>
      <c r="CG87" s="171"/>
      <c r="CH87" s="171"/>
    </row>
    <row r="88" spans="1:86" ht="12" customHeight="1" outlineLevel="6">
      <c r="A88" s="189"/>
      <c r="B88" s="189"/>
      <c r="C88" s="189">
        <v>7</v>
      </c>
      <c r="D88" s="190" t="s">
        <v>2124</v>
      </c>
      <c r="E88" s="172"/>
      <c r="F88" s="172"/>
      <c r="G88" s="172"/>
      <c r="H88" s="172"/>
      <c r="I88" s="172"/>
      <c r="J88" s="172"/>
      <c r="K88" s="172" t="s">
        <v>2119</v>
      </c>
      <c r="L88" s="172"/>
      <c r="M88" s="172"/>
      <c r="N88" s="172"/>
      <c r="O88" s="172"/>
      <c r="P88" s="231"/>
      <c r="Q88" s="231"/>
      <c r="R88" s="172"/>
      <c r="S88" s="192">
        <v>0</v>
      </c>
      <c r="T88" s="192">
        <v>0</v>
      </c>
      <c r="U88" s="192">
        <v>0</v>
      </c>
      <c r="V88" s="192">
        <v>0</v>
      </c>
      <c r="W88" s="191"/>
      <c r="X88" s="191"/>
      <c r="Y88" s="193">
        <v>0</v>
      </c>
      <c r="Z88" s="194">
        <v>0</v>
      </c>
      <c r="AA88" s="192"/>
      <c r="AB88" s="307"/>
      <c r="AC88" s="223"/>
      <c r="AD88" s="195">
        <v>0</v>
      </c>
      <c r="AE88" s="246">
        <v>0</v>
      </c>
      <c r="AF88" s="170"/>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71"/>
      <c r="CE88" s="171"/>
      <c r="CF88" s="171"/>
      <c r="CG88" s="171"/>
      <c r="CH88" s="171"/>
    </row>
    <row r="89" spans="1:86" ht="12" customHeight="1" outlineLevel="5">
      <c r="A89" s="189"/>
      <c r="B89" s="189" t="s">
        <v>1387</v>
      </c>
      <c r="C89" s="189">
        <v>6</v>
      </c>
      <c r="D89" s="190" t="s">
        <v>1876</v>
      </c>
      <c r="E89" s="172"/>
      <c r="F89" s="172"/>
      <c r="G89" s="172"/>
      <c r="H89" s="172"/>
      <c r="I89" s="172"/>
      <c r="J89" s="172" t="s">
        <v>1904</v>
      </c>
      <c r="K89" s="172"/>
      <c r="L89" s="172"/>
      <c r="M89" s="172"/>
      <c r="N89" s="172"/>
      <c r="O89" s="172"/>
      <c r="P89" s="230"/>
      <c r="Q89" s="230"/>
      <c r="R89" s="172"/>
      <c r="S89" s="192">
        <v>0</v>
      </c>
      <c r="T89" s="192">
        <v>0</v>
      </c>
      <c r="U89" s="192">
        <v>0</v>
      </c>
      <c r="V89" s="192">
        <v>0</v>
      </c>
      <c r="W89" s="191"/>
      <c r="X89" s="191"/>
      <c r="Y89" s="193">
        <v>0</v>
      </c>
      <c r="Z89" s="194">
        <v>0</v>
      </c>
      <c r="AA89" s="192"/>
      <c r="AB89" s="251" t="s">
        <v>2069</v>
      </c>
      <c r="AC89" s="223" t="s">
        <v>1766</v>
      </c>
      <c r="AD89" s="195">
        <v>0</v>
      </c>
      <c r="AE89" s="246">
        <v>0</v>
      </c>
      <c r="AF89" s="170"/>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71"/>
      <c r="CE89" s="171"/>
      <c r="CF89" s="171"/>
      <c r="CG89" s="171"/>
      <c r="CH89" s="171"/>
    </row>
    <row r="90" spans="1:86" ht="12" customHeight="1" outlineLevel="6">
      <c r="A90" s="189"/>
      <c r="B90" s="189"/>
      <c r="C90" s="189">
        <v>7</v>
      </c>
      <c r="D90" s="190" t="s">
        <v>2109</v>
      </c>
      <c r="E90" s="172"/>
      <c r="F90" s="172"/>
      <c r="G90" s="172"/>
      <c r="H90" s="172"/>
      <c r="I90" s="172"/>
      <c r="J90" s="172"/>
      <c r="K90" s="172" t="s">
        <v>2105</v>
      </c>
      <c r="L90" s="172"/>
      <c r="M90" s="172"/>
      <c r="N90" s="172"/>
      <c r="O90" s="172"/>
      <c r="P90" s="230"/>
      <c r="Q90" s="230"/>
      <c r="R90" s="172"/>
      <c r="S90" s="192">
        <v>0</v>
      </c>
      <c r="T90" s="192">
        <v>0</v>
      </c>
      <c r="U90" s="192">
        <v>0</v>
      </c>
      <c r="V90" s="192">
        <v>0</v>
      </c>
      <c r="W90" s="191"/>
      <c r="X90" s="191"/>
      <c r="Y90" s="193">
        <v>0</v>
      </c>
      <c r="Z90" s="194">
        <v>0</v>
      </c>
      <c r="AA90" s="192"/>
      <c r="AB90" s="251"/>
      <c r="AC90" s="223"/>
      <c r="AD90" s="195">
        <v>0</v>
      </c>
      <c r="AE90" s="246">
        <v>0</v>
      </c>
      <c r="AF90" s="170"/>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71"/>
      <c r="CE90" s="171"/>
      <c r="CF90" s="171"/>
      <c r="CG90" s="171"/>
      <c r="CH90" s="171"/>
    </row>
    <row r="91" spans="1:86" ht="12" customHeight="1" outlineLevel="6">
      <c r="A91" s="189"/>
      <c r="B91" s="189" t="s">
        <v>1387</v>
      </c>
      <c r="C91" s="189">
        <v>7</v>
      </c>
      <c r="D91" s="190" t="s">
        <v>2110</v>
      </c>
      <c r="E91" s="172"/>
      <c r="F91" s="172"/>
      <c r="G91" s="172"/>
      <c r="H91" s="172"/>
      <c r="I91" s="172"/>
      <c r="J91" s="172"/>
      <c r="K91" s="172" t="s">
        <v>1917</v>
      </c>
      <c r="L91" s="172"/>
      <c r="M91" s="172"/>
      <c r="N91" s="172"/>
      <c r="O91" s="172"/>
      <c r="P91" s="230"/>
      <c r="Q91" s="230"/>
      <c r="R91" s="172"/>
      <c r="S91" s="192">
        <v>0</v>
      </c>
      <c r="T91" s="192">
        <v>0</v>
      </c>
      <c r="U91" s="192">
        <v>0</v>
      </c>
      <c r="V91" s="192">
        <v>0</v>
      </c>
      <c r="W91" s="191"/>
      <c r="X91" s="191"/>
      <c r="Y91" s="193">
        <v>0</v>
      </c>
      <c r="Z91" s="194">
        <v>0</v>
      </c>
      <c r="AA91" s="192"/>
      <c r="AB91" s="251"/>
      <c r="AC91" s="223"/>
      <c r="AD91" s="195">
        <v>0</v>
      </c>
      <c r="AE91" s="246">
        <v>0</v>
      </c>
      <c r="AF91" s="170"/>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71"/>
      <c r="CE91" s="171"/>
      <c r="CF91" s="171"/>
      <c r="CG91" s="171"/>
      <c r="CH91" s="171"/>
    </row>
    <row r="92" spans="1:86" ht="12" customHeight="1" outlineLevel="7">
      <c r="A92" s="189"/>
      <c r="B92" s="189"/>
      <c r="C92" s="189">
        <v>8</v>
      </c>
      <c r="D92" s="190" t="s">
        <v>2223</v>
      </c>
      <c r="E92" s="172"/>
      <c r="F92" s="172"/>
      <c r="G92" s="172"/>
      <c r="H92" s="172"/>
      <c r="I92" s="172"/>
      <c r="J92" s="172"/>
      <c r="K92" s="172"/>
      <c r="L92" s="172" t="s">
        <v>2215</v>
      </c>
      <c r="M92" s="172"/>
      <c r="N92" s="172"/>
      <c r="O92" s="172"/>
      <c r="P92" s="230"/>
      <c r="Q92" s="230"/>
      <c r="R92" s="172"/>
      <c r="S92" s="192">
        <v>0</v>
      </c>
      <c r="T92" s="192">
        <v>0</v>
      </c>
      <c r="U92" s="192">
        <v>0</v>
      </c>
      <c r="V92" s="192">
        <v>0</v>
      </c>
      <c r="W92" s="191"/>
      <c r="X92" s="191"/>
      <c r="Y92" s="193">
        <v>0</v>
      </c>
      <c r="Z92" s="194">
        <v>0</v>
      </c>
      <c r="AA92" s="192"/>
      <c r="AB92" s="251"/>
      <c r="AC92" s="223"/>
      <c r="AD92" s="195">
        <v>0</v>
      </c>
      <c r="AE92" s="246">
        <v>0</v>
      </c>
      <c r="AF92" s="170"/>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71"/>
      <c r="CE92" s="171"/>
      <c r="CF92" s="171"/>
      <c r="CG92" s="171"/>
      <c r="CH92" s="171"/>
    </row>
    <row r="93" spans="1:86" ht="12" customHeight="1" outlineLevel="7">
      <c r="A93" s="189"/>
      <c r="B93" s="189"/>
      <c r="C93" s="189">
        <v>8</v>
      </c>
      <c r="D93" s="190" t="s">
        <v>2224</v>
      </c>
      <c r="E93" s="172"/>
      <c r="F93" s="172"/>
      <c r="G93" s="172"/>
      <c r="H93" s="172"/>
      <c r="I93" s="172"/>
      <c r="J93" s="172"/>
      <c r="K93" s="172"/>
      <c r="L93" s="172" t="s">
        <v>1913</v>
      </c>
      <c r="M93" s="172"/>
      <c r="N93" s="172"/>
      <c r="O93" s="172"/>
      <c r="P93" s="230"/>
      <c r="Q93" s="230"/>
      <c r="R93" s="172"/>
      <c r="S93" s="192">
        <v>0</v>
      </c>
      <c r="T93" s="192">
        <v>0</v>
      </c>
      <c r="U93" s="192">
        <v>0</v>
      </c>
      <c r="V93" s="192">
        <v>0</v>
      </c>
      <c r="W93" s="191"/>
      <c r="X93" s="191"/>
      <c r="Y93" s="193">
        <v>0</v>
      </c>
      <c r="Z93" s="194">
        <v>0</v>
      </c>
      <c r="AA93" s="192"/>
      <c r="AB93" s="251"/>
      <c r="AC93" s="223"/>
      <c r="AD93" s="195">
        <v>0</v>
      </c>
      <c r="AE93" s="246">
        <v>0</v>
      </c>
      <c r="AF93" s="170"/>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row>
    <row r="94" spans="1:86" ht="12" customHeight="1" outlineLevel="7">
      <c r="A94" s="189"/>
      <c r="B94" s="189"/>
      <c r="C94" s="189">
        <v>8</v>
      </c>
      <c r="D94" s="190" t="s">
        <v>2225</v>
      </c>
      <c r="E94" s="172"/>
      <c r="F94" s="172"/>
      <c r="G94" s="172"/>
      <c r="H94" s="172"/>
      <c r="I94" s="172"/>
      <c r="J94" s="172"/>
      <c r="K94" s="172"/>
      <c r="L94" s="172" t="s">
        <v>2216</v>
      </c>
      <c r="M94" s="172"/>
      <c r="N94" s="172"/>
      <c r="O94" s="172"/>
      <c r="P94" s="230"/>
      <c r="Q94" s="230"/>
      <c r="R94" s="172"/>
      <c r="S94" s="192">
        <v>0</v>
      </c>
      <c r="T94" s="192">
        <v>0</v>
      </c>
      <c r="U94" s="192">
        <v>0</v>
      </c>
      <c r="V94" s="192">
        <v>0</v>
      </c>
      <c r="W94" s="191"/>
      <c r="X94" s="191"/>
      <c r="Y94" s="193">
        <v>0</v>
      </c>
      <c r="Z94" s="194">
        <v>0</v>
      </c>
      <c r="AA94" s="192"/>
      <c r="AB94" s="251"/>
      <c r="AC94" s="223"/>
      <c r="AD94" s="195">
        <v>0</v>
      </c>
      <c r="AE94" s="246">
        <v>0</v>
      </c>
      <c r="AF94" s="170"/>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row>
    <row r="95" spans="1:86" ht="12" customHeight="1" outlineLevel="7">
      <c r="A95" s="189"/>
      <c r="B95" s="189"/>
      <c r="C95" s="189">
        <v>8</v>
      </c>
      <c r="D95" s="190" t="s">
        <v>2226</v>
      </c>
      <c r="E95" s="172"/>
      <c r="F95" s="172"/>
      <c r="G95" s="172"/>
      <c r="H95" s="172"/>
      <c r="I95" s="172"/>
      <c r="J95" s="172"/>
      <c r="K95" s="172"/>
      <c r="L95" s="172" t="s">
        <v>2217</v>
      </c>
      <c r="M95" s="172"/>
      <c r="N95" s="172"/>
      <c r="O95" s="172"/>
      <c r="P95" s="230"/>
      <c r="Q95" s="230"/>
      <c r="R95" s="172"/>
      <c r="S95" s="192">
        <v>0</v>
      </c>
      <c r="T95" s="192">
        <v>0</v>
      </c>
      <c r="U95" s="192">
        <v>0</v>
      </c>
      <c r="V95" s="192">
        <v>0</v>
      </c>
      <c r="W95" s="191"/>
      <c r="X95" s="191"/>
      <c r="Y95" s="193">
        <v>0</v>
      </c>
      <c r="Z95" s="194">
        <v>0</v>
      </c>
      <c r="AA95" s="192"/>
      <c r="AB95" s="251"/>
      <c r="AC95" s="223"/>
      <c r="AD95" s="195">
        <v>0</v>
      </c>
      <c r="AE95" s="246">
        <v>0</v>
      </c>
      <c r="AF95" s="170"/>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71"/>
      <c r="CE95" s="171"/>
      <c r="CF95" s="171"/>
      <c r="CG95" s="171"/>
      <c r="CH95" s="171"/>
    </row>
    <row r="96" spans="1:86" ht="12" customHeight="1" outlineLevel="7">
      <c r="A96" s="189"/>
      <c r="B96" s="189"/>
      <c r="C96" s="189">
        <v>8</v>
      </c>
      <c r="D96" s="190" t="s">
        <v>2227</v>
      </c>
      <c r="E96" s="172"/>
      <c r="F96" s="172"/>
      <c r="G96" s="172"/>
      <c r="H96" s="172"/>
      <c r="I96" s="172"/>
      <c r="J96" s="172"/>
      <c r="K96" s="172"/>
      <c r="L96" s="172" t="s">
        <v>2218</v>
      </c>
      <c r="M96" s="172"/>
      <c r="N96" s="172"/>
      <c r="O96" s="172"/>
      <c r="P96" s="230"/>
      <c r="Q96" s="230"/>
      <c r="R96" s="172"/>
      <c r="S96" s="192">
        <v>0</v>
      </c>
      <c r="T96" s="192">
        <v>0</v>
      </c>
      <c r="U96" s="192">
        <v>0</v>
      </c>
      <c r="V96" s="192">
        <v>0</v>
      </c>
      <c r="W96" s="191"/>
      <c r="X96" s="191"/>
      <c r="Y96" s="193">
        <v>0</v>
      </c>
      <c r="Z96" s="194">
        <v>0</v>
      </c>
      <c r="AA96" s="192"/>
      <c r="AB96" s="251"/>
      <c r="AC96" s="223"/>
      <c r="AD96" s="195">
        <v>0</v>
      </c>
      <c r="AE96" s="246">
        <v>0</v>
      </c>
      <c r="AF96" s="170"/>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71"/>
      <c r="CE96" s="171"/>
      <c r="CF96" s="171"/>
      <c r="CG96" s="171"/>
      <c r="CH96" s="171"/>
    </row>
    <row r="97" spans="1:86" ht="12" customHeight="1" outlineLevel="7">
      <c r="A97" s="189"/>
      <c r="B97" s="189"/>
      <c r="C97" s="189">
        <v>8</v>
      </c>
      <c r="D97" s="190" t="s">
        <v>2228</v>
      </c>
      <c r="E97" s="172"/>
      <c r="F97" s="172"/>
      <c r="G97" s="172"/>
      <c r="H97" s="172"/>
      <c r="I97" s="172"/>
      <c r="J97" s="172"/>
      <c r="K97" s="172"/>
      <c r="L97" s="172" t="s">
        <v>2219</v>
      </c>
      <c r="M97" s="172"/>
      <c r="N97" s="172"/>
      <c r="O97" s="172"/>
      <c r="P97" s="230"/>
      <c r="Q97" s="230"/>
      <c r="R97" s="172"/>
      <c r="S97" s="192">
        <v>0</v>
      </c>
      <c r="T97" s="192">
        <v>0</v>
      </c>
      <c r="U97" s="192">
        <v>0</v>
      </c>
      <c r="V97" s="192">
        <v>0</v>
      </c>
      <c r="W97" s="191"/>
      <c r="X97" s="191"/>
      <c r="Y97" s="193">
        <v>0</v>
      </c>
      <c r="Z97" s="194">
        <v>0</v>
      </c>
      <c r="AA97" s="192"/>
      <c r="AB97" s="251"/>
      <c r="AC97" s="223"/>
      <c r="AD97" s="195">
        <v>0</v>
      </c>
      <c r="AE97" s="246">
        <v>0</v>
      </c>
      <c r="AF97" s="170"/>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71"/>
      <c r="CE97" s="171"/>
      <c r="CF97" s="171"/>
      <c r="CG97" s="171"/>
      <c r="CH97" s="171"/>
    </row>
    <row r="98" spans="1:86" ht="12" customHeight="1" outlineLevel="7">
      <c r="A98" s="189"/>
      <c r="B98" s="189"/>
      <c r="C98" s="189">
        <v>8</v>
      </c>
      <c r="D98" s="190" t="s">
        <v>2229</v>
      </c>
      <c r="E98" s="172"/>
      <c r="F98" s="172"/>
      <c r="G98" s="172"/>
      <c r="H98" s="172"/>
      <c r="I98" s="172"/>
      <c r="J98" s="172"/>
      <c r="K98" s="172"/>
      <c r="L98" s="172" t="s">
        <v>2220</v>
      </c>
      <c r="M98" s="172"/>
      <c r="N98" s="172"/>
      <c r="O98" s="172"/>
      <c r="P98" s="230"/>
      <c r="Q98" s="230"/>
      <c r="R98" s="172"/>
      <c r="S98" s="192">
        <v>0</v>
      </c>
      <c r="T98" s="192">
        <v>0</v>
      </c>
      <c r="U98" s="192">
        <v>0</v>
      </c>
      <c r="V98" s="192">
        <v>0</v>
      </c>
      <c r="W98" s="191"/>
      <c r="X98" s="191"/>
      <c r="Y98" s="193">
        <v>0</v>
      </c>
      <c r="Z98" s="194">
        <v>0</v>
      </c>
      <c r="AA98" s="192"/>
      <c r="AB98" s="251"/>
      <c r="AC98" s="223"/>
      <c r="AD98" s="195">
        <v>0</v>
      </c>
      <c r="AE98" s="246">
        <v>0</v>
      </c>
      <c r="AF98" s="170"/>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71"/>
      <c r="CE98" s="171"/>
      <c r="CF98" s="171"/>
      <c r="CG98" s="171"/>
      <c r="CH98" s="171"/>
    </row>
    <row r="99" spans="1:86" ht="12" customHeight="1" outlineLevel="7">
      <c r="A99" s="189"/>
      <c r="B99" s="189"/>
      <c r="C99" s="189">
        <v>8</v>
      </c>
      <c r="D99" s="190" t="s">
        <v>2230</v>
      </c>
      <c r="E99" s="172"/>
      <c r="F99" s="172"/>
      <c r="G99" s="172"/>
      <c r="H99" s="172"/>
      <c r="I99" s="172"/>
      <c r="J99" s="172"/>
      <c r="K99" s="172"/>
      <c r="L99" s="172" t="s">
        <v>2221</v>
      </c>
      <c r="M99" s="172"/>
      <c r="N99" s="172"/>
      <c r="O99" s="172"/>
      <c r="P99" s="230"/>
      <c r="Q99" s="230"/>
      <c r="R99" s="172"/>
      <c r="S99" s="192">
        <v>0</v>
      </c>
      <c r="T99" s="192">
        <v>0</v>
      </c>
      <c r="U99" s="192">
        <v>0</v>
      </c>
      <c r="V99" s="192">
        <v>0</v>
      </c>
      <c r="W99" s="191"/>
      <c r="X99" s="191"/>
      <c r="Y99" s="193">
        <v>0</v>
      </c>
      <c r="Z99" s="194">
        <v>0</v>
      </c>
      <c r="AA99" s="192"/>
      <c r="AB99" s="251"/>
      <c r="AC99" s="223"/>
      <c r="AD99" s="195">
        <v>0</v>
      </c>
      <c r="AE99" s="246">
        <v>0</v>
      </c>
      <c r="AF99" s="170"/>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71"/>
      <c r="CE99" s="171"/>
      <c r="CF99" s="171"/>
      <c r="CG99" s="171"/>
      <c r="CH99" s="171"/>
    </row>
    <row r="100" spans="1:86" ht="12" customHeight="1" outlineLevel="7">
      <c r="A100" s="189"/>
      <c r="B100" s="189"/>
      <c r="C100" s="189">
        <v>8</v>
      </c>
      <c r="D100" s="190" t="s">
        <v>2231</v>
      </c>
      <c r="E100" s="172"/>
      <c r="F100" s="172"/>
      <c r="G100" s="172"/>
      <c r="H100" s="172"/>
      <c r="I100" s="172"/>
      <c r="J100" s="172"/>
      <c r="K100" s="172"/>
      <c r="L100" s="172" t="s">
        <v>2222</v>
      </c>
      <c r="M100" s="172"/>
      <c r="N100" s="172"/>
      <c r="O100" s="172"/>
      <c r="P100" s="230"/>
      <c r="Q100" s="230"/>
      <c r="R100" s="172"/>
      <c r="S100" s="192">
        <v>0</v>
      </c>
      <c r="T100" s="192">
        <v>0</v>
      </c>
      <c r="U100" s="192">
        <v>0</v>
      </c>
      <c r="V100" s="192">
        <v>0</v>
      </c>
      <c r="W100" s="191"/>
      <c r="X100" s="191"/>
      <c r="Y100" s="193">
        <v>0</v>
      </c>
      <c r="Z100" s="194">
        <v>0</v>
      </c>
      <c r="AA100" s="192"/>
      <c r="AB100" s="251"/>
      <c r="AC100" s="223"/>
      <c r="AD100" s="195">
        <v>0</v>
      </c>
      <c r="AE100" s="246">
        <v>0</v>
      </c>
      <c r="AF100" s="170"/>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71"/>
      <c r="CE100" s="171"/>
      <c r="CF100" s="171"/>
      <c r="CG100" s="171"/>
      <c r="CH100" s="171"/>
    </row>
    <row r="101" spans="1:86" ht="12" customHeight="1" outlineLevel="5">
      <c r="A101" s="189"/>
      <c r="B101" s="189"/>
      <c r="C101" s="189">
        <v>6</v>
      </c>
      <c r="D101" s="190" t="s">
        <v>1877</v>
      </c>
      <c r="E101" s="172"/>
      <c r="F101" s="172"/>
      <c r="G101" s="172"/>
      <c r="H101" s="172"/>
      <c r="I101" s="172"/>
      <c r="J101" s="172" t="s">
        <v>2020</v>
      </c>
      <c r="K101" s="172"/>
      <c r="L101" s="172"/>
      <c r="M101" s="172"/>
      <c r="N101" s="172"/>
      <c r="O101" s="172"/>
      <c r="P101" s="230">
        <v>46266</v>
      </c>
      <c r="Q101" s="230">
        <v>46295</v>
      </c>
      <c r="R101" s="172"/>
      <c r="S101" s="192">
        <v>20</v>
      </c>
      <c r="T101" s="192">
        <v>18</v>
      </c>
      <c r="U101" s="192">
        <v>20</v>
      </c>
      <c r="V101" s="192">
        <v>18</v>
      </c>
      <c r="W101" s="191"/>
      <c r="X101" s="191"/>
      <c r="Y101" s="193"/>
      <c r="Z101" s="194">
        <v>0</v>
      </c>
      <c r="AA101" s="192"/>
      <c r="AB101" s="251" t="s">
        <v>2063</v>
      </c>
      <c r="AC101" s="223" t="s">
        <v>1766</v>
      </c>
      <c r="AD101" s="195">
        <v>0.9</v>
      </c>
      <c r="AE101" s="200">
        <v>0</v>
      </c>
      <c r="AF101" s="170"/>
      <c r="AG101" s="171"/>
      <c r="AH101" s="171"/>
      <c r="AI101" s="171"/>
      <c r="AJ101" s="171"/>
      <c r="AK101" s="171"/>
      <c r="AL101" s="171"/>
      <c r="AM101" s="171"/>
      <c r="AN101" s="171"/>
      <c r="AO101" s="171"/>
      <c r="AP101" s="171"/>
      <c r="AQ101" s="171"/>
      <c r="AR101" s="171"/>
      <c r="AS101" s="171"/>
      <c r="AT101" s="171"/>
      <c r="AU101" s="171"/>
      <c r="AV101" s="171" t="str">
        <f>"  " &amp; TEXT(AE101,"#0.00%") &amp; " "</f>
        <v xml:space="preserve">  0.00% </v>
      </c>
      <c r="AW101" s="171"/>
      <c r="AX101" s="171"/>
      <c r="AY101" s="171"/>
      <c r="AZ101" s="171" t="str">
        <f>"    " &amp; "사용처" &amp; "(김수현)" &amp; " " &amp; IF(P101="","",TEXT(P101,"M/D-")) &amp; IF(Q101="","",TEXT(Q101,"M/D")) &amp; " "</f>
        <v xml:space="preserve">    사용처(김수현) 9/1-9/30 </v>
      </c>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71"/>
      <c r="CE101" s="171"/>
      <c r="CF101" s="171"/>
      <c r="CG101" s="171"/>
      <c r="CH101" s="171"/>
    </row>
    <row r="102" spans="1:86" ht="12" customHeight="1" outlineLevel="5">
      <c r="A102" s="189"/>
      <c r="B102" s="189"/>
      <c r="C102" s="189">
        <v>6</v>
      </c>
      <c r="D102" s="190" t="s">
        <v>1878</v>
      </c>
      <c r="E102" s="172"/>
      <c r="F102" s="172"/>
      <c r="G102" s="172"/>
      <c r="H102" s="172"/>
      <c r="I102" s="172"/>
      <c r="J102" s="172" t="s">
        <v>1913</v>
      </c>
      <c r="K102" s="172"/>
      <c r="L102" s="172"/>
      <c r="M102" s="172"/>
      <c r="N102" s="172"/>
      <c r="O102" s="172"/>
      <c r="P102" s="230">
        <v>46266</v>
      </c>
      <c r="Q102" s="230">
        <v>46304</v>
      </c>
      <c r="R102" s="172"/>
      <c r="S102" s="192">
        <v>25</v>
      </c>
      <c r="T102" s="192">
        <v>18</v>
      </c>
      <c r="U102" s="192">
        <v>25</v>
      </c>
      <c r="V102" s="192">
        <v>18</v>
      </c>
      <c r="W102" s="191"/>
      <c r="X102" s="191"/>
      <c r="Y102" s="193"/>
      <c r="Z102" s="194">
        <v>0</v>
      </c>
      <c r="AA102" s="192"/>
      <c r="AB102" s="251" t="s">
        <v>2069</v>
      </c>
      <c r="AC102" s="223" t="s">
        <v>1766</v>
      </c>
      <c r="AD102" s="195">
        <v>0.72</v>
      </c>
      <c r="AE102" s="200">
        <v>0</v>
      </c>
      <c r="AF102" s="170"/>
      <c r="AG102" s="171"/>
      <c r="AH102" s="171"/>
      <c r="AI102" s="171"/>
      <c r="AJ102" s="171"/>
      <c r="AK102" s="171"/>
      <c r="AL102" s="171"/>
      <c r="AM102" s="171"/>
      <c r="AN102" s="171"/>
      <c r="AO102" s="171"/>
      <c r="AP102" s="171"/>
      <c r="AQ102" s="171"/>
      <c r="AR102" s="171"/>
      <c r="AS102" s="171"/>
      <c r="AT102" s="171"/>
      <c r="AU102" s="171"/>
      <c r="AV102" s="171" t="str">
        <f>"  " &amp; TEXT(AE102,"#0.00%") &amp; " "</f>
        <v xml:space="preserve">  0.00% </v>
      </c>
      <c r="AW102" s="171"/>
      <c r="AX102" s="171"/>
      <c r="AY102" s="171"/>
      <c r="AZ102" s="171"/>
      <c r="BA102" s="171" t="str">
        <f>"      " &amp; "월렛" &amp; "(오지원)" &amp; " " &amp; IF(P102="","",TEXT(P102,"M/D-")) &amp; IF(Q102="","",TEXT(Q102,"M/D")) &amp; " "</f>
        <v xml:space="preserve">      월렛(오지원) 9/1-10/9 </v>
      </c>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71"/>
      <c r="CE102" s="171"/>
      <c r="CF102" s="171"/>
      <c r="CG102" s="171"/>
      <c r="CH102" s="171"/>
    </row>
    <row r="103" spans="1:86" ht="12" customHeight="1" outlineLevel="5">
      <c r="A103" s="189"/>
      <c r="B103" s="189"/>
      <c r="C103" s="189">
        <v>6</v>
      </c>
      <c r="D103" s="190" t="s">
        <v>1879</v>
      </c>
      <c r="E103" s="172"/>
      <c r="F103" s="172"/>
      <c r="G103" s="172"/>
      <c r="H103" s="172"/>
      <c r="I103" s="172"/>
      <c r="J103" s="172" t="s">
        <v>1842</v>
      </c>
      <c r="K103" s="172"/>
      <c r="L103" s="172"/>
      <c r="M103" s="172"/>
      <c r="N103" s="172"/>
      <c r="O103" s="172"/>
      <c r="P103" s="230">
        <v>46266</v>
      </c>
      <c r="Q103" s="230">
        <v>46304</v>
      </c>
      <c r="R103" s="172"/>
      <c r="S103" s="192">
        <v>25</v>
      </c>
      <c r="T103" s="192">
        <v>18</v>
      </c>
      <c r="U103" s="192">
        <v>25</v>
      </c>
      <c r="V103" s="192">
        <v>18</v>
      </c>
      <c r="W103" s="191"/>
      <c r="X103" s="191"/>
      <c r="Y103" s="193"/>
      <c r="Z103" s="194">
        <v>0</v>
      </c>
      <c r="AA103" s="192"/>
      <c r="AB103" s="251" t="s">
        <v>2069</v>
      </c>
      <c r="AC103" s="223" t="s">
        <v>1766</v>
      </c>
      <c r="AD103" s="195">
        <v>0.72</v>
      </c>
      <c r="AE103" s="200">
        <v>0</v>
      </c>
      <c r="AF103" s="170"/>
      <c r="AG103" s="171"/>
      <c r="AH103" s="171"/>
      <c r="AI103" s="171"/>
      <c r="AJ103" s="171"/>
      <c r="AK103" s="171"/>
      <c r="AL103" s="171"/>
      <c r="AM103" s="171"/>
      <c r="AN103" s="171"/>
      <c r="AO103" s="171"/>
      <c r="AP103" s="171"/>
      <c r="AQ103" s="171"/>
      <c r="AR103" s="171"/>
      <c r="AS103" s="171"/>
      <c r="AT103" s="171"/>
      <c r="AU103" s="171"/>
      <c r="AV103" s="171" t="str">
        <f>"  " &amp; TEXT(AE103,"#0.00%") &amp; " "</f>
        <v xml:space="preserve">  0.00% </v>
      </c>
      <c r="AW103" s="171"/>
      <c r="AX103" s="171"/>
      <c r="AY103" s="171"/>
      <c r="AZ103" s="171"/>
      <c r="BA103" s="171" t="str">
        <f>"      " &amp; "상품" &amp; "(오지원)" &amp; " " &amp; IF(P103="","",TEXT(P103,"M/D-")) &amp; IF(Q103="","",TEXT(Q103,"M/D")) &amp; " "</f>
        <v xml:space="preserve">      상품(오지원) 9/1-10/9 </v>
      </c>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71"/>
      <c r="CE103" s="171"/>
      <c r="CF103" s="171"/>
      <c r="CG103" s="171"/>
      <c r="CH103" s="171"/>
    </row>
    <row r="104" spans="1:86" ht="12" customHeight="1" outlineLevel="5">
      <c r="A104" s="189"/>
      <c r="B104" s="189"/>
      <c r="C104" s="189">
        <v>6</v>
      </c>
      <c r="D104" s="190" t="s">
        <v>1880</v>
      </c>
      <c r="E104" s="172"/>
      <c r="F104" s="172"/>
      <c r="G104" s="172"/>
      <c r="H104" s="172"/>
      <c r="I104" s="172"/>
      <c r="J104" s="172" t="s">
        <v>1855</v>
      </c>
      <c r="K104" s="172"/>
      <c r="L104" s="172"/>
      <c r="M104" s="172"/>
      <c r="N104" s="172"/>
      <c r="O104" s="172"/>
      <c r="P104" s="230">
        <v>46266</v>
      </c>
      <c r="Q104" s="230">
        <v>46304</v>
      </c>
      <c r="R104" s="172"/>
      <c r="S104" s="192">
        <v>25</v>
      </c>
      <c r="T104" s="192">
        <v>18</v>
      </c>
      <c r="U104" s="192">
        <v>25</v>
      </c>
      <c r="V104" s="192">
        <v>18</v>
      </c>
      <c r="W104" s="191"/>
      <c r="X104" s="191"/>
      <c r="Y104" s="193"/>
      <c r="Z104" s="194">
        <v>0</v>
      </c>
      <c r="AA104" s="192"/>
      <c r="AB104" s="251" t="s">
        <v>2064</v>
      </c>
      <c r="AC104" s="223" t="s">
        <v>1766</v>
      </c>
      <c r="AD104" s="195">
        <v>0.72</v>
      </c>
      <c r="AE104" s="200">
        <v>0</v>
      </c>
      <c r="AF104" s="170"/>
      <c r="AG104" s="171"/>
      <c r="AH104" s="171"/>
      <c r="AI104" s="171"/>
      <c r="AJ104" s="171"/>
      <c r="AK104" s="171"/>
      <c r="AL104" s="171"/>
      <c r="AM104" s="171"/>
      <c r="AN104" s="171"/>
      <c r="AO104" s="171"/>
      <c r="AP104" s="171"/>
      <c r="AQ104" s="171"/>
      <c r="AR104" s="171"/>
      <c r="AS104" s="171"/>
      <c r="AT104" s="171"/>
      <c r="AU104" s="171"/>
      <c r="AV104" s="171" t="str">
        <f>"  " &amp; TEXT(AE104,"#0.00%") &amp; " "</f>
        <v xml:space="preserve">  0.00% </v>
      </c>
      <c r="AW104" s="171"/>
      <c r="AX104" s="171"/>
      <c r="AY104" s="171"/>
      <c r="AZ104" s="171"/>
      <c r="BA104" s="171" t="str">
        <f>"      " &amp; "제휴카드" &amp; "(박선미)" &amp; " " &amp; IF(P104="","",TEXT(P104,"M/D-")) &amp; IF(Q104="","",TEXT(Q104,"M/D")) &amp; " "</f>
        <v xml:space="preserve">      제휴카드(박선미) 9/1-10/9 </v>
      </c>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71"/>
      <c r="CE104" s="171"/>
      <c r="CF104" s="171"/>
      <c r="CG104" s="171"/>
      <c r="CH104" s="171"/>
    </row>
    <row r="105" spans="1:86" ht="12" customHeight="1" outlineLevel="5">
      <c r="A105" s="189"/>
      <c r="B105" s="189" t="s">
        <v>1387</v>
      </c>
      <c r="C105" s="189">
        <v>6</v>
      </c>
      <c r="D105" s="190" t="s">
        <v>1881</v>
      </c>
      <c r="E105" s="172"/>
      <c r="F105" s="172"/>
      <c r="G105" s="172"/>
      <c r="H105" s="172"/>
      <c r="I105" s="172"/>
      <c r="J105" s="172" t="s">
        <v>2112</v>
      </c>
      <c r="K105" s="172"/>
      <c r="L105" s="172"/>
      <c r="M105" s="172"/>
      <c r="N105" s="172"/>
      <c r="O105" s="172"/>
      <c r="P105" s="230"/>
      <c r="Q105" s="230"/>
      <c r="R105" s="172"/>
      <c r="S105" s="192">
        <v>0</v>
      </c>
      <c r="T105" s="192">
        <v>0</v>
      </c>
      <c r="U105" s="192">
        <v>0</v>
      </c>
      <c r="V105" s="192">
        <v>0</v>
      </c>
      <c r="W105" s="191"/>
      <c r="X105" s="191"/>
      <c r="Y105" s="193">
        <v>0</v>
      </c>
      <c r="Z105" s="194">
        <v>0</v>
      </c>
      <c r="AA105" s="192"/>
      <c r="AB105" s="251"/>
      <c r="AC105" s="223"/>
      <c r="AD105" s="195">
        <v>0</v>
      </c>
      <c r="AE105" s="246">
        <v>0</v>
      </c>
      <c r="AF105" s="170"/>
      <c r="AG105" s="171"/>
      <c r="AH105" s="171"/>
      <c r="AI105" s="171"/>
      <c r="AJ105" s="171"/>
      <c r="AK105" s="171"/>
      <c r="AL105" s="171"/>
      <c r="AM105" s="171"/>
      <c r="AN105" s="171"/>
      <c r="AO105" s="171"/>
      <c r="AP105" s="171"/>
      <c r="AQ105" s="171"/>
      <c r="AR105" s="171"/>
      <c r="AS105" s="171"/>
      <c r="AT105" s="171"/>
      <c r="AU105" s="171"/>
      <c r="AV105" s="171"/>
      <c r="AW105" s="171"/>
      <c r="AX105" s="171"/>
      <c r="AY105" s="171"/>
      <c r="AZ105" s="171"/>
      <c r="BA105" s="171"/>
      <c r="BB105" s="171"/>
      <c r="BC105" s="171"/>
      <c r="BD105" s="171"/>
      <c r="BE105" s="171"/>
      <c r="BF105" s="171"/>
      <c r="BG105" s="171"/>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71"/>
      <c r="CE105" s="171"/>
      <c r="CF105" s="171"/>
      <c r="CG105" s="171"/>
      <c r="CH105" s="171"/>
    </row>
    <row r="106" spans="1:86" ht="12" customHeight="1" outlineLevel="6">
      <c r="A106" s="189"/>
      <c r="B106" s="189"/>
      <c r="C106" s="189">
        <v>7</v>
      </c>
      <c r="D106" s="190" t="s">
        <v>2213</v>
      </c>
      <c r="E106" s="172"/>
      <c r="F106" s="172"/>
      <c r="G106" s="172"/>
      <c r="H106" s="172"/>
      <c r="I106" s="172"/>
      <c r="J106" s="172"/>
      <c r="K106" s="172" t="s">
        <v>2211</v>
      </c>
      <c r="L106" s="172"/>
      <c r="M106" s="172"/>
      <c r="N106" s="172"/>
      <c r="O106" s="172"/>
      <c r="P106" s="230"/>
      <c r="Q106" s="230"/>
      <c r="R106" s="172"/>
      <c r="S106" s="192">
        <v>0</v>
      </c>
      <c r="T106" s="192">
        <v>0</v>
      </c>
      <c r="U106" s="192">
        <v>0</v>
      </c>
      <c r="V106" s="192">
        <v>0</v>
      </c>
      <c r="W106" s="191"/>
      <c r="X106" s="191"/>
      <c r="Y106" s="193">
        <v>0</v>
      </c>
      <c r="Z106" s="194">
        <v>0</v>
      </c>
      <c r="AA106" s="192"/>
      <c r="AB106" s="251"/>
      <c r="AC106" s="223"/>
      <c r="AD106" s="195">
        <v>0</v>
      </c>
      <c r="AE106" s="246">
        <v>0</v>
      </c>
      <c r="AF106" s="170"/>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c r="BI106" s="171"/>
      <c r="BJ106" s="171"/>
      <c r="BK106" s="171"/>
      <c r="BL106" s="171"/>
      <c r="BM106" s="171"/>
      <c r="BN106" s="171"/>
      <c r="BO106" s="171"/>
      <c r="BP106" s="171"/>
      <c r="BQ106" s="171"/>
      <c r="BR106" s="171"/>
      <c r="BS106" s="171"/>
      <c r="BT106" s="171"/>
      <c r="BU106" s="171"/>
      <c r="BV106" s="171"/>
      <c r="BW106" s="171"/>
      <c r="BX106" s="171"/>
      <c r="BY106" s="171"/>
      <c r="BZ106" s="171"/>
      <c r="CA106" s="171"/>
      <c r="CB106" s="171"/>
      <c r="CC106" s="171"/>
      <c r="CD106" s="171"/>
      <c r="CE106" s="171"/>
      <c r="CF106" s="171"/>
      <c r="CG106" s="171"/>
      <c r="CH106" s="171"/>
    </row>
    <row r="107" spans="1:86" ht="12" customHeight="1" outlineLevel="5">
      <c r="A107" s="189"/>
      <c r="B107" s="189" t="s">
        <v>1387</v>
      </c>
      <c r="C107" s="189">
        <v>6</v>
      </c>
      <c r="D107" s="190" t="s">
        <v>1882</v>
      </c>
      <c r="E107" s="172"/>
      <c r="F107" s="172"/>
      <c r="G107" s="172"/>
      <c r="H107" s="172"/>
      <c r="I107" s="172"/>
      <c r="J107" s="172" t="s">
        <v>2212</v>
      </c>
      <c r="K107" s="172"/>
      <c r="L107" s="172"/>
      <c r="M107" s="172"/>
      <c r="N107" s="172"/>
      <c r="O107" s="172"/>
      <c r="P107" s="230"/>
      <c r="Q107" s="230"/>
      <c r="R107" s="172"/>
      <c r="S107" s="192">
        <v>0</v>
      </c>
      <c r="T107" s="192">
        <v>0</v>
      </c>
      <c r="U107" s="192">
        <v>0</v>
      </c>
      <c r="V107" s="192">
        <v>0</v>
      </c>
      <c r="W107" s="191"/>
      <c r="X107" s="191"/>
      <c r="Y107" s="193">
        <v>0</v>
      </c>
      <c r="Z107" s="194">
        <v>0</v>
      </c>
      <c r="AA107" s="192"/>
      <c r="AB107" s="251"/>
      <c r="AC107" s="223"/>
      <c r="AD107" s="195">
        <v>0</v>
      </c>
      <c r="AE107" s="246">
        <v>0</v>
      </c>
      <c r="AF107" s="170"/>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c r="BI107" s="171"/>
      <c r="BJ107" s="171"/>
      <c r="BK107" s="171"/>
      <c r="BL107" s="171"/>
      <c r="BM107" s="171"/>
      <c r="BN107" s="171"/>
      <c r="BO107" s="171"/>
      <c r="BP107" s="171"/>
      <c r="BQ107" s="171"/>
      <c r="BR107" s="171"/>
      <c r="BS107" s="171"/>
      <c r="BT107" s="171"/>
      <c r="BU107" s="171"/>
      <c r="BV107" s="171"/>
      <c r="BW107" s="171"/>
      <c r="BX107" s="171"/>
      <c r="BY107" s="171"/>
      <c r="BZ107" s="171"/>
      <c r="CA107" s="171"/>
      <c r="CB107" s="171"/>
      <c r="CC107" s="171"/>
      <c r="CD107" s="171"/>
      <c r="CE107" s="171"/>
      <c r="CF107" s="171"/>
      <c r="CG107" s="171"/>
      <c r="CH107" s="171"/>
    </row>
    <row r="108" spans="1:86" ht="12" customHeight="1" outlineLevel="6">
      <c r="A108" s="189"/>
      <c r="B108" s="189"/>
      <c r="C108" s="189">
        <v>7</v>
      </c>
      <c r="D108" s="190" t="s">
        <v>2214</v>
      </c>
      <c r="E108" s="172"/>
      <c r="F108" s="172"/>
      <c r="G108" s="172"/>
      <c r="H108" s="172"/>
      <c r="I108" s="172"/>
      <c r="J108" s="172"/>
      <c r="K108" s="172" t="s">
        <v>2211</v>
      </c>
      <c r="L108" s="172"/>
      <c r="M108" s="172"/>
      <c r="N108" s="172"/>
      <c r="O108" s="172"/>
      <c r="P108" s="230"/>
      <c r="Q108" s="230"/>
      <c r="R108" s="172"/>
      <c r="S108" s="192">
        <v>0</v>
      </c>
      <c r="T108" s="192">
        <v>0</v>
      </c>
      <c r="U108" s="192">
        <v>0</v>
      </c>
      <c r="V108" s="192">
        <v>0</v>
      </c>
      <c r="W108" s="191"/>
      <c r="X108" s="191"/>
      <c r="Y108" s="193">
        <v>0</v>
      </c>
      <c r="Z108" s="194">
        <v>0</v>
      </c>
      <c r="AA108" s="192"/>
      <c r="AB108" s="251"/>
      <c r="AC108" s="223"/>
      <c r="AD108" s="195">
        <v>0</v>
      </c>
      <c r="AE108" s="246">
        <v>0</v>
      </c>
      <c r="AF108" s="170"/>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c r="CB108" s="171"/>
      <c r="CC108" s="171"/>
      <c r="CD108" s="171"/>
      <c r="CE108" s="171"/>
      <c r="CF108" s="171"/>
      <c r="CG108" s="171"/>
      <c r="CH108" s="171"/>
    </row>
    <row r="109" spans="1:86" ht="12" customHeight="1" outlineLevel="5">
      <c r="A109" s="189"/>
      <c r="B109" s="189"/>
      <c r="C109" s="189">
        <v>6</v>
      </c>
      <c r="D109" s="190" t="s">
        <v>1883</v>
      </c>
      <c r="E109" s="172"/>
      <c r="F109" s="172"/>
      <c r="G109" s="172"/>
      <c r="H109" s="172"/>
      <c r="I109" s="172"/>
      <c r="J109" s="172" t="s">
        <v>1856</v>
      </c>
      <c r="K109" s="172"/>
      <c r="L109" s="172"/>
      <c r="M109" s="172"/>
      <c r="N109" s="172"/>
      <c r="O109" s="172"/>
      <c r="P109" s="230">
        <v>46266</v>
      </c>
      <c r="Q109" s="230">
        <v>46311</v>
      </c>
      <c r="R109" s="172"/>
      <c r="S109" s="192">
        <v>30</v>
      </c>
      <c r="T109" s="192">
        <v>18</v>
      </c>
      <c r="U109" s="192">
        <v>30</v>
      </c>
      <c r="V109" s="192">
        <v>18</v>
      </c>
      <c r="W109" s="191"/>
      <c r="X109" s="191"/>
      <c r="Y109" s="193"/>
      <c r="Z109" s="194">
        <v>0</v>
      </c>
      <c r="AA109" s="192"/>
      <c r="AB109" s="251" t="s">
        <v>2066</v>
      </c>
      <c r="AC109" s="223" t="s">
        <v>1766</v>
      </c>
      <c r="AD109" s="195">
        <v>0.6</v>
      </c>
      <c r="AE109" s="200">
        <v>0</v>
      </c>
      <c r="AF109" s="170"/>
      <c r="AG109" s="171"/>
      <c r="AH109" s="171"/>
      <c r="AI109" s="171"/>
      <c r="AJ109" s="171"/>
      <c r="AK109" s="171"/>
      <c r="AL109" s="171"/>
      <c r="AM109" s="171"/>
      <c r="AN109" s="171"/>
      <c r="AO109" s="171"/>
      <c r="AP109" s="171"/>
      <c r="AQ109" s="171"/>
      <c r="AR109" s="171"/>
      <c r="AS109" s="171"/>
      <c r="AT109" s="171"/>
      <c r="AU109" s="171"/>
      <c r="AV109" s="171" t="str">
        <f>"  " &amp; TEXT(AE109,"#0.00%") &amp; " "</f>
        <v xml:space="preserve">  0.00% </v>
      </c>
      <c r="AW109" s="171"/>
      <c r="AX109" s="171"/>
      <c r="AY109" s="171"/>
      <c r="AZ109" s="171"/>
      <c r="BA109" s="171"/>
      <c r="BB109" s="171" t="str">
        <f>"      " &amp; "프로모션/이벤트" &amp; "(이채원)" &amp; " " &amp; IF(P109="","",TEXT(P109,"M/D-")) &amp; IF(Q109="","",TEXT(Q109,"M/D")) &amp; " "</f>
        <v xml:space="preserve">      프로모션/이벤트(이채원) 9/1-10/16 </v>
      </c>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71"/>
      <c r="CE109" s="171"/>
      <c r="CF109" s="171"/>
      <c r="CG109" s="171"/>
      <c r="CH109" s="171"/>
    </row>
    <row r="110" spans="1:86" ht="12" customHeight="1" outlineLevel="5">
      <c r="A110" s="189"/>
      <c r="B110" s="189"/>
      <c r="C110" s="189">
        <v>6</v>
      </c>
      <c r="D110" s="190" t="s">
        <v>1884</v>
      </c>
      <c r="E110" s="172"/>
      <c r="F110" s="172"/>
      <c r="G110" s="172"/>
      <c r="H110" s="172"/>
      <c r="I110" s="172"/>
      <c r="J110" s="172" t="s">
        <v>2111</v>
      </c>
      <c r="K110" s="172"/>
      <c r="L110" s="172"/>
      <c r="M110" s="172"/>
      <c r="N110" s="172"/>
      <c r="O110" s="172"/>
      <c r="P110" s="230">
        <v>46266</v>
      </c>
      <c r="Q110" s="230">
        <v>46304</v>
      </c>
      <c r="R110" s="172"/>
      <c r="S110" s="192">
        <v>25</v>
      </c>
      <c r="T110" s="192">
        <v>18</v>
      </c>
      <c r="U110" s="192">
        <v>25</v>
      </c>
      <c r="V110" s="192">
        <v>18</v>
      </c>
      <c r="W110" s="191"/>
      <c r="X110" s="191"/>
      <c r="Y110" s="193"/>
      <c r="Z110" s="194">
        <v>0</v>
      </c>
      <c r="AA110" s="192"/>
      <c r="AB110" s="251" t="s">
        <v>2064</v>
      </c>
      <c r="AC110" s="223" t="s">
        <v>1766</v>
      </c>
      <c r="AD110" s="195">
        <v>0.72</v>
      </c>
      <c r="AE110" s="200">
        <v>0</v>
      </c>
      <c r="AF110" s="170"/>
      <c r="AG110" s="171"/>
      <c r="AH110" s="171"/>
      <c r="AI110" s="171"/>
      <c r="AJ110" s="171"/>
      <c r="AK110" s="171"/>
      <c r="AL110" s="171"/>
      <c r="AM110" s="171"/>
      <c r="AN110" s="171"/>
      <c r="AO110" s="171"/>
      <c r="AP110" s="171"/>
      <c r="AQ110" s="171"/>
      <c r="AR110" s="171"/>
      <c r="AS110" s="171"/>
      <c r="AT110" s="171"/>
      <c r="AU110" s="171"/>
      <c r="AV110" s="171" t="str">
        <f>"  " &amp; TEXT(AE110,"#0.00%") &amp; " "</f>
        <v xml:space="preserve">  0.00% </v>
      </c>
      <c r="AW110" s="171"/>
      <c r="AX110" s="171"/>
      <c r="AY110" s="171"/>
      <c r="AZ110" s="171"/>
      <c r="BA110" s="171" t="str">
        <f>"      " &amp; "쿠폰북" &amp; "(박선미)" &amp; " " &amp; IF(P110="","",TEXT(P110,"M/D-")) &amp; IF(Q110="","",TEXT(Q110,"M/D")) &amp; " "</f>
        <v xml:space="preserve">      쿠폰북(박선미) 9/1-10/9 </v>
      </c>
      <c r="BB110" s="171"/>
      <c r="BC110" s="171"/>
      <c r="BD110" s="171"/>
      <c r="BE110" s="171"/>
      <c r="BF110" s="171"/>
      <c r="BG110" s="171"/>
      <c r="BH110" s="171"/>
      <c r="BI110" s="171"/>
      <c r="BJ110" s="171"/>
      <c r="BK110" s="171"/>
      <c r="BL110" s="171"/>
      <c r="BM110" s="171"/>
      <c r="BN110" s="171"/>
      <c r="BO110" s="171"/>
      <c r="BP110" s="171"/>
      <c r="BQ110" s="171"/>
      <c r="BR110" s="171"/>
      <c r="BS110" s="171"/>
      <c r="BT110" s="171"/>
      <c r="BU110" s="171"/>
      <c r="BV110" s="171"/>
      <c r="BW110" s="171"/>
      <c r="BX110" s="171"/>
      <c r="BY110" s="171"/>
      <c r="BZ110" s="171"/>
      <c r="CA110" s="171"/>
      <c r="CB110" s="171"/>
      <c r="CC110" s="171"/>
      <c r="CD110" s="171"/>
      <c r="CE110" s="171"/>
      <c r="CF110" s="171"/>
      <c r="CG110" s="171"/>
      <c r="CH110" s="171"/>
    </row>
    <row r="111" spans="1:86" ht="12" customHeight="1" outlineLevel="5">
      <c r="A111" s="189"/>
      <c r="B111" s="189"/>
      <c r="C111" s="189">
        <v>6</v>
      </c>
      <c r="D111" s="190" t="s">
        <v>1885</v>
      </c>
      <c r="E111" s="172"/>
      <c r="F111" s="172"/>
      <c r="G111" s="172"/>
      <c r="H111" s="172"/>
      <c r="I111" s="172"/>
      <c r="J111" s="172" t="s">
        <v>2028</v>
      </c>
      <c r="K111" s="172"/>
      <c r="L111" s="172"/>
      <c r="M111" s="172"/>
      <c r="N111" s="172"/>
      <c r="O111" s="172"/>
      <c r="P111" s="230"/>
      <c r="Q111" s="230"/>
      <c r="R111" s="172"/>
      <c r="S111" s="192">
        <v>0</v>
      </c>
      <c r="T111" s="192">
        <v>0</v>
      </c>
      <c r="U111" s="192">
        <v>0</v>
      </c>
      <c r="V111" s="192">
        <v>0</v>
      </c>
      <c r="W111" s="191"/>
      <c r="X111" s="191"/>
      <c r="Y111" s="193">
        <v>0</v>
      </c>
      <c r="Z111" s="194">
        <v>0</v>
      </c>
      <c r="AA111" s="192"/>
      <c r="AB111" s="251"/>
      <c r="AC111" s="223"/>
      <c r="AD111" s="195">
        <v>0</v>
      </c>
      <c r="AE111" s="246">
        <v>0</v>
      </c>
      <c r="AF111" s="170"/>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71"/>
      <c r="CE111" s="171"/>
      <c r="CF111" s="171"/>
      <c r="CG111" s="171"/>
      <c r="CH111" s="171"/>
    </row>
    <row r="112" spans="1:86" ht="12" customHeight="1" outlineLevel="5">
      <c r="A112" s="189"/>
      <c r="B112" s="189"/>
      <c r="C112" s="189">
        <v>6</v>
      </c>
      <c r="D112" s="190" t="s">
        <v>1886</v>
      </c>
      <c r="E112" s="172"/>
      <c r="F112" s="172"/>
      <c r="G112" s="172"/>
      <c r="H112" s="172"/>
      <c r="I112" s="172"/>
      <c r="J112" s="172" t="s">
        <v>1862</v>
      </c>
      <c r="K112" s="172"/>
      <c r="L112" s="172"/>
      <c r="M112" s="172"/>
      <c r="N112" s="172"/>
      <c r="O112" s="172"/>
      <c r="P112" s="230">
        <v>46266</v>
      </c>
      <c r="Q112" s="230">
        <v>46311</v>
      </c>
      <c r="R112" s="172"/>
      <c r="S112" s="192">
        <v>30</v>
      </c>
      <c r="T112" s="192">
        <v>18</v>
      </c>
      <c r="U112" s="192">
        <v>30</v>
      </c>
      <c r="V112" s="192">
        <v>18</v>
      </c>
      <c r="W112" s="191"/>
      <c r="X112" s="191"/>
      <c r="Y112" s="193"/>
      <c r="Z112" s="194">
        <v>0</v>
      </c>
      <c r="AA112" s="192"/>
      <c r="AB112" s="251" t="s">
        <v>2068</v>
      </c>
      <c r="AC112" s="223" t="s">
        <v>1766</v>
      </c>
      <c r="AD112" s="195">
        <v>0.6</v>
      </c>
      <c r="AE112" s="200">
        <v>0</v>
      </c>
      <c r="AF112" s="170"/>
      <c r="AG112" s="171"/>
      <c r="AH112" s="171"/>
      <c r="AI112" s="171"/>
      <c r="AJ112" s="171"/>
      <c r="AK112" s="171"/>
      <c r="AL112" s="171"/>
      <c r="AM112" s="171"/>
      <c r="AN112" s="171"/>
      <c r="AO112" s="171"/>
      <c r="AP112" s="171"/>
      <c r="AQ112" s="171"/>
      <c r="AR112" s="171"/>
      <c r="AS112" s="171"/>
      <c r="AT112" s="171"/>
      <c r="AU112" s="171"/>
      <c r="AV112" s="171" t="str">
        <f>"  " &amp; TEXT(AE112,"#0.00%") &amp; " "</f>
        <v xml:space="preserve">  0.00% </v>
      </c>
      <c r="AW112" s="171"/>
      <c r="AX112" s="171"/>
      <c r="AY112" s="171"/>
      <c r="AZ112" s="171"/>
      <c r="BA112" s="171"/>
      <c r="BB112" s="171" t="str">
        <f>"      " &amp; "고객센터" &amp; "(이윤희)" &amp; " " &amp; IF(P112="","",TEXT(P112,"M/D-")) &amp; IF(Q112="","",TEXT(Q112,"M/D")) &amp; " "</f>
        <v xml:space="preserve">      고객센터(이윤희) 9/1-10/16 </v>
      </c>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71"/>
      <c r="CE112" s="171"/>
      <c r="CF112" s="171"/>
      <c r="CG112" s="171"/>
      <c r="CH112" s="171"/>
    </row>
    <row r="113" spans="1:86" ht="12" customHeight="1" outlineLevel="5">
      <c r="A113" s="189"/>
      <c r="B113" s="189"/>
      <c r="C113" s="189">
        <v>6</v>
      </c>
      <c r="D113" s="190" t="s">
        <v>1887</v>
      </c>
      <c r="E113" s="172"/>
      <c r="F113" s="172"/>
      <c r="G113" s="172"/>
      <c r="H113" s="172"/>
      <c r="I113" s="172"/>
      <c r="J113" s="172" t="s">
        <v>2030</v>
      </c>
      <c r="K113" s="172"/>
      <c r="L113" s="172"/>
      <c r="M113" s="172"/>
      <c r="N113" s="172"/>
      <c r="O113" s="172"/>
      <c r="P113" s="230">
        <v>46266</v>
      </c>
      <c r="Q113" s="230">
        <v>46304</v>
      </c>
      <c r="R113" s="172"/>
      <c r="S113" s="192">
        <v>50</v>
      </c>
      <c r="T113" s="192">
        <v>36</v>
      </c>
      <c r="U113" s="192">
        <v>25</v>
      </c>
      <c r="V113" s="192">
        <v>18</v>
      </c>
      <c r="W113" s="191"/>
      <c r="X113" s="191"/>
      <c r="Y113" s="193"/>
      <c r="Z113" s="194">
        <v>0</v>
      </c>
      <c r="AA113" s="192"/>
      <c r="AB113" s="251" t="s">
        <v>2070</v>
      </c>
      <c r="AC113" s="223" t="s">
        <v>1766</v>
      </c>
      <c r="AD113" s="195">
        <v>0.72</v>
      </c>
      <c r="AE113" s="200">
        <v>0</v>
      </c>
      <c r="AF113" s="170"/>
      <c r="AG113" s="171"/>
      <c r="AH113" s="171"/>
      <c r="AI113" s="171"/>
      <c r="AJ113" s="171"/>
      <c r="AK113" s="171"/>
      <c r="AL113" s="171"/>
      <c r="AM113" s="171"/>
      <c r="AN113" s="171"/>
      <c r="AO113" s="171"/>
      <c r="AP113" s="171"/>
      <c r="AQ113" s="171"/>
      <c r="AR113" s="171"/>
      <c r="AS113" s="171"/>
      <c r="AT113" s="171"/>
      <c r="AU113" s="171"/>
      <c r="AV113" s="171" t="str">
        <f>"  " &amp; TEXT(AE113,"#0.00%") &amp; " "</f>
        <v xml:space="preserve">  0.00% </v>
      </c>
      <c r="AW113" s="171"/>
      <c r="AX113" s="171"/>
      <c r="AY113" s="171"/>
      <c r="AZ113" s="171"/>
      <c r="BA113" s="171" t="str">
        <f>"      " &amp; "설정" &amp; "(오지원,박선미)" &amp; " " &amp; IF(P113="","",TEXT(P113,"M/D-")) &amp; IF(Q113="","",TEXT(Q113,"M/D")) &amp; " "</f>
        <v xml:space="preserve">      설정(오지원,박선미) 9/1-10/9 </v>
      </c>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71"/>
      <c r="CE113" s="171"/>
      <c r="CF113" s="171"/>
      <c r="CG113" s="171"/>
      <c r="CH113" s="171"/>
    </row>
    <row r="114" spans="1:86" ht="12" customHeight="1" outlineLevel="5">
      <c r="A114" s="189"/>
      <c r="B114" s="189"/>
      <c r="C114" s="189">
        <v>6</v>
      </c>
      <c r="D114" s="190" t="s">
        <v>1907</v>
      </c>
      <c r="E114" s="172"/>
      <c r="F114" s="172"/>
      <c r="G114" s="172"/>
      <c r="H114" s="172"/>
      <c r="I114" s="172"/>
      <c r="J114" s="172" t="s">
        <v>2113</v>
      </c>
      <c r="K114" s="172"/>
      <c r="L114" s="172"/>
      <c r="M114" s="172"/>
      <c r="N114" s="172"/>
      <c r="O114" s="172"/>
      <c r="P114" s="230"/>
      <c r="Q114" s="230"/>
      <c r="R114" s="172"/>
      <c r="S114" s="192">
        <v>0</v>
      </c>
      <c r="T114" s="192">
        <v>0</v>
      </c>
      <c r="U114" s="192">
        <v>0</v>
      </c>
      <c r="V114" s="192">
        <v>0</v>
      </c>
      <c r="W114" s="191"/>
      <c r="X114" s="191"/>
      <c r="Y114" s="193">
        <v>0</v>
      </c>
      <c r="Z114" s="194">
        <v>0</v>
      </c>
      <c r="AA114" s="192"/>
      <c r="AB114" s="251"/>
      <c r="AC114" s="223"/>
      <c r="AD114" s="195">
        <v>0</v>
      </c>
      <c r="AE114" s="246">
        <v>0</v>
      </c>
      <c r="AF114" s="170"/>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71"/>
      <c r="CE114" s="171"/>
      <c r="CF114" s="171"/>
      <c r="CG114" s="171"/>
      <c r="CH114" s="171"/>
    </row>
    <row r="115" spans="1:86" ht="12" customHeight="1" outlineLevel="5">
      <c r="A115" s="189"/>
      <c r="B115" s="189"/>
      <c r="C115" s="189">
        <v>6</v>
      </c>
      <c r="D115" s="190" t="s">
        <v>2106</v>
      </c>
      <c r="E115" s="172"/>
      <c r="F115" s="172"/>
      <c r="G115" s="172"/>
      <c r="H115" s="172"/>
      <c r="I115" s="172"/>
      <c r="J115" s="172" t="s">
        <v>1861</v>
      </c>
      <c r="K115" s="172"/>
      <c r="L115" s="172"/>
      <c r="M115" s="172"/>
      <c r="N115" s="172"/>
      <c r="O115" s="172"/>
      <c r="P115" s="230">
        <v>46266</v>
      </c>
      <c r="Q115" s="230">
        <v>46311</v>
      </c>
      <c r="R115" s="172"/>
      <c r="S115" s="192">
        <v>30</v>
      </c>
      <c r="T115" s="192">
        <v>18</v>
      </c>
      <c r="U115" s="192">
        <v>30</v>
      </c>
      <c r="V115" s="192">
        <v>18</v>
      </c>
      <c r="W115" s="191"/>
      <c r="X115" s="191"/>
      <c r="Y115" s="193"/>
      <c r="Z115" s="194">
        <v>0</v>
      </c>
      <c r="AA115" s="192"/>
      <c r="AB115" s="251" t="s">
        <v>2069</v>
      </c>
      <c r="AC115" s="223" t="s">
        <v>1766</v>
      </c>
      <c r="AD115" s="195">
        <v>0.6</v>
      </c>
      <c r="AE115" s="200">
        <v>0</v>
      </c>
      <c r="AF115" s="170"/>
      <c r="AG115" s="171"/>
      <c r="AH115" s="171"/>
      <c r="AI115" s="171"/>
      <c r="AJ115" s="171"/>
      <c r="AK115" s="171"/>
      <c r="AL115" s="171"/>
      <c r="AM115" s="171"/>
      <c r="AN115" s="171"/>
      <c r="AO115" s="171"/>
      <c r="AP115" s="171"/>
      <c r="AQ115" s="171"/>
      <c r="AR115" s="171"/>
      <c r="AS115" s="171"/>
      <c r="AT115" s="171"/>
      <c r="AU115" s="171"/>
      <c r="AV115" s="171" t="str">
        <f>"  " &amp; TEXT(AE115,"#0.00%") &amp; " "</f>
        <v xml:space="preserve">  0.00% </v>
      </c>
      <c r="AW115" s="171"/>
      <c r="AX115" s="171"/>
      <c r="AY115" s="171"/>
      <c r="AZ115" s="171"/>
      <c r="BA115" s="171"/>
      <c r="BB115" s="171" t="str">
        <f>"      " &amp; "App" &amp; "(오지원)" &amp; " " &amp; IF(P115="","",TEXT(P115,"M/D-")) &amp; IF(Q115="","",TEXT(Q115,"M/D")) &amp; " "</f>
        <v xml:space="preserve">      App(오지원) 9/1-10/16 </v>
      </c>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71"/>
      <c r="CE115" s="171"/>
      <c r="CF115" s="171"/>
      <c r="CG115" s="171"/>
      <c r="CH115" s="171"/>
    </row>
    <row r="116" spans="1:86" ht="12" customHeight="1" outlineLevel="5">
      <c r="A116" s="189"/>
      <c r="B116" s="189" t="s">
        <v>1387</v>
      </c>
      <c r="C116" s="189">
        <v>6</v>
      </c>
      <c r="D116" s="190" t="s">
        <v>2107</v>
      </c>
      <c r="E116" s="172"/>
      <c r="F116" s="172"/>
      <c r="G116" s="172"/>
      <c r="H116" s="172"/>
      <c r="I116" s="172"/>
      <c r="J116" s="172" t="s">
        <v>1918</v>
      </c>
      <c r="K116" s="172"/>
      <c r="L116" s="172"/>
      <c r="M116" s="172"/>
      <c r="N116" s="172"/>
      <c r="O116" s="172"/>
      <c r="P116" s="230"/>
      <c r="Q116" s="230"/>
      <c r="R116" s="172"/>
      <c r="S116" s="192">
        <v>0</v>
      </c>
      <c r="T116" s="192">
        <v>0</v>
      </c>
      <c r="U116" s="192">
        <v>0</v>
      </c>
      <c r="V116" s="192">
        <v>0</v>
      </c>
      <c r="W116" s="191"/>
      <c r="X116" s="191"/>
      <c r="Y116" s="193">
        <v>0</v>
      </c>
      <c r="Z116" s="194">
        <v>0</v>
      </c>
      <c r="AA116" s="192"/>
      <c r="AB116" s="251" t="s">
        <v>2063</v>
      </c>
      <c r="AC116" s="223" t="s">
        <v>1766</v>
      </c>
      <c r="AD116" s="195">
        <v>0</v>
      </c>
      <c r="AE116" s="246">
        <v>0</v>
      </c>
      <c r="AF116" s="170"/>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71"/>
      <c r="CE116" s="171"/>
      <c r="CF116" s="171"/>
      <c r="CG116" s="171"/>
      <c r="CH116" s="171"/>
    </row>
    <row r="117" spans="1:86" ht="12" customHeight="1" outlineLevel="6">
      <c r="A117" s="189"/>
      <c r="B117" s="189"/>
      <c r="C117" s="189">
        <v>7</v>
      </c>
      <c r="D117" s="190" t="s">
        <v>2126</v>
      </c>
      <c r="E117" s="172"/>
      <c r="F117" s="172"/>
      <c r="G117" s="172"/>
      <c r="H117" s="172"/>
      <c r="I117" s="172"/>
      <c r="J117" s="172"/>
      <c r="K117" s="172" t="s">
        <v>1904</v>
      </c>
      <c r="L117" s="172"/>
      <c r="M117" s="172"/>
      <c r="N117" s="172"/>
      <c r="O117" s="172"/>
      <c r="P117" s="230"/>
      <c r="Q117" s="230"/>
      <c r="R117" s="172"/>
      <c r="S117" s="192">
        <v>0</v>
      </c>
      <c r="T117" s="192">
        <v>0</v>
      </c>
      <c r="U117" s="192">
        <v>0</v>
      </c>
      <c r="V117" s="192">
        <v>0</v>
      </c>
      <c r="W117" s="191"/>
      <c r="X117" s="191"/>
      <c r="Y117" s="193">
        <v>0</v>
      </c>
      <c r="Z117" s="194">
        <v>0</v>
      </c>
      <c r="AA117" s="192"/>
      <c r="AB117" s="251"/>
      <c r="AC117" s="223"/>
      <c r="AD117" s="195">
        <v>0</v>
      </c>
      <c r="AE117" s="246">
        <v>0</v>
      </c>
      <c r="AF117" s="170"/>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71"/>
      <c r="CE117" s="171"/>
      <c r="CF117" s="171"/>
      <c r="CG117" s="171"/>
      <c r="CH117" s="171"/>
    </row>
    <row r="118" spans="1:86" ht="12" customHeight="1" outlineLevel="6">
      <c r="A118" s="189"/>
      <c r="B118" s="189"/>
      <c r="C118" s="189">
        <v>7</v>
      </c>
      <c r="D118" s="190" t="s">
        <v>2127</v>
      </c>
      <c r="E118" s="172"/>
      <c r="F118" s="172"/>
      <c r="G118" s="172"/>
      <c r="H118" s="172"/>
      <c r="I118" s="172"/>
      <c r="J118" s="172"/>
      <c r="K118" s="172" t="s">
        <v>2125</v>
      </c>
      <c r="L118" s="172"/>
      <c r="M118" s="172"/>
      <c r="N118" s="172"/>
      <c r="O118" s="172"/>
      <c r="P118" s="230"/>
      <c r="Q118" s="230"/>
      <c r="R118" s="172"/>
      <c r="S118" s="192">
        <v>0</v>
      </c>
      <c r="T118" s="192">
        <v>0</v>
      </c>
      <c r="U118" s="192">
        <v>0</v>
      </c>
      <c r="V118" s="192">
        <v>0</v>
      </c>
      <c r="W118" s="191"/>
      <c r="X118" s="191"/>
      <c r="Y118" s="193">
        <v>0</v>
      </c>
      <c r="Z118" s="194">
        <v>0</v>
      </c>
      <c r="AA118" s="192"/>
      <c r="AB118" s="251"/>
      <c r="AC118" s="223"/>
      <c r="AD118" s="195">
        <v>0</v>
      </c>
      <c r="AE118" s="246">
        <v>0</v>
      </c>
      <c r="AF118" s="170"/>
      <c r="AG118" s="171"/>
      <c r="AH118" s="171"/>
      <c r="AI118" s="171"/>
      <c r="AJ118" s="171"/>
      <c r="AK118" s="171"/>
      <c r="AL118" s="171"/>
      <c r="AM118" s="171"/>
      <c r="AN118" s="171"/>
      <c r="AO118" s="171"/>
      <c r="AP118" s="171"/>
      <c r="AQ118" s="171"/>
      <c r="AR118" s="171"/>
      <c r="AS118" s="171"/>
      <c r="AT118" s="171"/>
      <c r="AU118" s="171"/>
      <c r="AV118" s="171"/>
      <c r="AW118" s="171"/>
      <c r="AX118" s="171"/>
      <c r="AY118" s="171"/>
      <c r="AZ118" s="171"/>
      <c r="BA118" s="171"/>
      <c r="BB118" s="171"/>
      <c r="BC118" s="171"/>
      <c r="BD118" s="171"/>
      <c r="BE118" s="171"/>
      <c r="BF118" s="171"/>
      <c r="BG118" s="171"/>
      <c r="BH118" s="171"/>
      <c r="BI118" s="171"/>
      <c r="BJ118" s="171"/>
      <c r="BK118" s="171"/>
      <c r="BL118" s="171"/>
      <c r="BM118" s="171"/>
      <c r="BN118" s="171"/>
      <c r="BO118" s="171"/>
      <c r="BP118" s="171"/>
      <c r="BQ118" s="171"/>
      <c r="BR118" s="171"/>
      <c r="BS118" s="171"/>
      <c r="BT118" s="171"/>
      <c r="BU118" s="171"/>
      <c r="BV118" s="171"/>
      <c r="BW118" s="171"/>
      <c r="BX118" s="171"/>
      <c r="BY118" s="171"/>
      <c r="BZ118" s="171"/>
      <c r="CA118" s="171"/>
      <c r="CB118" s="171"/>
      <c r="CC118" s="171"/>
      <c r="CD118" s="171"/>
      <c r="CE118" s="171"/>
      <c r="CF118" s="171"/>
      <c r="CG118" s="171"/>
      <c r="CH118" s="171"/>
    </row>
    <row r="119" spans="1:86" ht="12" customHeight="1" outlineLevel="6">
      <c r="A119" s="189"/>
      <c r="B119" s="189"/>
      <c r="C119" s="189">
        <v>7</v>
      </c>
      <c r="D119" s="190" t="s">
        <v>2128</v>
      </c>
      <c r="E119" s="172"/>
      <c r="F119" s="172"/>
      <c r="G119" s="172"/>
      <c r="H119" s="172"/>
      <c r="I119" s="172"/>
      <c r="J119" s="172"/>
      <c r="K119" s="172" t="s">
        <v>1920</v>
      </c>
      <c r="L119" s="172"/>
      <c r="M119" s="172"/>
      <c r="N119" s="172"/>
      <c r="O119" s="172"/>
      <c r="P119" s="230"/>
      <c r="Q119" s="230"/>
      <c r="R119" s="172"/>
      <c r="S119" s="192">
        <v>0</v>
      </c>
      <c r="T119" s="192">
        <v>0</v>
      </c>
      <c r="U119" s="192">
        <v>0</v>
      </c>
      <c r="V119" s="192">
        <v>0</v>
      </c>
      <c r="W119" s="191"/>
      <c r="X119" s="191"/>
      <c r="Y119" s="193">
        <v>0</v>
      </c>
      <c r="Z119" s="194">
        <v>0</v>
      </c>
      <c r="AA119" s="192"/>
      <c r="AB119" s="251"/>
      <c r="AC119" s="223"/>
      <c r="AD119" s="195">
        <v>0</v>
      </c>
      <c r="AE119" s="246">
        <v>0</v>
      </c>
      <c r="AF119" s="170"/>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71"/>
      <c r="CE119" s="171"/>
      <c r="CF119" s="171"/>
      <c r="CG119" s="171"/>
      <c r="CH119" s="171"/>
    </row>
    <row r="120" spans="1:86" ht="12" customHeight="1" outlineLevel="5">
      <c r="A120" s="189"/>
      <c r="B120" s="189" t="s">
        <v>1387</v>
      </c>
      <c r="C120" s="189">
        <v>6</v>
      </c>
      <c r="D120" s="190" t="s">
        <v>2108</v>
      </c>
      <c r="E120" s="172"/>
      <c r="F120" s="172"/>
      <c r="G120" s="172"/>
      <c r="H120" s="172"/>
      <c r="I120" s="172"/>
      <c r="J120" s="172" t="s">
        <v>1854</v>
      </c>
      <c r="K120" s="172"/>
      <c r="L120" s="172"/>
      <c r="M120" s="172"/>
      <c r="N120" s="172"/>
      <c r="O120" s="172"/>
      <c r="P120" s="230"/>
      <c r="Q120" s="230"/>
      <c r="R120" s="172"/>
      <c r="S120" s="192">
        <v>0</v>
      </c>
      <c r="T120" s="192">
        <v>0</v>
      </c>
      <c r="U120" s="192">
        <v>0</v>
      </c>
      <c r="V120" s="192">
        <v>0</v>
      </c>
      <c r="W120" s="191"/>
      <c r="X120" s="191"/>
      <c r="Y120" s="193">
        <v>0</v>
      </c>
      <c r="Z120" s="194">
        <v>0</v>
      </c>
      <c r="AA120" s="192"/>
      <c r="AB120" s="251" t="s">
        <v>2063</v>
      </c>
      <c r="AC120" s="223" t="s">
        <v>1766</v>
      </c>
      <c r="AD120" s="195">
        <v>0</v>
      </c>
      <c r="AE120" s="246">
        <v>0</v>
      </c>
      <c r="AF120" s="170"/>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row>
    <row r="121" spans="1:86" ht="12" customHeight="1" outlineLevel="6">
      <c r="A121" s="189"/>
      <c r="B121" s="189"/>
      <c r="C121" s="189">
        <v>7</v>
      </c>
      <c r="D121" s="190" t="s">
        <v>2132</v>
      </c>
      <c r="E121" s="172"/>
      <c r="F121" s="172"/>
      <c r="G121" s="172"/>
      <c r="H121" s="172"/>
      <c r="I121" s="172"/>
      <c r="J121" s="172"/>
      <c r="K121" s="172" t="s">
        <v>1920</v>
      </c>
      <c r="L121" s="172"/>
      <c r="M121" s="172"/>
      <c r="N121" s="172"/>
      <c r="O121" s="172"/>
      <c r="P121" s="230"/>
      <c r="Q121" s="230"/>
      <c r="R121" s="172"/>
      <c r="S121" s="192">
        <v>0</v>
      </c>
      <c r="T121" s="192">
        <v>0</v>
      </c>
      <c r="U121" s="192">
        <v>0</v>
      </c>
      <c r="V121" s="192">
        <v>0</v>
      </c>
      <c r="W121" s="191"/>
      <c r="X121" s="191"/>
      <c r="Y121" s="193">
        <v>0</v>
      </c>
      <c r="Z121" s="194">
        <v>0</v>
      </c>
      <c r="AA121" s="192"/>
      <c r="AB121" s="251"/>
      <c r="AC121" s="223"/>
      <c r="AD121" s="195">
        <v>0</v>
      </c>
      <c r="AE121" s="246">
        <v>0</v>
      </c>
      <c r="AF121" s="170"/>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71"/>
      <c r="CE121" s="171"/>
      <c r="CF121" s="171"/>
      <c r="CG121" s="171"/>
      <c r="CH121" s="171"/>
    </row>
    <row r="122" spans="1:86" ht="12" customHeight="1" outlineLevel="6">
      <c r="A122" s="189"/>
      <c r="B122" s="189"/>
      <c r="C122" s="189">
        <v>7</v>
      </c>
      <c r="D122" s="190" t="s">
        <v>2133</v>
      </c>
      <c r="E122" s="172"/>
      <c r="F122" s="172"/>
      <c r="G122" s="172"/>
      <c r="H122" s="172"/>
      <c r="I122" s="172"/>
      <c r="J122" s="172"/>
      <c r="K122" s="172" t="s">
        <v>1904</v>
      </c>
      <c r="L122" s="172"/>
      <c r="M122" s="172"/>
      <c r="N122" s="172"/>
      <c r="O122" s="172"/>
      <c r="P122" s="230"/>
      <c r="Q122" s="230"/>
      <c r="R122" s="172"/>
      <c r="S122" s="192">
        <v>0</v>
      </c>
      <c r="T122" s="192">
        <v>0</v>
      </c>
      <c r="U122" s="192">
        <v>0</v>
      </c>
      <c r="V122" s="192">
        <v>0</v>
      </c>
      <c r="W122" s="191"/>
      <c r="X122" s="191"/>
      <c r="Y122" s="193">
        <v>0</v>
      </c>
      <c r="Z122" s="194">
        <v>0</v>
      </c>
      <c r="AA122" s="192"/>
      <c r="AB122" s="251"/>
      <c r="AC122" s="223"/>
      <c r="AD122" s="195">
        <v>0</v>
      </c>
      <c r="AE122" s="246">
        <v>0</v>
      </c>
      <c r="AF122" s="170"/>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71"/>
      <c r="CE122" s="171"/>
      <c r="CF122" s="171"/>
      <c r="CG122" s="171"/>
      <c r="CH122" s="171"/>
    </row>
    <row r="123" spans="1:86" ht="12" customHeight="1" outlineLevel="6">
      <c r="A123" s="189"/>
      <c r="B123" s="189"/>
      <c r="C123" s="189">
        <v>7</v>
      </c>
      <c r="D123" s="190" t="s">
        <v>2134</v>
      </c>
      <c r="E123" s="172"/>
      <c r="F123" s="172"/>
      <c r="G123" s="172"/>
      <c r="H123" s="172"/>
      <c r="I123" s="172"/>
      <c r="J123" s="172"/>
      <c r="K123" s="172" t="s">
        <v>2129</v>
      </c>
      <c r="L123" s="172"/>
      <c r="M123" s="172"/>
      <c r="N123" s="172"/>
      <c r="O123" s="172"/>
      <c r="P123" s="230"/>
      <c r="Q123" s="230"/>
      <c r="R123" s="172"/>
      <c r="S123" s="192">
        <v>0</v>
      </c>
      <c r="T123" s="192">
        <v>0</v>
      </c>
      <c r="U123" s="192">
        <v>0</v>
      </c>
      <c r="V123" s="192">
        <v>0</v>
      </c>
      <c r="W123" s="191"/>
      <c r="X123" s="191"/>
      <c r="Y123" s="193">
        <v>0</v>
      </c>
      <c r="Z123" s="194">
        <v>0</v>
      </c>
      <c r="AA123" s="192"/>
      <c r="AB123" s="251"/>
      <c r="AC123" s="223"/>
      <c r="AD123" s="195">
        <v>0</v>
      </c>
      <c r="AE123" s="246">
        <v>0</v>
      </c>
      <c r="AF123" s="170"/>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71"/>
      <c r="CE123" s="171"/>
      <c r="CF123" s="171"/>
      <c r="CG123" s="171"/>
      <c r="CH123" s="171"/>
    </row>
    <row r="124" spans="1:86" ht="12" customHeight="1" outlineLevel="6">
      <c r="A124" s="189"/>
      <c r="B124" s="189"/>
      <c r="C124" s="189">
        <v>7</v>
      </c>
      <c r="D124" s="190" t="s">
        <v>2135</v>
      </c>
      <c r="E124" s="172"/>
      <c r="F124" s="172"/>
      <c r="G124" s="172"/>
      <c r="H124" s="172"/>
      <c r="I124" s="172"/>
      <c r="J124" s="172"/>
      <c r="K124" s="172" t="s">
        <v>2130</v>
      </c>
      <c r="L124" s="172"/>
      <c r="M124" s="172"/>
      <c r="N124" s="172"/>
      <c r="O124" s="172"/>
      <c r="P124" s="230"/>
      <c r="Q124" s="230"/>
      <c r="R124" s="172"/>
      <c r="S124" s="192">
        <v>0</v>
      </c>
      <c r="T124" s="192">
        <v>0</v>
      </c>
      <c r="U124" s="192">
        <v>0</v>
      </c>
      <c r="V124" s="192">
        <v>0</v>
      </c>
      <c r="W124" s="191"/>
      <c r="X124" s="191"/>
      <c r="Y124" s="193">
        <v>0</v>
      </c>
      <c r="Z124" s="194">
        <v>0</v>
      </c>
      <c r="AA124" s="192"/>
      <c r="AB124" s="251"/>
      <c r="AC124" s="223"/>
      <c r="AD124" s="195">
        <v>0</v>
      </c>
      <c r="AE124" s="246">
        <v>0</v>
      </c>
      <c r="AF124" s="170"/>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71"/>
      <c r="CE124" s="171"/>
      <c r="CF124" s="171"/>
      <c r="CG124" s="171"/>
      <c r="CH124" s="171"/>
    </row>
    <row r="125" spans="1:86" ht="12" customHeight="1" outlineLevel="6">
      <c r="A125" s="189"/>
      <c r="B125" s="189"/>
      <c r="C125" s="189">
        <v>7</v>
      </c>
      <c r="D125" s="190" t="s">
        <v>2136</v>
      </c>
      <c r="E125" s="172"/>
      <c r="F125" s="172"/>
      <c r="G125" s="172"/>
      <c r="H125" s="172"/>
      <c r="I125" s="172"/>
      <c r="J125" s="172"/>
      <c r="K125" s="172" t="s">
        <v>2131</v>
      </c>
      <c r="L125" s="172"/>
      <c r="M125" s="172"/>
      <c r="N125" s="172"/>
      <c r="O125" s="172"/>
      <c r="P125" s="230"/>
      <c r="Q125" s="230"/>
      <c r="R125" s="172"/>
      <c r="S125" s="192">
        <v>0</v>
      </c>
      <c r="T125" s="192">
        <v>0</v>
      </c>
      <c r="U125" s="192">
        <v>0</v>
      </c>
      <c r="V125" s="192">
        <v>0</v>
      </c>
      <c r="W125" s="191"/>
      <c r="X125" s="191"/>
      <c r="Y125" s="193">
        <v>0</v>
      </c>
      <c r="Z125" s="194">
        <v>0</v>
      </c>
      <c r="AA125" s="192"/>
      <c r="AB125" s="251"/>
      <c r="AC125" s="223"/>
      <c r="AD125" s="195">
        <v>0</v>
      </c>
      <c r="AE125" s="246">
        <v>0</v>
      </c>
      <c r="AF125" s="170"/>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71"/>
      <c r="CE125" s="171"/>
      <c r="CF125" s="171"/>
      <c r="CG125" s="171"/>
      <c r="CH125" s="171"/>
    </row>
    <row r="126" spans="1:86" ht="12" customHeight="1" outlineLevel="5">
      <c r="A126" s="189"/>
      <c r="B126" s="189" t="s">
        <v>1387</v>
      </c>
      <c r="C126" s="189">
        <v>6</v>
      </c>
      <c r="D126" s="190" t="s">
        <v>2114</v>
      </c>
      <c r="E126" s="172"/>
      <c r="F126" s="172"/>
      <c r="G126" s="172"/>
      <c r="H126" s="172"/>
      <c r="I126" s="172"/>
      <c r="J126" s="172" t="s">
        <v>1863</v>
      </c>
      <c r="K126" s="172"/>
      <c r="L126" s="172"/>
      <c r="M126" s="172"/>
      <c r="N126" s="172"/>
      <c r="O126" s="172"/>
      <c r="P126" s="230"/>
      <c r="Q126" s="230"/>
      <c r="R126" s="172"/>
      <c r="S126" s="192">
        <v>0</v>
      </c>
      <c r="T126" s="192">
        <v>0</v>
      </c>
      <c r="U126" s="192">
        <v>0</v>
      </c>
      <c r="V126" s="192">
        <v>0</v>
      </c>
      <c r="W126" s="191"/>
      <c r="X126" s="191"/>
      <c r="Y126" s="193">
        <v>0</v>
      </c>
      <c r="Z126" s="194">
        <v>0</v>
      </c>
      <c r="AA126" s="192"/>
      <c r="AB126" s="251" t="s">
        <v>2068</v>
      </c>
      <c r="AC126" s="223" t="s">
        <v>1766</v>
      </c>
      <c r="AD126" s="195">
        <v>0</v>
      </c>
      <c r="AE126" s="246">
        <v>0</v>
      </c>
      <c r="AF126" s="170"/>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71"/>
      <c r="CE126" s="171"/>
      <c r="CF126" s="171"/>
      <c r="CG126" s="171"/>
      <c r="CH126" s="171"/>
    </row>
    <row r="127" spans="1:86" ht="12" customHeight="1" outlineLevel="6">
      <c r="A127" s="189"/>
      <c r="B127" s="189"/>
      <c r="C127" s="189">
        <v>7</v>
      </c>
      <c r="D127" s="190" t="s">
        <v>2140</v>
      </c>
      <c r="E127" s="172"/>
      <c r="F127" s="172"/>
      <c r="G127" s="172"/>
      <c r="H127" s="172"/>
      <c r="I127" s="172"/>
      <c r="J127" s="172"/>
      <c r="K127" s="172" t="s">
        <v>2137</v>
      </c>
      <c r="L127" s="172"/>
      <c r="M127" s="172"/>
      <c r="N127" s="172"/>
      <c r="O127" s="172"/>
      <c r="P127" s="230"/>
      <c r="Q127" s="230"/>
      <c r="R127" s="172"/>
      <c r="S127" s="192">
        <v>0</v>
      </c>
      <c r="T127" s="192">
        <v>0</v>
      </c>
      <c r="U127" s="192">
        <v>0</v>
      </c>
      <c r="V127" s="192">
        <v>0</v>
      </c>
      <c r="W127" s="191"/>
      <c r="X127" s="191"/>
      <c r="Y127" s="193">
        <v>0</v>
      </c>
      <c r="Z127" s="194">
        <v>0</v>
      </c>
      <c r="AA127" s="192"/>
      <c r="AB127" s="251"/>
      <c r="AC127" s="223"/>
      <c r="AD127" s="195">
        <v>0</v>
      </c>
      <c r="AE127" s="246">
        <v>0</v>
      </c>
      <c r="AF127" s="170"/>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71"/>
      <c r="CE127" s="171"/>
      <c r="CF127" s="171"/>
      <c r="CG127" s="171"/>
      <c r="CH127" s="171"/>
    </row>
    <row r="128" spans="1:86" ht="12" customHeight="1" outlineLevel="6">
      <c r="A128" s="189"/>
      <c r="B128" s="189"/>
      <c r="C128" s="189">
        <v>7</v>
      </c>
      <c r="D128" s="190" t="s">
        <v>2141</v>
      </c>
      <c r="E128" s="172"/>
      <c r="F128" s="172"/>
      <c r="G128" s="172"/>
      <c r="H128" s="172"/>
      <c r="I128" s="172"/>
      <c r="J128" s="172"/>
      <c r="K128" s="172" t="s">
        <v>2139</v>
      </c>
      <c r="L128" s="172"/>
      <c r="M128" s="172"/>
      <c r="N128" s="172"/>
      <c r="O128" s="172"/>
      <c r="P128" s="230"/>
      <c r="Q128" s="230"/>
      <c r="R128" s="172"/>
      <c r="S128" s="192">
        <v>0</v>
      </c>
      <c r="T128" s="192">
        <v>0</v>
      </c>
      <c r="U128" s="192">
        <v>0</v>
      </c>
      <c r="V128" s="192">
        <v>0</v>
      </c>
      <c r="W128" s="191"/>
      <c r="X128" s="191"/>
      <c r="Y128" s="193">
        <v>0</v>
      </c>
      <c r="Z128" s="194">
        <v>0</v>
      </c>
      <c r="AA128" s="192"/>
      <c r="AB128" s="251"/>
      <c r="AC128" s="223"/>
      <c r="AD128" s="195">
        <v>0</v>
      </c>
      <c r="AE128" s="246">
        <v>0</v>
      </c>
      <c r="AF128" s="170"/>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71"/>
      <c r="CE128" s="171"/>
      <c r="CF128" s="171"/>
      <c r="CG128" s="171"/>
      <c r="CH128" s="171"/>
    </row>
    <row r="129" spans="1:86" ht="12" customHeight="1" outlineLevel="6">
      <c r="A129" s="189"/>
      <c r="B129" s="189"/>
      <c r="C129" s="189">
        <v>7</v>
      </c>
      <c r="D129" s="190" t="s">
        <v>2142</v>
      </c>
      <c r="E129" s="172"/>
      <c r="F129" s="172"/>
      <c r="G129" s="172"/>
      <c r="H129" s="172"/>
      <c r="I129" s="172"/>
      <c r="J129" s="172"/>
      <c r="K129" s="172" t="s">
        <v>2138</v>
      </c>
      <c r="L129" s="172"/>
      <c r="M129" s="172"/>
      <c r="N129" s="172"/>
      <c r="O129" s="172"/>
      <c r="P129" s="230"/>
      <c r="Q129" s="230"/>
      <c r="R129" s="172"/>
      <c r="S129" s="192">
        <v>0</v>
      </c>
      <c r="T129" s="192">
        <v>0</v>
      </c>
      <c r="U129" s="192">
        <v>0</v>
      </c>
      <c r="V129" s="192">
        <v>0</v>
      </c>
      <c r="W129" s="191"/>
      <c r="X129" s="191"/>
      <c r="Y129" s="193">
        <v>0</v>
      </c>
      <c r="Z129" s="194">
        <v>0</v>
      </c>
      <c r="AA129" s="192"/>
      <c r="AB129" s="251"/>
      <c r="AC129" s="223"/>
      <c r="AD129" s="195">
        <v>0</v>
      </c>
      <c r="AE129" s="246">
        <v>0</v>
      </c>
      <c r="AF129" s="170"/>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71"/>
      <c r="CE129" s="171"/>
      <c r="CF129" s="171"/>
      <c r="CG129" s="171"/>
      <c r="CH129" s="171"/>
    </row>
    <row r="130" spans="1:86" ht="12" customHeight="1" outlineLevel="4">
      <c r="A130" s="189"/>
      <c r="B130" s="189" t="s">
        <v>1387</v>
      </c>
      <c r="C130" s="189">
        <v>5</v>
      </c>
      <c r="D130" s="190" t="s">
        <v>1888</v>
      </c>
      <c r="E130" s="172"/>
      <c r="F130" s="172"/>
      <c r="G130" s="172"/>
      <c r="H130" s="172"/>
      <c r="I130" s="172" t="s">
        <v>1873</v>
      </c>
      <c r="J130" s="172"/>
      <c r="K130" s="172"/>
      <c r="L130" s="172"/>
      <c r="M130" s="172"/>
      <c r="N130" s="172"/>
      <c r="O130" s="172"/>
      <c r="P130" s="231">
        <v>46266</v>
      </c>
      <c r="Q130" s="231">
        <v>46318</v>
      </c>
      <c r="R130" s="172"/>
      <c r="S130" s="192">
        <v>172</v>
      </c>
      <c r="T130" s="192">
        <v>80</v>
      </c>
      <c r="U130" s="192">
        <v>35</v>
      </c>
      <c r="V130" s="192">
        <v>18</v>
      </c>
      <c r="W130" s="191"/>
      <c r="X130" s="191"/>
      <c r="Y130" s="193">
        <v>0</v>
      </c>
      <c r="Z130" s="194">
        <v>0</v>
      </c>
      <c r="AA130" s="192"/>
      <c r="AB130" s="226"/>
      <c r="AC130" s="223"/>
      <c r="AD130" s="195">
        <v>0.46511627906976744</v>
      </c>
      <c r="AE130" s="201">
        <v>0</v>
      </c>
      <c r="AF130" s="170"/>
      <c r="AG130" s="171"/>
      <c r="AH130" s="171"/>
      <c r="AI130" s="171"/>
      <c r="AJ130" s="171"/>
      <c r="AK130" s="171"/>
      <c r="AL130" s="171"/>
      <c r="AM130" s="171"/>
      <c r="AN130" s="171"/>
      <c r="AO130" s="171"/>
      <c r="AP130" s="171"/>
      <c r="AQ130" s="171"/>
      <c r="AR130" s="171"/>
      <c r="AS130" s="171"/>
      <c r="AT130" s="171"/>
      <c r="AU130" s="171"/>
      <c r="AV130" s="171" t="str">
        <f>"  " &amp; TEXT(AE130,"#0.00%") &amp; " "</f>
        <v xml:space="preserve">  0.00% </v>
      </c>
      <c r="AW130" s="171"/>
      <c r="AX130" s="171"/>
      <c r="AY130" s="171"/>
      <c r="AZ130" s="171"/>
      <c r="BA130" s="171"/>
      <c r="BB130" s="171"/>
      <c r="BC130" s="171" t="str">
        <f>"      " &amp; "Back Office(BO)" &amp; " " &amp; IF(P130="","",TEXT(P130,"M/D-")) &amp; IF(Q130="","",TEXT(Q130,"M/D")) &amp; " "</f>
        <v xml:space="preserve">      Back Office(BO) 9/1-10/23 </v>
      </c>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71"/>
      <c r="CE130" s="171"/>
      <c r="CF130" s="171"/>
      <c r="CG130" s="171"/>
      <c r="CH130" s="171"/>
    </row>
    <row r="131" spans="1:86" ht="12" customHeight="1" outlineLevel="5">
      <c r="A131" s="189"/>
      <c r="B131" s="189"/>
      <c r="C131" s="189">
        <v>6</v>
      </c>
      <c r="D131" s="190" t="s">
        <v>1889</v>
      </c>
      <c r="E131" s="172"/>
      <c r="F131" s="172"/>
      <c r="G131" s="172"/>
      <c r="H131" s="172"/>
      <c r="I131" s="172"/>
      <c r="J131" s="172" t="s">
        <v>1905</v>
      </c>
      <c r="K131" s="172"/>
      <c r="L131" s="172"/>
      <c r="M131" s="172"/>
      <c r="N131" s="172"/>
      <c r="O131" s="172"/>
      <c r="P131" s="230">
        <v>46266</v>
      </c>
      <c r="Q131" s="230">
        <v>46311</v>
      </c>
      <c r="R131" s="172"/>
      <c r="S131" s="192">
        <v>30</v>
      </c>
      <c r="T131" s="192">
        <v>18</v>
      </c>
      <c r="U131" s="192">
        <v>30</v>
      </c>
      <c r="V131" s="192">
        <v>18</v>
      </c>
      <c r="W131" s="191"/>
      <c r="X131" s="191"/>
      <c r="Y131" s="193"/>
      <c r="Z131" s="194">
        <v>0</v>
      </c>
      <c r="AA131" s="192"/>
      <c r="AB131" s="251" t="s">
        <v>2068</v>
      </c>
      <c r="AC131" s="223" t="s">
        <v>1766</v>
      </c>
      <c r="AD131" s="195">
        <v>0.6</v>
      </c>
      <c r="AE131" s="200">
        <v>0</v>
      </c>
      <c r="AF131" s="170"/>
      <c r="AG131" s="171"/>
      <c r="AH131" s="171"/>
      <c r="AI131" s="171"/>
      <c r="AJ131" s="171"/>
      <c r="AK131" s="171"/>
      <c r="AL131" s="171"/>
      <c r="AM131" s="171"/>
      <c r="AN131" s="171"/>
      <c r="AO131" s="171"/>
      <c r="AP131" s="171"/>
      <c r="AQ131" s="171"/>
      <c r="AR131" s="171"/>
      <c r="AS131" s="171"/>
      <c r="AT131" s="171"/>
      <c r="AU131" s="171"/>
      <c r="AV131" s="171" t="str">
        <f>"  " &amp; TEXT(AE131,"#0.00%") &amp; " "</f>
        <v xml:space="preserve">  0.00% </v>
      </c>
      <c r="AW131" s="171"/>
      <c r="AX131" s="171"/>
      <c r="AY131" s="171"/>
      <c r="AZ131" s="171"/>
      <c r="BA131" s="171"/>
      <c r="BB131" s="171" t="str">
        <f>"      " &amp; "메인(대시보드)" &amp; "(이윤희)" &amp; " " &amp; IF(P131="","",TEXT(P131,"M/D-")) &amp; IF(Q131="","",TEXT(Q131,"M/D")) &amp; " "</f>
        <v xml:space="preserve">      메인(대시보드)(이윤희) 9/1-10/16 </v>
      </c>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71"/>
      <c r="CE131" s="171"/>
      <c r="CF131" s="171"/>
      <c r="CG131" s="171"/>
      <c r="CH131" s="171"/>
    </row>
    <row r="132" spans="1:86" ht="12" customHeight="1" outlineLevel="5">
      <c r="A132" s="189"/>
      <c r="B132" s="189"/>
      <c r="C132" s="189">
        <v>6</v>
      </c>
      <c r="D132" s="190" t="s">
        <v>1890</v>
      </c>
      <c r="E132" s="172"/>
      <c r="F132" s="172"/>
      <c r="G132" s="172"/>
      <c r="H132" s="172"/>
      <c r="I132" s="172"/>
      <c r="J132" s="172" t="s">
        <v>1920</v>
      </c>
      <c r="K132" s="172"/>
      <c r="L132" s="172"/>
      <c r="M132" s="172"/>
      <c r="N132" s="172"/>
      <c r="O132" s="172"/>
      <c r="P132" s="230">
        <v>46266</v>
      </c>
      <c r="Q132" s="230">
        <v>46318</v>
      </c>
      <c r="R132" s="172"/>
      <c r="S132" s="192">
        <v>35</v>
      </c>
      <c r="T132" s="192">
        <v>18</v>
      </c>
      <c r="U132" s="192">
        <v>35</v>
      </c>
      <c r="V132" s="192">
        <v>18</v>
      </c>
      <c r="W132" s="191"/>
      <c r="X132" s="191"/>
      <c r="Y132" s="193"/>
      <c r="Z132" s="194">
        <v>0</v>
      </c>
      <c r="AA132" s="192"/>
      <c r="AB132" s="251" t="s">
        <v>2068</v>
      </c>
      <c r="AC132" s="223" t="s">
        <v>1766</v>
      </c>
      <c r="AD132" s="195">
        <v>0.51428571428571423</v>
      </c>
      <c r="AE132" s="200">
        <v>0</v>
      </c>
      <c r="AF132" s="170"/>
      <c r="AG132" s="171"/>
      <c r="AH132" s="171"/>
      <c r="AI132" s="171"/>
      <c r="AJ132" s="171"/>
      <c r="AK132" s="171"/>
      <c r="AL132" s="171"/>
      <c r="AM132" s="171"/>
      <c r="AN132" s="171"/>
      <c r="AO132" s="171"/>
      <c r="AP132" s="171"/>
      <c r="AQ132" s="171"/>
      <c r="AR132" s="171"/>
      <c r="AS132" s="171"/>
      <c r="AT132" s="171"/>
      <c r="AU132" s="171"/>
      <c r="AV132" s="171" t="str">
        <f>"  " &amp; TEXT(AE132,"#0.00%") &amp; " "</f>
        <v xml:space="preserve">  0.00% </v>
      </c>
      <c r="AW132" s="171"/>
      <c r="AX132" s="171"/>
      <c r="AY132" s="171"/>
      <c r="AZ132" s="171"/>
      <c r="BA132" s="171"/>
      <c r="BB132" s="171"/>
      <c r="BC132" s="171" t="str">
        <f>"      " &amp; "공통" &amp; "(이윤희)" &amp; " " &amp; IF(P132="","",TEXT(P132,"M/D-")) &amp; IF(Q132="","",TEXT(Q132,"M/D")) &amp; " "</f>
        <v xml:space="preserve">      공통(이윤희) 9/1-10/23 </v>
      </c>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71"/>
      <c r="CE132" s="171"/>
      <c r="CF132" s="171"/>
      <c r="CG132" s="171"/>
      <c r="CH132" s="171"/>
    </row>
    <row r="133" spans="1:86" ht="12" customHeight="1" outlineLevel="5">
      <c r="A133" s="189"/>
      <c r="B133" s="189"/>
      <c r="C133" s="189">
        <v>6</v>
      </c>
      <c r="D133" s="190" t="s">
        <v>1891</v>
      </c>
      <c r="E133" s="172"/>
      <c r="F133" s="172"/>
      <c r="G133" s="172"/>
      <c r="H133" s="172"/>
      <c r="I133" s="172"/>
      <c r="J133" s="172" t="s">
        <v>1921</v>
      </c>
      <c r="K133" s="172"/>
      <c r="L133" s="172"/>
      <c r="M133" s="172"/>
      <c r="N133" s="172"/>
      <c r="O133" s="172"/>
      <c r="P133" s="230">
        <v>46266</v>
      </c>
      <c r="Q133" s="230">
        <v>46311</v>
      </c>
      <c r="R133" s="172"/>
      <c r="S133" s="192">
        <v>30</v>
      </c>
      <c r="T133" s="192">
        <v>18</v>
      </c>
      <c r="U133" s="192">
        <v>30</v>
      </c>
      <c r="V133" s="192">
        <v>18</v>
      </c>
      <c r="W133" s="191"/>
      <c r="X133" s="191"/>
      <c r="Y133" s="193"/>
      <c r="Z133" s="194">
        <v>0</v>
      </c>
      <c r="AA133" s="192"/>
      <c r="AB133" s="251" t="s">
        <v>2064</v>
      </c>
      <c r="AC133" s="223" t="s">
        <v>1766</v>
      </c>
      <c r="AD133" s="195">
        <v>0.6</v>
      </c>
      <c r="AE133" s="200">
        <v>0</v>
      </c>
      <c r="AF133" s="170"/>
      <c r="AG133" s="171"/>
      <c r="AH133" s="171"/>
      <c r="AI133" s="171"/>
      <c r="AJ133" s="171"/>
      <c r="AK133" s="171"/>
      <c r="AL133" s="171"/>
      <c r="AM133" s="171"/>
      <c r="AN133" s="171"/>
      <c r="AO133" s="171"/>
      <c r="AP133" s="171"/>
      <c r="AQ133" s="171"/>
      <c r="AR133" s="171"/>
      <c r="AS133" s="171"/>
      <c r="AT133" s="171"/>
      <c r="AU133" s="171"/>
      <c r="AV133" s="171" t="str">
        <f>"  " &amp; TEXT(AE133,"#0.00%") &amp; " "</f>
        <v xml:space="preserve">  0.00% </v>
      </c>
      <c r="AW133" s="171"/>
      <c r="AX133" s="171"/>
      <c r="AY133" s="171"/>
      <c r="AZ133" s="171"/>
      <c r="BA133" s="171"/>
      <c r="BB133" s="171" t="str">
        <f>"      " &amp; "회원 관리" &amp; "(박선미)" &amp; " " &amp; IF(P133="","",TEXT(P133,"M/D-")) &amp; IF(Q133="","",TEXT(Q133,"M/D")) &amp; " "</f>
        <v xml:space="preserve">      회원 관리(박선미) 9/1-10/16 </v>
      </c>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71"/>
      <c r="CE133" s="171"/>
      <c r="CF133" s="171"/>
      <c r="CG133" s="171"/>
      <c r="CH133" s="171"/>
    </row>
    <row r="134" spans="1:86" ht="12" customHeight="1" outlineLevel="5">
      <c r="A134" s="189"/>
      <c r="B134" s="189"/>
      <c r="C134" s="189">
        <v>6</v>
      </c>
      <c r="D134" s="190" t="s">
        <v>1892</v>
      </c>
      <c r="E134" s="172"/>
      <c r="F134" s="172"/>
      <c r="G134" s="172"/>
      <c r="H134" s="172"/>
      <c r="I134" s="172"/>
      <c r="J134" s="172" t="s">
        <v>1922</v>
      </c>
      <c r="K134" s="172"/>
      <c r="L134" s="172"/>
      <c r="M134" s="172"/>
      <c r="N134" s="172"/>
      <c r="O134" s="172"/>
      <c r="P134" s="230">
        <v>46266</v>
      </c>
      <c r="Q134" s="230">
        <v>46311</v>
      </c>
      <c r="R134" s="172"/>
      <c r="S134" s="192">
        <v>30</v>
      </c>
      <c r="T134" s="192">
        <v>18</v>
      </c>
      <c r="U134" s="192">
        <v>30</v>
      </c>
      <c r="V134" s="192">
        <v>18</v>
      </c>
      <c r="W134" s="191"/>
      <c r="X134" s="191"/>
      <c r="Y134" s="193"/>
      <c r="Z134" s="194">
        <v>0</v>
      </c>
      <c r="AA134" s="192"/>
      <c r="AB134" s="251" t="s">
        <v>2062</v>
      </c>
      <c r="AC134" s="223" t="s">
        <v>1766</v>
      </c>
      <c r="AD134" s="195">
        <v>0.6</v>
      </c>
      <c r="AE134" s="200">
        <v>0</v>
      </c>
      <c r="AF134" s="170"/>
      <c r="AG134" s="171"/>
      <c r="AH134" s="171"/>
      <c r="AI134" s="171"/>
      <c r="AJ134" s="171"/>
      <c r="AK134" s="171"/>
      <c r="AL134" s="171"/>
      <c r="AM134" s="171"/>
      <c r="AN134" s="171"/>
      <c r="AO134" s="171"/>
      <c r="AP134" s="171"/>
      <c r="AQ134" s="171"/>
      <c r="AR134" s="171"/>
      <c r="AS134" s="171"/>
      <c r="AT134" s="171"/>
      <c r="AU134" s="171"/>
      <c r="AV134" s="171" t="str">
        <f>"  " &amp; TEXT(AE134,"#0.00%") &amp; " "</f>
        <v xml:space="preserve">  0.00% </v>
      </c>
      <c r="AW134" s="171"/>
      <c r="AX134" s="171"/>
      <c r="AY134" s="171"/>
      <c r="AZ134" s="171"/>
      <c r="BA134" s="171"/>
      <c r="BB134" s="171" t="str">
        <f>"      " &amp; "기준정보 관리" &amp; "(김동오)" &amp; " " &amp; IF(P134="","",TEXT(P134,"M/D-")) &amp; IF(Q134="","",TEXT(Q134,"M/D")) &amp; " "</f>
        <v xml:space="preserve">      기준정보 관리(김동오) 9/1-10/16 </v>
      </c>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71"/>
      <c r="CE134" s="171"/>
      <c r="CF134" s="171"/>
      <c r="CG134" s="171"/>
      <c r="CH134" s="171"/>
    </row>
    <row r="135" spans="1:86" ht="12" customHeight="1" outlineLevel="5">
      <c r="A135" s="189"/>
      <c r="B135" s="189" t="s">
        <v>1387</v>
      </c>
      <c r="C135" s="189">
        <v>6</v>
      </c>
      <c r="D135" s="190" t="s">
        <v>1893</v>
      </c>
      <c r="E135" s="172"/>
      <c r="F135" s="172"/>
      <c r="G135" s="172"/>
      <c r="H135" s="172"/>
      <c r="I135" s="172"/>
      <c r="J135" s="172" t="s">
        <v>1923</v>
      </c>
      <c r="K135" s="172"/>
      <c r="L135" s="172"/>
      <c r="M135" s="172"/>
      <c r="N135" s="172"/>
      <c r="O135" s="172"/>
      <c r="P135" s="230">
        <v>46286</v>
      </c>
      <c r="Q135" s="230">
        <v>46311</v>
      </c>
      <c r="R135" s="172"/>
      <c r="S135" s="192">
        <v>21</v>
      </c>
      <c r="T135" s="192">
        <v>4</v>
      </c>
      <c r="U135" s="192">
        <v>16</v>
      </c>
      <c r="V135" s="192">
        <v>4</v>
      </c>
      <c r="W135" s="191"/>
      <c r="X135" s="191"/>
      <c r="Y135" s="193">
        <v>0</v>
      </c>
      <c r="Z135" s="194">
        <v>0</v>
      </c>
      <c r="AA135" s="192"/>
      <c r="AB135" s="251" t="s">
        <v>2063</v>
      </c>
      <c r="AC135" s="223" t="s">
        <v>1766</v>
      </c>
      <c r="AD135" s="195">
        <v>0.19047619047619047</v>
      </c>
      <c r="AE135" s="201">
        <v>0</v>
      </c>
      <c r="AF135" s="170"/>
      <c r="AG135" s="171"/>
      <c r="AH135" s="171"/>
      <c r="AI135" s="171"/>
      <c r="AJ135" s="171"/>
      <c r="AK135" s="171"/>
      <c r="AL135" s="171"/>
      <c r="AM135" s="171"/>
      <c r="AN135" s="171"/>
      <c r="AO135" s="171"/>
      <c r="AP135" s="171"/>
      <c r="AQ135" s="171"/>
      <c r="AR135" s="171"/>
      <c r="AS135" s="171"/>
      <c r="AT135" s="171"/>
      <c r="AU135" s="171"/>
      <c r="AV135" s="171"/>
      <c r="AW135" s="171"/>
      <c r="AX135" s="171"/>
      <c r="AY135" s="171" t="str">
        <f>" " &amp; TEXT(AE135,"#0.00%") &amp; " "</f>
        <v xml:space="preserve"> 0.00% </v>
      </c>
      <c r="AZ135" s="171"/>
      <c r="BA135" s="171"/>
      <c r="BB135" s="171" t="str">
        <f>"      " &amp; "제휴•사용처관리" &amp; "(김수현)" &amp; " " &amp; IF(P135="","",TEXT(P135,"M/D-")) &amp; IF(Q135="","",TEXT(Q135,"M/D")) &amp; " "</f>
        <v xml:space="preserve">      제휴•사용처관리(김수현) 9/21-10/16 </v>
      </c>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71"/>
      <c r="CE135" s="171"/>
      <c r="CF135" s="171"/>
      <c r="CG135" s="171"/>
      <c r="CH135" s="171"/>
    </row>
    <row r="136" spans="1:86" ht="12" customHeight="1" outlineLevel="6">
      <c r="A136" s="189"/>
      <c r="B136" s="189"/>
      <c r="C136" s="189">
        <v>7</v>
      </c>
      <c r="D136" s="190" t="s">
        <v>2098</v>
      </c>
      <c r="E136" s="172"/>
      <c r="F136" s="172"/>
      <c r="G136" s="172"/>
      <c r="H136" s="172"/>
      <c r="I136" s="172"/>
      <c r="J136" s="172"/>
      <c r="K136" s="172" t="s">
        <v>2097</v>
      </c>
      <c r="L136" s="172"/>
      <c r="M136" s="172"/>
      <c r="N136" s="172"/>
      <c r="O136" s="172"/>
      <c r="P136" s="230">
        <v>46286</v>
      </c>
      <c r="Q136" s="230">
        <v>46297</v>
      </c>
      <c r="R136" s="172"/>
      <c r="S136" s="192">
        <v>8</v>
      </c>
      <c r="T136" s="192">
        <v>4</v>
      </c>
      <c r="U136" s="192">
        <v>8</v>
      </c>
      <c r="V136" s="192">
        <v>4</v>
      </c>
      <c r="W136" s="191"/>
      <c r="X136" s="191"/>
      <c r="Y136" s="193"/>
      <c r="Z136" s="194">
        <v>0</v>
      </c>
      <c r="AA136" s="192"/>
      <c r="AB136" s="251"/>
      <c r="AC136" s="223"/>
      <c r="AD136" s="195">
        <v>0.5</v>
      </c>
      <c r="AE136" s="200">
        <v>0</v>
      </c>
      <c r="AF136" s="170"/>
      <c r="AG136" s="171"/>
      <c r="AH136" s="171"/>
      <c r="AI136" s="171"/>
      <c r="AJ136" s="171"/>
      <c r="AK136" s="171"/>
      <c r="AL136" s="171"/>
      <c r="AM136" s="171"/>
      <c r="AN136" s="171"/>
      <c r="AO136" s="171"/>
      <c r="AP136" s="171"/>
      <c r="AQ136" s="171"/>
      <c r="AR136" s="171"/>
      <c r="AS136" s="171"/>
      <c r="AT136" s="171"/>
      <c r="AU136" s="171"/>
      <c r="AV136" s="171"/>
      <c r="AW136" s="171"/>
      <c r="AX136" s="171"/>
      <c r="AY136" s="171" t="str">
        <f>" " &amp; TEXT(AE136,"#0.00%") &amp; " " &amp; "기업관리" &amp; " " &amp; IF(P136="","",TEXT(P136,"M/D-")) &amp; IF(Q136="","",TEXT(Q136,"M/D")) &amp; " "</f>
        <v xml:space="preserve"> 0.00% 기업관리 9/21-10/2 </v>
      </c>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71"/>
      <c r="CE136" s="171"/>
      <c r="CF136" s="171"/>
      <c r="CG136" s="171"/>
      <c r="CH136" s="171"/>
    </row>
    <row r="137" spans="1:86" ht="12" customHeight="1" outlineLevel="6">
      <c r="A137" s="189"/>
      <c r="B137" s="189"/>
      <c r="C137" s="189">
        <v>7</v>
      </c>
      <c r="D137" s="190" t="s">
        <v>2102</v>
      </c>
      <c r="E137" s="172"/>
      <c r="F137" s="172"/>
      <c r="G137" s="172"/>
      <c r="H137" s="172"/>
      <c r="I137" s="172"/>
      <c r="J137" s="172"/>
      <c r="K137" s="172" t="s">
        <v>2099</v>
      </c>
      <c r="L137" s="172"/>
      <c r="M137" s="172"/>
      <c r="N137" s="172"/>
      <c r="O137" s="172"/>
      <c r="P137" s="230">
        <v>46300</v>
      </c>
      <c r="Q137" s="230">
        <v>46304</v>
      </c>
      <c r="R137" s="172"/>
      <c r="S137" s="192">
        <v>3</v>
      </c>
      <c r="T137" s="192">
        <v>0</v>
      </c>
      <c r="U137" s="192">
        <v>3</v>
      </c>
      <c r="V137" s="192">
        <v>0</v>
      </c>
      <c r="W137" s="191"/>
      <c r="X137" s="191"/>
      <c r="Y137" s="193"/>
      <c r="Z137" s="194">
        <v>0</v>
      </c>
      <c r="AA137" s="192"/>
      <c r="AB137" s="251"/>
      <c r="AC137" s="223"/>
      <c r="AD137" s="195">
        <v>0</v>
      </c>
      <c r="AE137" s="198">
        <v>0</v>
      </c>
      <c r="AF137" s="170"/>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t="str">
        <f>" " &amp; TEXT(AE137,"#0.00%") &amp; " " &amp; "제휴 판매" &amp; " " &amp; IF(P137="","",TEXT(P137,"M/D-")) &amp; IF(Q137="","",TEXT(Q137,"M/D")) &amp; " "</f>
        <v xml:space="preserve"> 0.00% 제휴 판매 10/5-10/9 </v>
      </c>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71"/>
      <c r="CE137" s="171"/>
      <c r="CF137" s="171"/>
      <c r="CG137" s="171"/>
      <c r="CH137" s="171"/>
    </row>
    <row r="138" spans="1:86" ht="12" customHeight="1" outlineLevel="6">
      <c r="A138" s="189"/>
      <c r="B138" s="189"/>
      <c r="C138" s="189">
        <v>7</v>
      </c>
      <c r="D138" s="190" t="s">
        <v>2103</v>
      </c>
      <c r="E138" s="172"/>
      <c r="F138" s="172"/>
      <c r="G138" s="172"/>
      <c r="H138" s="172"/>
      <c r="I138" s="172"/>
      <c r="J138" s="172"/>
      <c r="K138" s="172" t="s">
        <v>2100</v>
      </c>
      <c r="L138" s="172"/>
      <c r="M138" s="172"/>
      <c r="N138" s="172"/>
      <c r="O138" s="172"/>
      <c r="P138" s="230">
        <v>46307</v>
      </c>
      <c r="Q138" s="230">
        <v>46311</v>
      </c>
      <c r="R138" s="172"/>
      <c r="S138" s="192">
        <v>5</v>
      </c>
      <c r="T138" s="192">
        <v>0</v>
      </c>
      <c r="U138" s="192">
        <v>5</v>
      </c>
      <c r="V138" s="192">
        <v>0</v>
      </c>
      <c r="W138" s="191"/>
      <c r="X138" s="191"/>
      <c r="Y138" s="193"/>
      <c r="Z138" s="194">
        <v>0</v>
      </c>
      <c r="AA138" s="192"/>
      <c r="AB138" s="251"/>
      <c r="AC138" s="223"/>
      <c r="AD138" s="195">
        <v>0</v>
      </c>
      <c r="AE138" s="198">
        <v>0</v>
      </c>
      <c r="AF138" s="170"/>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t="str">
        <f>" " &amp; TEXT(AE138,"#0.00%") &amp; " " &amp; "사용처(일반)관리" &amp; " " &amp; IF(P138="","",TEXT(P138,"M/D-")) &amp; IF(Q138="","",TEXT(Q138,"M/D")) &amp; " "</f>
        <v xml:space="preserve"> 0.00% 사용처(일반)관리 10/12-10/16 </v>
      </c>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71"/>
      <c r="CE138" s="171"/>
      <c r="CF138" s="171"/>
      <c r="CG138" s="171"/>
      <c r="CH138" s="171"/>
    </row>
    <row r="139" spans="1:86" ht="12" customHeight="1" outlineLevel="6">
      <c r="A139" s="189"/>
      <c r="B139" s="189"/>
      <c r="C139" s="189">
        <v>7</v>
      </c>
      <c r="D139" s="190" t="s">
        <v>2104</v>
      </c>
      <c r="E139" s="172"/>
      <c r="F139" s="172"/>
      <c r="G139" s="172"/>
      <c r="H139" s="172"/>
      <c r="I139" s="172"/>
      <c r="J139" s="172"/>
      <c r="K139" s="172" t="s">
        <v>2101</v>
      </c>
      <c r="L139" s="172"/>
      <c r="M139" s="172"/>
      <c r="N139" s="172"/>
      <c r="O139" s="172"/>
      <c r="P139" s="230">
        <v>46307</v>
      </c>
      <c r="Q139" s="230">
        <v>46311</v>
      </c>
      <c r="R139" s="172"/>
      <c r="S139" s="192">
        <v>5</v>
      </c>
      <c r="T139" s="192">
        <v>0</v>
      </c>
      <c r="U139" s="192">
        <v>5</v>
      </c>
      <c r="V139" s="192">
        <v>0</v>
      </c>
      <c r="W139" s="191"/>
      <c r="X139" s="191"/>
      <c r="Y139" s="193"/>
      <c r="Z139" s="194">
        <v>0</v>
      </c>
      <c r="AA139" s="192"/>
      <c r="AB139" s="251"/>
      <c r="AC139" s="223"/>
      <c r="AD139" s="195">
        <v>0</v>
      </c>
      <c r="AE139" s="198">
        <v>0</v>
      </c>
      <c r="AF139" s="170"/>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t="str">
        <f>" " &amp; TEXT(AE139,"#0.00%") &amp; " " &amp; "사용처(운수사)관리" &amp; " " &amp; IF(P139="","",TEXT(P139,"M/D-")) &amp; IF(Q139="","",TEXT(Q139,"M/D")) &amp; " "</f>
        <v xml:space="preserve"> 0.00% 사용처(운수사)관리 10/12-10/16 </v>
      </c>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71"/>
      <c r="CE139" s="171"/>
      <c r="CF139" s="171"/>
      <c r="CG139" s="171"/>
      <c r="CH139" s="171"/>
    </row>
    <row r="140" spans="1:86" ht="12" customHeight="1" outlineLevel="5">
      <c r="A140" s="189"/>
      <c r="B140" s="189" t="s">
        <v>1387</v>
      </c>
      <c r="C140" s="189">
        <v>6</v>
      </c>
      <c r="D140" s="190" t="s">
        <v>1894</v>
      </c>
      <c r="E140" s="172"/>
      <c r="F140" s="172"/>
      <c r="G140" s="172"/>
      <c r="H140" s="172"/>
      <c r="I140" s="172"/>
      <c r="J140" s="172" t="s">
        <v>1924</v>
      </c>
      <c r="K140" s="172"/>
      <c r="L140" s="172"/>
      <c r="M140" s="172"/>
      <c r="N140" s="172"/>
      <c r="O140" s="172"/>
      <c r="P140" s="230">
        <v>46286</v>
      </c>
      <c r="Q140" s="230">
        <v>46308</v>
      </c>
      <c r="R140" s="172"/>
      <c r="S140" s="192">
        <v>13</v>
      </c>
      <c r="T140" s="192">
        <v>4</v>
      </c>
      <c r="U140" s="192">
        <v>13</v>
      </c>
      <c r="V140" s="192">
        <v>4</v>
      </c>
      <c r="W140" s="191"/>
      <c r="X140" s="191"/>
      <c r="Y140" s="193">
        <v>0</v>
      </c>
      <c r="Z140" s="194">
        <v>0</v>
      </c>
      <c r="AA140" s="192"/>
      <c r="AB140" s="251" t="s">
        <v>2062</v>
      </c>
      <c r="AC140" s="223" t="s">
        <v>1766</v>
      </c>
      <c r="AD140" s="195">
        <v>0.30769230769230771</v>
      </c>
      <c r="AE140" s="201">
        <v>0</v>
      </c>
      <c r="AF140" s="170"/>
      <c r="AG140" s="171"/>
      <c r="AH140" s="171"/>
      <c r="AI140" s="171"/>
      <c r="AJ140" s="171"/>
      <c r="AK140" s="171"/>
      <c r="AL140" s="171"/>
      <c r="AM140" s="171"/>
      <c r="AN140" s="171"/>
      <c r="AO140" s="171"/>
      <c r="AP140" s="171"/>
      <c r="AQ140" s="171"/>
      <c r="AR140" s="171"/>
      <c r="AS140" s="171"/>
      <c r="AT140" s="171"/>
      <c r="AU140" s="171"/>
      <c r="AV140" s="171"/>
      <c r="AW140" s="171"/>
      <c r="AX140" s="171"/>
      <c r="AY140" s="171" t="str">
        <f>" " &amp; TEXT(AE140,"#0.00%") &amp; " "</f>
        <v xml:space="preserve"> 0.00% </v>
      </c>
      <c r="AZ140" s="171"/>
      <c r="BA140" s="171"/>
      <c r="BB140" s="171" t="str">
        <f>"   " &amp; "상품관리" &amp; "(김동오)" &amp; " " &amp; IF(P140="","",TEXT(P140,"M/D-")) &amp; IF(Q140="","",TEXT(Q140,"M/D")) &amp; " "</f>
        <v xml:space="preserve">   상품관리(김동오) 9/21-10/13 </v>
      </c>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71"/>
      <c r="CE140" s="171"/>
      <c r="CF140" s="171"/>
      <c r="CG140" s="171"/>
      <c r="CH140" s="171"/>
    </row>
    <row r="141" spans="1:86" ht="12" customHeight="1" outlineLevel="6">
      <c r="A141" s="189"/>
      <c r="B141" s="189"/>
      <c r="C141" s="189">
        <v>7</v>
      </c>
      <c r="D141" s="190" t="s">
        <v>2080</v>
      </c>
      <c r="E141" s="172"/>
      <c r="F141" s="172"/>
      <c r="G141" s="172"/>
      <c r="H141" s="172"/>
      <c r="I141" s="172"/>
      <c r="J141" s="172"/>
      <c r="K141" s="172" t="s">
        <v>2077</v>
      </c>
      <c r="L141" s="172"/>
      <c r="M141" s="172"/>
      <c r="N141" s="172"/>
      <c r="O141" s="172"/>
      <c r="P141" s="230">
        <v>46286</v>
      </c>
      <c r="Q141" s="230">
        <v>46297</v>
      </c>
      <c r="R141" s="172"/>
      <c r="S141" s="192">
        <v>8</v>
      </c>
      <c r="T141" s="192">
        <v>4</v>
      </c>
      <c r="U141" s="192">
        <v>8</v>
      </c>
      <c r="V141" s="192">
        <v>4</v>
      </c>
      <c r="W141" s="191"/>
      <c r="X141" s="191"/>
      <c r="Y141" s="193"/>
      <c r="Z141" s="194">
        <v>0</v>
      </c>
      <c r="AA141" s="192"/>
      <c r="AB141" s="226"/>
      <c r="AC141" s="227"/>
      <c r="AD141" s="195">
        <v>0.5</v>
      </c>
      <c r="AE141" s="200">
        <v>0</v>
      </c>
      <c r="AF141" s="170"/>
      <c r="AG141" s="171"/>
      <c r="AH141" s="171"/>
      <c r="AI141" s="171"/>
      <c r="AJ141" s="171"/>
      <c r="AK141" s="171"/>
      <c r="AL141" s="171"/>
      <c r="AM141" s="171"/>
      <c r="AN141" s="171"/>
      <c r="AO141" s="171"/>
      <c r="AP141" s="171"/>
      <c r="AQ141" s="171"/>
      <c r="AR141" s="171"/>
      <c r="AS141" s="171"/>
      <c r="AT141" s="171"/>
      <c r="AU141" s="171"/>
      <c r="AV141" s="171"/>
      <c r="AW141" s="171"/>
      <c r="AX141" s="171"/>
      <c r="AY141" s="171" t="str">
        <f>" " &amp; TEXT(AE141,"#0.00%") &amp; " " &amp; "상품마스터 관리" &amp; " " &amp; IF(P141="","",TEXT(P141,"M/D-")) &amp; IF(Q141="","",TEXT(Q141,"M/D")) &amp; " "</f>
        <v xml:space="preserve"> 0.00% 상품마스터 관리 9/21-10/2 </v>
      </c>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71"/>
      <c r="CE141" s="171"/>
      <c r="CF141" s="171"/>
      <c r="CG141" s="171"/>
      <c r="CH141" s="171"/>
    </row>
    <row r="142" spans="1:86" ht="12" customHeight="1" outlineLevel="6">
      <c r="A142" s="189"/>
      <c r="B142" s="189"/>
      <c r="C142" s="189">
        <v>7</v>
      </c>
      <c r="D142" s="190" t="s">
        <v>2081</v>
      </c>
      <c r="E142" s="172"/>
      <c r="F142" s="172"/>
      <c r="G142" s="172"/>
      <c r="H142" s="172"/>
      <c r="I142" s="172"/>
      <c r="J142" s="172"/>
      <c r="K142" s="172" t="s">
        <v>2078</v>
      </c>
      <c r="L142" s="172"/>
      <c r="M142" s="172"/>
      <c r="N142" s="172"/>
      <c r="O142" s="172"/>
      <c r="P142" s="230">
        <v>46300</v>
      </c>
      <c r="Q142" s="230">
        <v>46302</v>
      </c>
      <c r="R142" s="172"/>
      <c r="S142" s="192">
        <v>2</v>
      </c>
      <c r="T142" s="192">
        <v>0</v>
      </c>
      <c r="U142" s="192">
        <v>2</v>
      </c>
      <c r="V142" s="192">
        <v>0</v>
      </c>
      <c r="W142" s="191"/>
      <c r="X142" s="191"/>
      <c r="Y142" s="193"/>
      <c r="Z142" s="194">
        <v>0</v>
      </c>
      <c r="AA142" s="192"/>
      <c r="AB142" s="226"/>
      <c r="AC142" s="227"/>
      <c r="AD142" s="195">
        <v>0</v>
      </c>
      <c r="AE142" s="198">
        <v>0</v>
      </c>
      <c r="AF142" s="170"/>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t="str">
        <f>" " &amp; TEXT(AE142,"#0.00%") &amp; " " &amp; "판매상품 관리" &amp; " " &amp; IF(P142="","",TEXT(P142,"M/D-")) &amp; IF(Q142="","",TEXT(Q142,"M/D")) &amp; " "</f>
        <v xml:space="preserve"> 0.00% 판매상품 관리 10/5-10/7 </v>
      </c>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71"/>
      <c r="CE142" s="171"/>
      <c r="CF142" s="171"/>
      <c r="CG142" s="171"/>
      <c r="CH142" s="171"/>
    </row>
    <row r="143" spans="1:86" ht="12" customHeight="1" outlineLevel="6">
      <c r="A143" s="189"/>
      <c r="B143" s="189"/>
      <c r="C143" s="189">
        <v>7</v>
      </c>
      <c r="D143" s="190" t="s">
        <v>2082</v>
      </c>
      <c r="E143" s="172"/>
      <c r="F143" s="172"/>
      <c r="G143" s="172"/>
      <c r="H143" s="172"/>
      <c r="I143" s="172"/>
      <c r="J143" s="172"/>
      <c r="K143" s="172" t="s">
        <v>2079</v>
      </c>
      <c r="L143" s="172"/>
      <c r="M143" s="172"/>
      <c r="N143" s="172"/>
      <c r="O143" s="172"/>
      <c r="P143" s="230">
        <v>46303</v>
      </c>
      <c r="Q143" s="230">
        <v>46308</v>
      </c>
      <c r="R143" s="172"/>
      <c r="S143" s="192">
        <v>3</v>
      </c>
      <c r="T143" s="192">
        <v>0</v>
      </c>
      <c r="U143" s="192">
        <v>3</v>
      </c>
      <c r="V143" s="192">
        <v>0</v>
      </c>
      <c r="W143" s="191"/>
      <c r="X143" s="191"/>
      <c r="Y143" s="193"/>
      <c r="Z143" s="194">
        <v>0</v>
      </c>
      <c r="AA143" s="192"/>
      <c r="AB143" s="226"/>
      <c r="AC143" s="227"/>
      <c r="AD143" s="195">
        <v>0</v>
      </c>
      <c r="AE143" s="198">
        <v>0</v>
      </c>
      <c r="AF143" s="170"/>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t="str">
        <f>"    " &amp; TEXT(AE143,"#0.00%") &amp; " " &amp; "옵션 관리" &amp; " " &amp; IF(P143="","",TEXT(P143,"M/D-")) &amp; IF(Q143="","",TEXT(Q143,"M/D")) &amp; " "</f>
        <v xml:space="preserve">    0.00% 옵션 관리 10/8-10/13 </v>
      </c>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71"/>
      <c r="CE143" s="171"/>
      <c r="CF143" s="171"/>
      <c r="CG143" s="171"/>
      <c r="CH143" s="171"/>
    </row>
    <row r="144" spans="1:86" ht="12" customHeight="1" outlineLevel="5">
      <c r="A144" s="189"/>
      <c r="B144" s="189" t="s">
        <v>1387</v>
      </c>
      <c r="C144" s="189">
        <v>6</v>
      </c>
      <c r="D144" s="190" t="s">
        <v>1895</v>
      </c>
      <c r="E144" s="172"/>
      <c r="F144" s="172"/>
      <c r="G144" s="172"/>
      <c r="H144" s="172"/>
      <c r="I144" s="172"/>
      <c r="J144" s="172" t="s">
        <v>1925</v>
      </c>
      <c r="K144" s="172"/>
      <c r="L144" s="172"/>
      <c r="M144" s="172"/>
      <c r="N144" s="172"/>
      <c r="O144" s="172"/>
      <c r="P144" s="230">
        <v>46300</v>
      </c>
      <c r="Q144" s="230">
        <v>46311</v>
      </c>
      <c r="R144" s="172"/>
      <c r="S144" s="192">
        <v>13</v>
      </c>
      <c r="T144" s="192">
        <v>0</v>
      </c>
      <c r="U144" s="192">
        <v>8</v>
      </c>
      <c r="V144" s="192">
        <v>0</v>
      </c>
      <c r="W144" s="191"/>
      <c r="X144" s="191"/>
      <c r="Y144" s="193">
        <v>0</v>
      </c>
      <c r="Z144" s="194">
        <v>0</v>
      </c>
      <c r="AA144" s="192"/>
      <c r="AB144" s="251" t="s">
        <v>2064</v>
      </c>
      <c r="AC144" s="223" t="s">
        <v>1766</v>
      </c>
      <c r="AD144" s="195">
        <v>0</v>
      </c>
      <c r="AE144" s="197">
        <v>0</v>
      </c>
      <c r="AF144" s="170"/>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t="str">
        <f>" " &amp; TEXT(AE144,"#0.00%") &amp; " " &amp; "제휴카드 관리" &amp; "(박선미)" &amp; " " &amp; IF(P144="","",TEXT(P144,"M/D-")) &amp; IF(Q144="","",TEXT(Q144,"M/D")) &amp; " "</f>
        <v xml:space="preserve"> 0.00% 제휴카드 관리(박선미) 10/5-10/16 </v>
      </c>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71"/>
      <c r="CE144" s="171"/>
      <c r="CF144" s="171"/>
      <c r="CG144" s="171"/>
      <c r="CH144" s="171"/>
    </row>
    <row r="145" spans="1:86" ht="12" customHeight="1" outlineLevel="6">
      <c r="A145" s="189"/>
      <c r="B145" s="189"/>
      <c r="C145" s="189">
        <v>7</v>
      </c>
      <c r="D145" s="190" t="s">
        <v>2086</v>
      </c>
      <c r="E145" s="172"/>
      <c r="F145" s="172"/>
      <c r="G145" s="172"/>
      <c r="H145" s="172"/>
      <c r="I145" s="172"/>
      <c r="J145" s="172"/>
      <c r="K145" s="172" t="s">
        <v>2083</v>
      </c>
      <c r="L145" s="172"/>
      <c r="M145" s="172"/>
      <c r="N145" s="172"/>
      <c r="O145" s="172"/>
      <c r="P145" s="230">
        <v>46300</v>
      </c>
      <c r="Q145" s="230">
        <v>46304</v>
      </c>
      <c r="R145" s="172"/>
      <c r="S145" s="192">
        <v>3</v>
      </c>
      <c r="T145" s="192">
        <v>0</v>
      </c>
      <c r="U145" s="192">
        <v>3</v>
      </c>
      <c r="V145" s="192">
        <v>0</v>
      </c>
      <c r="W145" s="191"/>
      <c r="X145" s="191"/>
      <c r="Y145" s="193"/>
      <c r="Z145" s="194">
        <v>0</v>
      </c>
      <c r="AA145" s="192"/>
      <c r="AB145" s="251"/>
      <c r="AC145" s="223"/>
      <c r="AD145" s="195">
        <v>0</v>
      </c>
      <c r="AE145" s="198">
        <v>0</v>
      </c>
      <c r="AF145" s="170"/>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t="str">
        <f>" " &amp; TEXT(AE145,"#0.00%") &amp; " " &amp; "제휴카드 조회" &amp; " " &amp; IF(P145="","",TEXT(P145,"M/D-")) &amp; IF(Q145="","",TEXT(Q145,"M/D")) &amp; " "</f>
        <v xml:space="preserve"> 0.00% 제휴카드 조회 10/5-10/9 </v>
      </c>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71"/>
      <c r="CE145" s="171"/>
      <c r="CF145" s="171"/>
      <c r="CG145" s="171"/>
      <c r="CH145" s="171"/>
    </row>
    <row r="146" spans="1:86" ht="12" customHeight="1" outlineLevel="6">
      <c r="A146" s="189"/>
      <c r="B146" s="189"/>
      <c r="C146" s="189">
        <v>7</v>
      </c>
      <c r="D146" s="190" t="s">
        <v>2087</v>
      </c>
      <c r="E146" s="172"/>
      <c r="F146" s="172"/>
      <c r="G146" s="172"/>
      <c r="H146" s="172"/>
      <c r="I146" s="172"/>
      <c r="J146" s="172"/>
      <c r="K146" s="172" t="s">
        <v>2084</v>
      </c>
      <c r="L146" s="172"/>
      <c r="M146" s="172"/>
      <c r="N146" s="172"/>
      <c r="O146" s="172"/>
      <c r="P146" s="230">
        <v>46307</v>
      </c>
      <c r="Q146" s="230">
        <v>46311</v>
      </c>
      <c r="R146" s="172"/>
      <c r="S146" s="192">
        <v>5</v>
      </c>
      <c r="T146" s="192">
        <v>0</v>
      </c>
      <c r="U146" s="192">
        <v>5</v>
      </c>
      <c r="V146" s="192">
        <v>0</v>
      </c>
      <c r="W146" s="191"/>
      <c r="X146" s="191"/>
      <c r="Y146" s="193"/>
      <c r="Z146" s="194">
        <v>0</v>
      </c>
      <c r="AA146" s="192"/>
      <c r="AB146" s="251"/>
      <c r="AC146" s="223"/>
      <c r="AD146" s="195">
        <v>0</v>
      </c>
      <c r="AE146" s="198">
        <v>0</v>
      </c>
      <c r="AF146" s="170"/>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t="str">
        <f>" " &amp; TEXT(AE146,"#0.00%") &amp; " " &amp; "제휴카드 등록" &amp; " " &amp; IF(P146="","",TEXT(P146,"M/D-")) &amp; IF(Q146="","",TEXT(Q146,"M/D")) &amp; " "</f>
        <v xml:space="preserve"> 0.00% 제휴카드 등록 10/12-10/16 </v>
      </c>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71"/>
      <c r="CE146" s="171"/>
      <c r="CF146" s="171"/>
      <c r="CG146" s="171"/>
      <c r="CH146" s="171"/>
    </row>
    <row r="147" spans="1:86" ht="12" customHeight="1" outlineLevel="6">
      <c r="A147" s="189"/>
      <c r="B147" s="189"/>
      <c r="C147" s="189">
        <v>7</v>
      </c>
      <c r="D147" s="190" t="s">
        <v>2088</v>
      </c>
      <c r="E147" s="172"/>
      <c r="F147" s="172"/>
      <c r="G147" s="172"/>
      <c r="H147" s="172"/>
      <c r="I147" s="172"/>
      <c r="J147" s="172"/>
      <c r="K147" s="172" t="s">
        <v>2085</v>
      </c>
      <c r="L147" s="172"/>
      <c r="M147" s="172"/>
      <c r="N147" s="172"/>
      <c r="O147" s="172"/>
      <c r="P147" s="230">
        <v>46307</v>
      </c>
      <c r="Q147" s="230">
        <v>46311</v>
      </c>
      <c r="R147" s="172"/>
      <c r="S147" s="192">
        <v>5</v>
      </c>
      <c r="T147" s="192">
        <v>0</v>
      </c>
      <c r="U147" s="192">
        <v>5</v>
      </c>
      <c r="V147" s="192">
        <v>0</v>
      </c>
      <c r="W147" s="191"/>
      <c r="X147" s="191"/>
      <c r="Y147" s="193"/>
      <c r="Z147" s="194">
        <v>0</v>
      </c>
      <c r="AA147" s="192"/>
      <c r="AB147" s="251"/>
      <c r="AC147" s="223"/>
      <c r="AD147" s="195">
        <v>0</v>
      </c>
      <c r="AE147" s="198">
        <v>0</v>
      </c>
      <c r="AF147" s="170"/>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t="str">
        <f>" " &amp; TEXT(AE147,"#0.00%") &amp; " " &amp; "옵션/혜택관리" &amp; " " &amp; IF(P147="","",TEXT(P147,"M/D-")) &amp; IF(Q147="","",TEXT(Q147,"M/D")) &amp; " "</f>
        <v xml:space="preserve"> 0.00% 옵션/혜택관리 10/12-10/16 </v>
      </c>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71"/>
      <c r="CE147" s="171"/>
      <c r="CF147" s="171"/>
      <c r="CG147" s="171"/>
      <c r="CH147" s="171"/>
    </row>
    <row r="148" spans="1:86" ht="12" customHeight="1" outlineLevel="5">
      <c r="A148" s="189"/>
      <c r="B148" s="189" t="s">
        <v>1387</v>
      </c>
      <c r="C148" s="189">
        <v>6</v>
      </c>
      <c r="D148" s="190" t="s">
        <v>1896</v>
      </c>
      <c r="E148" s="172"/>
      <c r="F148" s="172"/>
      <c r="G148" s="172"/>
      <c r="H148" s="172"/>
      <c r="I148" s="172"/>
      <c r="J148" s="172" t="s">
        <v>1926</v>
      </c>
      <c r="K148" s="172"/>
      <c r="L148" s="172"/>
      <c r="M148" s="172"/>
      <c r="N148" s="172"/>
      <c r="O148" s="172"/>
      <c r="P148" s="230"/>
      <c r="Q148" s="230"/>
      <c r="R148" s="172"/>
      <c r="S148" s="192">
        <v>0</v>
      </c>
      <c r="T148" s="192">
        <v>0</v>
      </c>
      <c r="U148" s="192">
        <v>0</v>
      </c>
      <c r="V148" s="192">
        <v>0</v>
      </c>
      <c r="W148" s="191"/>
      <c r="X148" s="191"/>
      <c r="Y148" s="193">
        <v>0</v>
      </c>
      <c r="Z148" s="194">
        <v>0</v>
      </c>
      <c r="AA148" s="192"/>
      <c r="AB148" s="251" t="s">
        <v>2062</v>
      </c>
      <c r="AC148" s="223" t="s">
        <v>1766</v>
      </c>
      <c r="AD148" s="195">
        <v>0</v>
      </c>
      <c r="AE148" s="246">
        <v>0</v>
      </c>
      <c r="AF148" s="170"/>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71"/>
      <c r="CE148" s="171"/>
      <c r="CF148" s="171"/>
      <c r="CG148" s="171"/>
      <c r="CH148" s="171"/>
    </row>
    <row r="149" spans="1:86" ht="12" customHeight="1" outlineLevel="6">
      <c r="A149" s="189"/>
      <c r="B149" s="189"/>
      <c r="C149" s="189">
        <v>7</v>
      </c>
      <c r="D149" s="190" t="s">
        <v>2093</v>
      </c>
      <c r="E149" s="172"/>
      <c r="F149" s="172"/>
      <c r="G149" s="172"/>
      <c r="H149" s="172"/>
      <c r="I149" s="172"/>
      <c r="J149" s="172"/>
      <c r="K149" s="172" t="s">
        <v>2089</v>
      </c>
      <c r="L149" s="172"/>
      <c r="M149" s="172"/>
      <c r="N149" s="172"/>
      <c r="O149" s="172"/>
      <c r="P149" s="230"/>
      <c r="Q149" s="230"/>
      <c r="R149" s="172"/>
      <c r="S149" s="192">
        <v>0</v>
      </c>
      <c r="T149" s="192">
        <v>0</v>
      </c>
      <c r="U149" s="192">
        <v>0</v>
      </c>
      <c r="V149" s="192">
        <v>0</v>
      </c>
      <c r="W149" s="191"/>
      <c r="X149" s="191"/>
      <c r="Y149" s="193">
        <v>0</v>
      </c>
      <c r="Z149" s="194">
        <v>0</v>
      </c>
      <c r="AA149" s="192"/>
      <c r="AB149" s="251"/>
      <c r="AC149" s="223"/>
      <c r="AD149" s="195">
        <v>0</v>
      </c>
      <c r="AE149" s="246">
        <v>0</v>
      </c>
      <c r="AF149" s="170"/>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71"/>
      <c r="CE149" s="171"/>
      <c r="CF149" s="171"/>
      <c r="CG149" s="171"/>
      <c r="CH149" s="171"/>
    </row>
    <row r="150" spans="1:86" ht="12" customHeight="1" outlineLevel="6">
      <c r="A150" s="189"/>
      <c r="B150" s="189"/>
      <c r="C150" s="189">
        <v>7</v>
      </c>
      <c r="D150" s="190" t="s">
        <v>2094</v>
      </c>
      <c r="E150" s="172"/>
      <c r="F150" s="172"/>
      <c r="G150" s="172"/>
      <c r="H150" s="172"/>
      <c r="I150" s="172"/>
      <c r="J150" s="172"/>
      <c r="K150" s="172" t="s">
        <v>2090</v>
      </c>
      <c r="L150" s="172"/>
      <c r="M150" s="172"/>
      <c r="N150" s="172"/>
      <c r="O150" s="172"/>
      <c r="P150" s="230"/>
      <c r="Q150" s="230"/>
      <c r="R150" s="172"/>
      <c r="S150" s="192">
        <v>0</v>
      </c>
      <c r="T150" s="192">
        <v>0</v>
      </c>
      <c r="U150" s="192">
        <v>0</v>
      </c>
      <c r="V150" s="192">
        <v>0</v>
      </c>
      <c r="W150" s="191"/>
      <c r="X150" s="191"/>
      <c r="Y150" s="193">
        <v>0</v>
      </c>
      <c r="Z150" s="194">
        <v>0</v>
      </c>
      <c r="AA150" s="192"/>
      <c r="AB150" s="251"/>
      <c r="AC150" s="223"/>
      <c r="AD150" s="195">
        <v>0</v>
      </c>
      <c r="AE150" s="246">
        <v>0</v>
      </c>
      <c r="AF150" s="170"/>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71"/>
      <c r="CE150" s="171"/>
      <c r="CF150" s="171"/>
      <c r="CG150" s="171"/>
      <c r="CH150" s="171"/>
    </row>
    <row r="151" spans="1:86" ht="12" customHeight="1" outlineLevel="6">
      <c r="A151" s="189"/>
      <c r="B151" s="189"/>
      <c r="C151" s="189">
        <v>7</v>
      </c>
      <c r="D151" s="190" t="s">
        <v>2095</v>
      </c>
      <c r="E151" s="172"/>
      <c r="F151" s="172"/>
      <c r="G151" s="172"/>
      <c r="H151" s="172"/>
      <c r="I151" s="172"/>
      <c r="J151" s="172"/>
      <c r="K151" s="172" t="s">
        <v>2091</v>
      </c>
      <c r="L151" s="172"/>
      <c r="M151" s="172"/>
      <c r="N151" s="172"/>
      <c r="O151" s="172"/>
      <c r="P151" s="230"/>
      <c r="Q151" s="230"/>
      <c r="R151" s="172"/>
      <c r="S151" s="192">
        <v>0</v>
      </c>
      <c r="T151" s="192">
        <v>0</v>
      </c>
      <c r="U151" s="192">
        <v>0</v>
      </c>
      <c r="V151" s="192">
        <v>0</v>
      </c>
      <c r="W151" s="191"/>
      <c r="X151" s="191"/>
      <c r="Y151" s="193">
        <v>0</v>
      </c>
      <c r="Z151" s="194">
        <v>0</v>
      </c>
      <c r="AA151" s="192"/>
      <c r="AB151" s="251"/>
      <c r="AC151" s="223"/>
      <c r="AD151" s="195">
        <v>0</v>
      </c>
      <c r="AE151" s="246">
        <v>0</v>
      </c>
      <c r="AF151" s="170"/>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71"/>
      <c r="CE151" s="171"/>
      <c r="CF151" s="171"/>
      <c r="CG151" s="171"/>
      <c r="CH151" s="171"/>
    </row>
    <row r="152" spans="1:86" ht="12" customHeight="1" outlineLevel="6">
      <c r="A152" s="189"/>
      <c r="B152" s="189"/>
      <c r="C152" s="189">
        <v>7</v>
      </c>
      <c r="D152" s="190" t="s">
        <v>2096</v>
      </c>
      <c r="E152" s="172"/>
      <c r="F152" s="172"/>
      <c r="G152" s="172"/>
      <c r="H152" s="172"/>
      <c r="I152" s="172"/>
      <c r="J152" s="172"/>
      <c r="K152" s="172" t="s">
        <v>2092</v>
      </c>
      <c r="L152" s="172"/>
      <c r="M152" s="172"/>
      <c r="N152" s="172"/>
      <c r="O152" s="172"/>
      <c r="P152" s="230"/>
      <c r="Q152" s="230"/>
      <c r="R152" s="172"/>
      <c r="S152" s="192">
        <v>0</v>
      </c>
      <c r="T152" s="192">
        <v>0</v>
      </c>
      <c r="U152" s="192">
        <v>0</v>
      </c>
      <c r="V152" s="192">
        <v>0</v>
      </c>
      <c r="W152" s="191"/>
      <c r="X152" s="191"/>
      <c r="Y152" s="193">
        <v>0</v>
      </c>
      <c r="Z152" s="194">
        <v>0</v>
      </c>
      <c r="AA152" s="192"/>
      <c r="AB152" s="251"/>
      <c r="AC152" s="223"/>
      <c r="AD152" s="195">
        <v>0</v>
      </c>
      <c r="AE152" s="246">
        <v>0</v>
      </c>
      <c r="AF152" s="170"/>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71"/>
      <c r="CE152" s="171"/>
      <c r="CF152" s="171"/>
      <c r="CG152" s="171"/>
      <c r="CH152" s="171"/>
    </row>
    <row r="153" spans="1:86" ht="12" customHeight="1" outlineLevel="5">
      <c r="A153" s="189"/>
      <c r="B153" s="189" t="s">
        <v>1387</v>
      </c>
      <c r="C153" s="189">
        <v>6</v>
      </c>
      <c r="D153" s="190" t="s">
        <v>1897</v>
      </c>
      <c r="E153" s="172"/>
      <c r="F153" s="172"/>
      <c r="G153" s="172"/>
      <c r="H153" s="172"/>
      <c r="I153" s="172"/>
      <c r="J153" s="172" t="s">
        <v>1927</v>
      </c>
      <c r="K153" s="172"/>
      <c r="L153" s="172"/>
      <c r="M153" s="172"/>
      <c r="N153" s="172"/>
      <c r="O153" s="172"/>
      <c r="P153" s="230"/>
      <c r="Q153" s="230"/>
      <c r="R153" s="172"/>
      <c r="S153" s="192">
        <v>0</v>
      </c>
      <c r="T153" s="192">
        <v>0</v>
      </c>
      <c r="U153" s="192">
        <v>0</v>
      </c>
      <c r="V153" s="192">
        <v>0</v>
      </c>
      <c r="W153" s="191"/>
      <c r="X153" s="191"/>
      <c r="Y153" s="193">
        <v>0</v>
      </c>
      <c r="Z153" s="194">
        <v>0</v>
      </c>
      <c r="AA153" s="192"/>
      <c r="AB153" s="251" t="s">
        <v>2066</v>
      </c>
      <c r="AC153" s="223" t="s">
        <v>1766</v>
      </c>
      <c r="AD153" s="195">
        <v>0</v>
      </c>
      <c r="AE153" s="246">
        <v>0</v>
      </c>
      <c r="AF153" s="170"/>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71"/>
      <c r="CE153" s="171"/>
      <c r="CF153" s="171"/>
      <c r="CG153" s="171"/>
      <c r="CH153" s="171"/>
    </row>
    <row r="154" spans="1:86" ht="12" customHeight="1" outlineLevel="6">
      <c r="A154" s="189"/>
      <c r="B154" s="189"/>
      <c r="C154" s="189">
        <v>7</v>
      </c>
      <c r="D154" s="190" t="s">
        <v>2147</v>
      </c>
      <c r="E154" s="172"/>
      <c r="F154" s="172"/>
      <c r="G154" s="172"/>
      <c r="H154" s="172"/>
      <c r="I154" s="172"/>
      <c r="J154" s="172"/>
      <c r="K154" s="172" t="s">
        <v>2143</v>
      </c>
      <c r="L154" s="172"/>
      <c r="M154" s="172"/>
      <c r="N154" s="172"/>
      <c r="O154" s="172"/>
      <c r="P154" s="230"/>
      <c r="Q154" s="230"/>
      <c r="R154" s="172"/>
      <c r="S154" s="192">
        <v>0</v>
      </c>
      <c r="T154" s="192">
        <v>0</v>
      </c>
      <c r="U154" s="192">
        <v>0</v>
      </c>
      <c r="V154" s="192">
        <v>0</v>
      </c>
      <c r="W154" s="191"/>
      <c r="X154" s="191"/>
      <c r="Y154" s="193">
        <v>0</v>
      </c>
      <c r="Z154" s="194">
        <v>0</v>
      </c>
      <c r="AA154" s="192"/>
      <c r="AB154" s="251"/>
      <c r="AC154" s="223"/>
      <c r="AD154" s="195">
        <v>0</v>
      </c>
      <c r="AE154" s="246">
        <v>0</v>
      </c>
      <c r="AF154" s="170"/>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71"/>
      <c r="CE154" s="171"/>
      <c r="CF154" s="171"/>
      <c r="CG154" s="171"/>
      <c r="CH154" s="171"/>
    </row>
    <row r="155" spans="1:86" ht="12" customHeight="1" outlineLevel="6">
      <c r="A155" s="189"/>
      <c r="B155" s="189"/>
      <c r="C155" s="189">
        <v>7</v>
      </c>
      <c r="D155" s="190" t="s">
        <v>2148</v>
      </c>
      <c r="E155" s="172"/>
      <c r="F155" s="172"/>
      <c r="G155" s="172"/>
      <c r="H155" s="172"/>
      <c r="I155" s="172"/>
      <c r="J155" s="172"/>
      <c r="K155" s="172" t="s">
        <v>2144</v>
      </c>
      <c r="L155" s="172"/>
      <c r="M155" s="172"/>
      <c r="N155" s="172"/>
      <c r="O155" s="172"/>
      <c r="P155" s="230"/>
      <c r="Q155" s="230"/>
      <c r="R155" s="172"/>
      <c r="S155" s="192">
        <v>0</v>
      </c>
      <c r="T155" s="192">
        <v>0</v>
      </c>
      <c r="U155" s="192">
        <v>0</v>
      </c>
      <c r="V155" s="192">
        <v>0</v>
      </c>
      <c r="W155" s="191"/>
      <c r="X155" s="191"/>
      <c r="Y155" s="193">
        <v>0</v>
      </c>
      <c r="Z155" s="194">
        <v>0</v>
      </c>
      <c r="AA155" s="192"/>
      <c r="AB155" s="251"/>
      <c r="AC155" s="223"/>
      <c r="AD155" s="195">
        <v>0</v>
      </c>
      <c r="AE155" s="246">
        <v>0</v>
      </c>
      <c r="AF155" s="170"/>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71"/>
      <c r="CE155" s="171"/>
      <c r="CF155" s="171"/>
      <c r="CG155" s="171"/>
      <c r="CH155" s="171"/>
    </row>
    <row r="156" spans="1:86" ht="12" customHeight="1" outlineLevel="6">
      <c r="A156" s="189"/>
      <c r="B156" s="189"/>
      <c r="C156" s="189">
        <v>7</v>
      </c>
      <c r="D156" s="190" t="s">
        <v>2149</v>
      </c>
      <c r="E156" s="172"/>
      <c r="F156" s="172"/>
      <c r="G156" s="172"/>
      <c r="H156" s="172"/>
      <c r="I156" s="172"/>
      <c r="J156" s="172"/>
      <c r="K156" s="172" t="s">
        <v>2145</v>
      </c>
      <c r="L156" s="172"/>
      <c r="M156" s="172"/>
      <c r="N156" s="172"/>
      <c r="O156" s="172"/>
      <c r="P156" s="230"/>
      <c r="Q156" s="230"/>
      <c r="R156" s="172"/>
      <c r="S156" s="192">
        <v>0</v>
      </c>
      <c r="T156" s="192">
        <v>0</v>
      </c>
      <c r="U156" s="192">
        <v>0</v>
      </c>
      <c r="V156" s="192">
        <v>0</v>
      </c>
      <c r="W156" s="191"/>
      <c r="X156" s="191"/>
      <c r="Y156" s="193">
        <v>0</v>
      </c>
      <c r="Z156" s="194">
        <v>0</v>
      </c>
      <c r="AA156" s="192"/>
      <c r="AB156" s="251"/>
      <c r="AC156" s="223"/>
      <c r="AD156" s="195">
        <v>0</v>
      </c>
      <c r="AE156" s="246">
        <v>0</v>
      </c>
      <c r="AF156" s="170"/>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71"/>
      <c r="CE156" s="171"/>
      <c r="CF156" s="171"/>
      <c r="CG156" s="171"/>
      <c r="CH156" s="171"/>
    </row>
    <row r="157" spans="1:86" ht="12" customHeight="1" outlineLevel="6">
      <c r="A157" s="189"/>
      <c r="B157" s="189"/>
      <c r="C157" s="189">
        <v>7</v>
      </c>
      <c r="D157" s="190" t="s">
        <v>2150</v>
      </c>
      <c r="E157" s="172"/>
      <c r="F157" s="172"/>
      <c r="G157" s="172"/>
      <c r="H157" s="172"/>
      <c r="I157" s="172"/>
      <c r="J157" s="172"/>
      <c r="K157" s="172" t="s">
        <v>2146</v>
      </c>
      <c r="L157" s="172"/>
      <c r="M157" s="172"/>
      <c r="N157" s="172"/>
      <c r="O157" s="172"/>
      <c r="P157" s="230"/>
      <c r="Q157" s="230"/>
      <c r="R157" s="172"/>
      <c r="S157" s="192">
        <v>0</v>
      </c>
      <c r="T157" s="192">
        <v>0</v>
      </c>
      <c r="U157" s="192">
        <v>0</v>
      </c>
      <c r="V157" s="192">
        <v>0</v>
      </c>
      <c r="W157" s="191"/>
      <c r="X157" s="191"/>
      <c r="Y157" s="193">
        <v>0</v>
      </c>
      <c r="Z157" s="194">
        <v>0</v>
      </c>
      <c r="AA157" s="192"/>
      <c r="AB157" s="251"/>
      <c r="AC157" s="223"/>
      <c r="AD157" s="195">
        <v>0</v>
      </c>
      <c r="AE157" s="246">
        <v>0</v>
      </c>
      <c r="AF157" s="170"/>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71"/>
      <c r="CE157" s="171"/>
      <c r="CF157" s="171"/>
      <c r="CG157" s="171"/>
      <c r="CH157" s="171"/>
    </row>
    <row r="158" spans="1:86" ht="12" customHeight="1" outlineLevel="6">
      <c r="A158" s="189"/>
      <c r="B158" s="189"/>
      <c r="C158" s="189">
        <v>7</v>
      </c>
      <c r="D158" s="190" t="s">
        <v>2151</v>
      </c>
      <c r="E158" s="172"/>
      <c r="F158" s="172"/>
      <c r="G158" s="172"/>
      <c r="H158" s="172"/>
      <c r="I158" s="172"/>
      <c r="J158" s="172"/>
      <c r="K158" s="172" t="s">
        <v>2111</v>
      </c>
      <c r="L158" s="172"/>
      <c r="M158" s="172"/>
      <c r="N158" s="172"/>
      <c r="O158" s="172"/>
      <c r="P158" s="230"/>
      <c r="Q158" s="230"/>
      <c r="R158" s="172"/>
      <c r="S158" s="192">
        <v>0</v>
      </c>
      <c r="T158" s="192">
        <v>0</v>
      </c>
      <c r="U158" s="192">
        <v>0</v>
      </c>
      <c r="V158" s="192">
        <v>0</v>
      </c>
      <c r="W158" s="191"/>
      <c r="X158" s="191"/>
      <c r="Y158" s="193">
        <v>0</v>
      </c>
      <c r="Z158" s="194">
        <v>0</v>
      </c>
      <c r="AA158" s="192"/>
      <c r="AB158" s="251"/>
      <c r="AC158" s="223"/>
      <c r="AD158" s="195">
        <v>0</v>
      </c>
      <c r="AE158" s="246">
        <v>0</v>
      </c>
      <c r="AF158" s="170"/>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71"/>
      <c r="CE158" s="171"/>
      <c r="CF158" s="171"/>
      <c r="CG158" s="171"/>
      <c r="CH158" s="171"/>
    </row>
    <row r="159" spans="1:86" ht="12" customHeight="1" outlineLevel="5">
      <c r="A159" s="189"/>
      <c r="B159" s="189" t="s">
        <v>1387</v>
      </c>
      <c r="C159" s="189">
        <v>6</v>
      </c>
      <c r="D159" s="190" t="s">
        <v>1898</v>
      </c>
      <c r="E159" s="172"/>
      <c r="F159" s="172"/>
      <c r="G159" s="172"/>
      <c r="H159" s="172"/>
      <c r="I159" s="172"/>
      <c r="J159" s="172" t="s">
        <v>1928</v>
      </c>
      <c r="K159" s="172"/>
      <c r="L159" s="172"/>
      <c r="M159" s="172"/>
      <c r="N159" s="172"/>
      <c r="O159" s="172"/>
      <c r="P159" s="230"/>
      <c r="Q159" s="230"/>
      <c r="R159" s="172"/>
      <c r="S159" s="192">
        <v>0</v>
      </c>
      <c r="T159" s="192">
        <v>0</v>
      </c>
      <c r="U159" s="192">
        <v>0</v>
      </c>
      <c r="V159" s="192">
        <v>0</v>
      </c>
      <c r="W159" s="191"/>
      <c r="X159" s="191"/>
      <c r="Y159" s="193">
        <v>0</v>
      </c>
      <c r="Z159" s="194">
        <v>0</v>
      </c>
      <c r="AA159" s="192"/>
      <c r="AB159" s="251" t="s">
        <v>2065</v>
      </c>
      <c r="AC159" s="223" t="s">
        <v>1766</v>
      </c>
      <c r="AD159" s="195">
        <v>0</v>
      </c>
      <c r="AE159" s="246">
        <v>0</v>
      </c>
      <c r="AF159" s="170"/>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71"/>
      <c r="CE159" s="171"/>
      <c r="CF159" s="171"/>
      <c r="CG159" s="171"/>
      <c r="CH159" s="171"/>
    </row>
    <row r="160" spans="1:86" ht="12" customHeight="1" outlineLevel="6">
      <c r="A160" s="189"/>
      <c r="B160" s="189"/>
      <c r="C160" s="189">
        <v>7</v>
      </c>
      <c r="D160" s="190" t="s">
        <v>2160</v>
      </c>
      <c r="E160" s="172"/>
      <c r="F160" s="172"/>
      <c r="G160" s="172"/>
      <c r="H160" s="172"/>
      <c r="I160" s="172"/>
      <c r="J160" s="172"/>
      <c r="K160" s="172" t="s">
        <v>2152</v>
      </c>
      <c r="L160" s="172"/>
      <c r="M160" s="172"/>
      <c r="N160" s="172"/>
      <c r="O160" s="172"/>
      <c r="P160" s="230"/>
      <c r="Q160" s="230"/>
      <c r="R160" s="172"/>
      <c r="S160" s="192">
        <v>0</v>
      </c>
      <c r="T160" s="192">
        <v>0</v>
      </c>
      <c r="U160" s="192">
        <v>0</v>
      </c>
      <c r="V160" s="192">
        <v>0</v>
      </c>
      <c r="W160" s="191"/>
      <c r="X160" s="191"/>
      <c r="Y160" s="193">
        <v>0</v>
      </c>
      <c r="Z160" s="194">
        <v>0</v>
      </c>
      <c r="AA160" s="192"/>
      <c r="AB160" s="251"/>
      <c r="AC160" s="223"/>
      <c r="AD160" s="195">
        <v>0</v>
      </c>
      <c r="AE160" s="246">
        <v>0</v>
      </c>
      <c r="AF160" s="170"/>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71"/>
      <c r="CE160" s="171"/>
      <c r="CF160" s="171"/>
      <c r="CG160" s="171"/>
      <c r="CH160" s="171"/>
    </row>
    <row r="161" spans="1:86" ht="12" customHeight="1" outlineLevel="6">
      <c r="A161" s="189"/>
      <c r="B161" s="189"/>
      <c r="C161" s="189">
        <v>7</v>
      </c>
      <c r="D161" s="190" t="s">
        <v>2161</v>
      </c>
      <c r="E161" s="172"/>
      <c r="F161" s="172"/>
      <c r="G161" s="172"/>
      <c r="H161" s="172"/>
      <c r="I161" s="172"/>
      <c r="J161" s="172"/>
      <c r="K161" s="172" t="s">
        <v>2153</v>
      </c>
      <c r="L161" s="172"/>
      <c r="M161" s="172"/>
      <c r="N161" s="172"/>
      <c r="O161" s="172"/>
      <c r="P161" s="230"/>
      <c r="Q161" s="230"/>
      <c r="R161" s="172"/>
      <c r="S161" s="192">
        <v>0</v>
      </c>
      <c r="T161" s="192">
        <v>0</v>
      </c>
      <c r="U161" s="192">
        <v>0</v>
      </c>
      <c r="V161" s="192">
        <v>0</v>
      </c>
      <c r="W161" s="191"/>
      <c r="X161" s="191"/>
      <c r="Y161" s="193">
        <v>0</v>
      </c>
      <c r="Z161" s="194">
        <v>0</v>
      </c>
      <c r="AA161" s="192"/>
      <c r="AB161" s="251"/>
      <c r="AC161" s="223"/>
      <c r="AD161" s="195">
        <v>0</v>
      </c>
      <c r="AE161" s="246">
        <v>0</v>
      </c>
      <c r="AF161" s="170"/>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71"/>
      <c r="CE161" s="171"/>
      <c r="CF161" s="171"/>
      <c r="CG161" s="171"/>
      <c r="CH161" s="171"/>
    </row>
    <row r="162" spans="1:86" ht="12" customHeight="1" outlineLevel="5">
      <c r="A162" s="189"/>
      <c r="B162" s="189" t="s">
        <v>1387</v>
      </c>
      <c r="C162" s="189">
        <v>6</v>
      </c>
      <c r="D162" s="190" t="s">
        <v>1899</v>
      </c>
      <c r="E162" s="172"/>
      <c r="F162" s="172"/>
      <c r="G162" s="172"/>
      <c r="H162" s="172"/>
      <c r="I162" s="172"/>
      <c r="J162" s="172" t="s">
        <v>1843</v>
      </c>
      <c r="K162" s="172"/>
      <c r="L162" s="172"/>
      <c r="M162" s="172"/>
      <c r="N162" s="172"/>
      <c r="O162" s="172"/>
      <c r="P162" s="230"/>
      <c r="Q162" s="230"/>
      <c r="R162" s="172"/>
      <c r="S162" s="192">
        <v>0</v>
      </c>
      <c r="T162" s="192">
        <v>0</v>
      </c>
      <c r="U162" s="192">
        <v>0</v>
      </c>
      <c r="V162" s="192">
        <v>0</v>
      </c>
      <c r="W162" s="191"/>
      <c r="X162" s="191"/>
      <c r="Y162" s="193">
        <v>0</v>
      </c>
      <c r="Z162" s="194">
        <v>0</v>
      </c>
      <c r="AA162" s="192"/>
      <c r="AB162" s="251" t="s">
        <v>2067</v>
      </c>
      <c r="AC162" s="223" t="s">
        <v>1766</v>
      </c>
      <c r="AD162" s="195">
        <v>0</v>
      </c>
      <c r="AE162" s="246">
        <v>0</v>
      </c>
      <c r="AF162" s="170"/>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71"/>
      <c r="CE162" s="171"/>
      <c r="CF162" s="171"/>
      <c r="CG162" s="171"/>
      <c r="CH162" s="171"/>
    </row>
    <row r="163" spans="1:86" ht="12" customHeight="1" outlineLevel="6">
      <c r="A163" s="189"/>
      <c r="B163" s="189"/>
      <c r="C163" s="189">
        <v>7</v>
      </c>
      <c r="D163" s="190" t="s">
        <v>2162</v>
      </c>
      <c r="E163" s="172"/>
      <c r="F163" s="172"/>
      <c r="G163" s="172"/>
      <c r="H163" s="172"/>
      <c r="I163" s="172"/>
      <c r="J163" s="172"/>
      <c r="K163" s="172" t="s">
        <v>2154</v>
      </c>
      <c r="L163" s="172"/>
      <c r="M163" s="172"/>
      <c r="N163" s="172"/>
      <c r="O163" s="172"/>
      <c r="P163" s="230"/>
      <c r="Q163" s="230"/>
      <c r="R163" s="172"/>
      <c r="S163" s="192">
        <v>0</v>
      </c>
      <c r="T163" s="192">
        <v>0</v>
      </c>
      <c r="U163" s="192">
        <v>0</v>
      </c>
      <c r="V163" s="192">
        <v>0</v>
      </c>
      <c r="W163" s="191"/>
      <c r="X163" s="191"/>
      <c r="Y163" s="193">
        <v>0</v>
      </c>
      <c r="Z163" s="194">
        <v>0</v>
      </c>
      <c r="AA163" s="192"/>
      <c r="AB163" s="251"/>
      <c r="AC163" s="223"/>
      <c r="AD163" s="195">
        <v>0</v>
      </c>
      <c r="AE163" s="246">
        <v>0</v>
      </c>
      <c r="AF163" s="170"/>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71"/>
      <c r="CE163" s="171"/>
      <c r="CF163" s="171"/>
      <c r="CG163" s="171"/>
      <c r="CH163" s="171"/>
    </row>
    <row r="164" spans="1:86" ht="12" customHeight="1" outlineLevel="6">
      <c r="A164" s="189"/>
      <c r="B164" s="189"/>
      <c r="C164" s="189">
        <v>7</v>
      </c>
      <c r="D164" s="190" t="s">
        <v>2163</v>
      </c>
      <c r="E164" s="172"/>
      <c r="F164" s="172"/>
      <c r="G164" s="172"/>
      <c r="H164" s="172"/>
      <c r="I164" s="172"/>
      <c r="J164" s="172"/>
      <c r="K164" s="172" t="s">
        <v>2155</v>
      </c>
      <c r="L164" s="172"/>
      <c r="M164" s="172"/>
      <c r="N164" s="172"/>
      <c r="O164" s="172"/>
      <c r="P164" s="230"/>
      <c r="Q164" s="230"/>
      <c r="R164" s="172"/>
      <c r="S164" s="192">
        <v>0</v>
      </c>
      <c r="T164" s="192">
        <v>0</v>
      </c>
      <c r="U164" s="192">
        <v>0</v>
      </c>
      <c r="V164" s="192">
        <v>0</v>
      </c>
      <c r="W164" s="191"/>
      <c r="X164" s="191"/>
      <c r="Y164" s="193">
        <v>0</v>
      </c>
      <c r="Z164" s="194">
        <v>0</v>
      </c>
      <c r="AA164" s="192"/>
      <c r="AB164" s="251"/>
      <c r="AC164" s="223"/>
      <c r="AD164" s="195">
        <v>0</v>
      </c>
      <c r="AE164" s="246">
        <v>0</v>
      </c>
      <c r="AF164" s="170"/>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71"/>
      <c r="CE164" s="171"/>
      <c r="CF164" s="171"/>
      <c r="CG164" s="171"/>
      <c r="CH164" s="171"/>
    </row>
    <row r="165" spans="1:86" ht="12" customHeight="1" outlineLevel="5">
      <c r="A165" s="189"/>
      <c r="B165" s="189" t="s">
        <v>1387</v>
      </c>
      <c r="C165" s="189">
        <v>6</v>
      </c>
      <c r="D165" s="190" t="s">
        <v>1900</v>
      </c>
      <c r="E165" s="172"/>
      <c r="F165" s="172"/>
      <c r="G165" s="172"/>
      <c r="H165" s="172"/>
      <c r="I165" s="172"/>
      <c r="J165" s="172" t="s">
        <v>1860</v>
      </c>
      <c r="K165" s="172"/>
      <c r="L165" s="172"/>
      <c r="M165" s="172"/>
      <c r="N165" s="172"/>
      <c r="O165" s="172"/>
      <c r="P165" s="230"/>
      <c r="Q165" s="230"/>
      <c r="R165" s="172"/>
      <c r="S165" s="192">
        <v>0</v>
      </c>
      <c r="T165" s="192">
        <v>0</v>
      </c>
      <c r="U165" s="192">
        <v>0</v>
      </c>
      <c r="V165" s="192">
        <v>0</v>
      </c>
      <c r="W165" s="191"/>
      <c r="X165" s="191"/>
      <c r="Y165" s="193">
        <v>0</v>
      </c>
      <c r="Z165" s="194">
        <v>0</v>
      </c>
      <c r="AA165" s="192"/>
      <c r="AB165" s="251" t="s">
        <v>2067</v>
      </c>
      <c r="AC165" s="223" t="s">
        <v>1766</v>
      </c>
      <c r="AD165" s="195">
        <v>0</v>
      </c>
      <c r="AE165" s="246">
        <v>0</v>
      </c>
      <c r="AF165" s="170"/>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71"/>
      <c r="CE165" s="171"/>
      <c r="CF165" s="171"/>
      <c r="CG165" s="171"/>
      <c r="CH165" s="171"/>
    </row>
    <row r="166" spans="1:86" ht="12" customHeight="1" outlineLevel="6">
      <c r="A166" s="189"/>
      <c r="B166" s="189"/>
      <c r="C166" s="189">
        <v>7</v>
      </c>
      <c r="D166" s="190" t="s">
        <v>2164</v>
      </c>
      <c r="E166" s="172"/>
      <c r="F166" s="172"/>
      <c r="G166" s="172"/>
      <c r="H166" s="172"/>
      <c r="I166" s="172"/>
      <c r="J166" s="172"/>
      <c r="K166" s="172" t="s">
        <v>2156</v>
      </c>
      <c r="L166" s="172"/>
      <c r="M166" s="172"/>
      <c r="N166" s="172"/>
      <c r="O166" s="172"/>
      <c r="P166" s="230"/>
      <c r="Q166" s="230"/>
      <c r="R166" s="172"/>
      <c r="S166" s="192">
        <v>0</v>
      </c>
      <c r="T166" s="192">
        <v>0</v>
      </c>
      <c r="U166" s="192">
        <v>0</v>
      </c>
      <c r="V166" s="192">
        <v>0</v>
      </c>
      <c r="W166" s="191"/>
      <c r="X166" s="191"/>
      <c r="Y166" s="193">
        <v>0</v>
      </c>
      <c r="Z166" s="194">
        <v>0</v>
      </c>
      <c r="AA166" s="192"/>
      <c r="AB166" s="251"/>
      <c r="AC166" s="223"/>
      <c r="AD166" s="195">
        <v>0</v>
      </c>
      <c r="AE166" s="246">
        <v>0</v>
      </c>
      <c r="AF166" s="170"/>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71"/>
      <c r="CE166" s="171"/>
      <c r="CF166" s="171"/>
      <c r="CG166" s="171"/>
      <c r="CH166" s="171"/>
    </row>
    <row r="167" spans="1:86" ht="12" customHeight="1" outlineLevel="6">
      <c r="A167" s="189"/>
      <c r="B167" s="189"/>
      <c r="C167" s="189">
        <v>7</v>
      </c>
      <c r="D167" s="190" t="s">
        <v>2165</v>
      </c>
      <c r="E167" s="172"/>
      <c r="F167" s="172"/>
      <c r="G167" s="172"/>
      <c r="H167" s="172"/>
      <c r="I167" s="172"/>
      <c r="J167" s="172"/>
      <c r="K167" s="172" t="s">
        <v>2157</v>
      </c>
      <c r="L167" s="172"/>
      <c r="M167" s="172"/>
      <c r="N167" s="172"/>
      <c r="O167" s="172"/>
      <c r="P167" s="230"/>
      <c r="Q167" s="230"/>
      <c r="R167" s="172"/>
      <c r="S167" s="192">
        <v>0</v>
      </c>
      <c r="T167" s="192">
        <v>0</v>
      </c>
      <c r="U167" s="192">
        <v>0</v>
      </c>
      <c r="V167" s="192">
        <v>0</v>
      </c>
      <c r="W167" s="191"/>
      <c r="X167" s="191"/>
      <c r="Y167" s="193">
        <v>0</v>
      </c>
      <c r="Z167" s="194">
        <v>0</v>
      </c>
      <c r="AA167" s="192"/>
      <c r="AB167" s="251"/>
      <c r="AC167" s="223"/>
      <c r="AD167" s="195">
        <v>0</v>
      </c>
      <c r="AE167" s="246">
        <v>0</v>
      </c>
      <c r="AF167" s="170"/>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71"/>
      <c r="CE167" s="171"/>
      <c r="CF167" s="171"/>
      <c r="CG167" s="171"/>
      <c r="CH167" s="171"/>
    </row>
    <row r="168" spans="1:86" ht="12" customHeight="1" outlineLevel="6">
      <c r="A168" s="189"/>
      <c r="B168" s="189"/>
      <c r="C168" s="189">
        <v>7</v>
      </c>
      <c r="D168" s="190" t="s">
        <v>2166</v>
      </c>
      <c r="E168" s="172"/>
      <c r="F168" s="172"/>
      <c r="G168" s="172"/>
      <c r="H168" s="172"/>
      <c r="I168" s="172"/>
      <c r="J168" s="172"/>
      <c r="K168" s="172" t="s">
        <v>2158</v>
      </c>
      <c r="L168" s="172"/>
      <c r="M168" s="172"/>
      <c r="N168" s="172"/>
      <c r="O168" s="172"/>
      <c r="P168" s="230"/>
      <c r="Q168" s="230"/>
      <c r="R168" s="172"/>
      <c r="S168" s="192">
        <v>0</v>
      </c>
      <c r="T168" s="192">
        <v>0</v>
      </c>
      <c r="U168" s="192">
        <v>0</v>
      </c>
      <c r="V168" s="192">
        <v>0</v>
      </c>
      <c r="W168" s="191"/>
      <c r="X168" s="191"/>
      <c r="Y168" s="193">
        <v>0</v>
      </c>
      <c r="Z168" s="194">
        <v>0</v>
      </c>
      <c r="AA168" s="192"/>
      <c r="AB168" s="251"/>
      <c r="AC168" s="223"/>
      <c r="AD168" s="195">
        <v>0</v>
      </c>
      <c r="AE168" s="246">
        <v>0</v>
      </c>
      <c r="AF168" s="170"/>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71"/>
      <c r="CE168" s="171"/>
      <c r="CF168" s="171"/>
      <c r="CG168" s="171"/>
      <c r="CH168" s="171"/>
    </row>
    <row r="169" spans="1:86" ht="12" customHeight="1" outlineLevel="6">
      <c r="A169" s="189"/>
      <c r="B169" s="189"/>
      <c r="C169" s="189">
        <v>7</v>
      </c>
      <c r="D169" s="190" t="s">
        <v>2167</v>
      </c>
      <c r="E169" s="172"/>
      <c r="F169" s="172"/>
      <c r="G169" s="172"/>
      <c r="H169" s="172"/>
      <c r="I169" s="172"/>
      <c r="J169" s="172"/>
      <c r="K169" s="172" t="s">
        <v>2159</v>
      </c>
      <c r="L169" s="172"/>
      <c r="M169" s="172"/>
      <c r="N169" s="172"/>
      <c r="O169" s="172"/>
      <c r="P169" s="230"/>
      <c r="Q169" s="230"/>
      <c r="R169" s="172"/>
      <c r="S169" s="192">
        <v>0</v>
      </c>
      <c r="T169" s="192">
        <v>0</v>
      </c>
      <c r="U169" s="192">
        <v>0</v>
      </c>
      <c r="V169" s="192">
        <v>0</v>
      </c>
      <c r="W169" s="191"/>
      <c r="X169" s="191"/>
      <c r="Y169" s="193">
        <v>0</v>
      </c>
      <c r="Z169" s="194">
        <v>0</v>
      </c>
      <c r="AA169" s="192"/>
      <c r="AB169" s="251"/>
      <c r="AC169" s="223"/>
      <c r="AD169" s="195">
        <v>0</v>
      </c>
      <c r="AE169" s="246">
        <v>0</v>
      </c>
      <c r="AF169" s="170"/>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71"/>
      <c r="CE169" s="171"/>
      <c r="CF169" s="171"/>
      <c r="CG169" s="171"/>
      <c r="CH169" s="171"/>
    </row>
    <row r="170" spans="1:86" ht="12" customHeight="1" outlineLevel="5">
      <c r="A170" s="189"/>
      <c r="B170" s="189" t="s">
        <v>1387</v>
      </c>
      <c r="C170" s="189">
        <v>6</v>
      </c>
      <c r="D170" s="190" t="s">
        <v>1901</v>
      </c>
      <c r="E170" s="172"/>
      <c r="F170" s="172"/>
      <c r="G170" s="172"/>
      <c r="H170" s="172"/>
      <c r="I170" s="172"/>
      <c r="J170" s="172" t="s">
        <v>1862</v>
      </c>
      <c r="K170" s="172"/>
      <c r="L170" s="172"/>
      <c r="M170" s="172"/>
      <c r="N170" s="172"/>
      <c r="O170" s="172"/>
      <c r="P170" s="230"/>
      <c r="Q170" s="230"/>
      <c r="R170" s="172"/>
      <c r="S170" s="192">
        <v>0</v>
      </c>
      <c r="T170" s="192">
        <v>0</v>
      </c>
      <c r="U170" s="192">
        <v>0</v>
      </c>
      <c r="V170" s="192">
        <v>0</v>
      </c>
      <c r="W170" s="191"/>
      <c r="X170" s="191"/>
      <c r="Y170" s="193">
        <v>0</v>
      </c>
      <c r="Z170" s="194">
        <v>0</v>
      </c>
      <c r="AA170" s="192"/>
      <c r="AB170" s="251" t="s">
        <v>2065</v>
      </c>
      <c r="AC170" s="223" t="s">
        <v>1766</v>
      </c>
      <c r="AD170" s="195">
        <v>0</v>
      </c>
      <c r="AE170" s="246">
        <v>0</v>
      </c>
      <c r="AF170" s="170"/>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71"/>
      <c r="CE170" s="171"/>
      <c r="CF170" s="171"/>
      <c r="CG170" s="171"/>
      <c r="CH170" s="171"/>
    </row>
    <row r="171" spans="1:86" ht="12" customHeight="1" outlineLevel="6">
      <c r="A171" s="189"/>
      <c r="B171" s="189"/>
      <c r="C171" s="189">
        <v>7</v>
      </c>
      <c r="D171" s="190" t="s">
        <v>2173</v>
      </c>
      <c r="E171" s="172"/>
      <c r="F171" s="172"/>
      <c r="G171" s="172"/>
      <c r="H171" s="172"/>
      <c r="I171" s="172"/>
      <c r="J171" s="172"/>
      <c r="K171" s="172" t="s">
        <v>2168</v>
      </c>
      <c r="L171" s="172"/>
      <c r="M171" s="172"/>
      <c r="N171" s="172"/>
      <c r="O171" s="172"/>
      <c r="P171" s="230"/>
      <c r="Q171" s="230"/>
      <c r="R171" s="172"/>
      <c r="S171" s="192">
        <v>0</v>
      </c>
      <c r="T171" s="192">
        <v>0</v>
      </c>
      <c r="U171" s="192">
        <v>0</v>
      </c>
      <c r="V171" s="192">
        <v>0</v>
      </c>
      <c r="W171" s="191"/>
      <c r="X171" s="191"/>
      <c r="Y171" s="193">
        <v>0</v>
      </c>
      <c r="Z171" s="194">
        <v>0</v>
      </c>
      <c r="AA171" s="192"/>
      <c r="AB171" s="251"/>
      <c r="AC171" s="223"/>
      <c r="AD171" s="195">
        <v>0</v>
      </c>
      <c r="AE171" s="246">
        <v>0</v>
      </c>
      <c r="AF171" s="170"/>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71"/>
      <c r="CE171" s="171"/>
      <c r="CF171" s="171"/>
      <c r="CG171" s="171"/>
      <c r="CH171" s="171"/>
    </row>
    <row r="172" spans="1:86" ht="12" customHeight="1" outlineLevel="6">
      <c r="A172" s="189"/>
      <c r="B172" s="189"/>
      <c r="C172" s="189">
        <v>7</v>
      </c>
      <c r="D172" s="190" t="s">
        <v>2174</v>
      </c>
      <c r="E172" s="172"/>
      <c r="F172" s="172"/>
      <c r="G172" s="172"/>
      <c r="H172" s="172"/>
      <c r="I172" s="172"/>
      <c r="J172" s="172"/>
      <c r="K172" s="172" t="s">
        <v>2169</v>
      </c>
      <c r="L172" s="172"/>
      <c r="M172" s="172"/>
      <c r="N172" s="172"/>
      <c r="O172" s="172"/>
      <c r="P172" s="230"/>
      <c r="Q172" s="230"/>
      <c r="R172" s="172"/>
      <c r="S172" s="192">
        <v>0</v>
      </c>
      <c r="T172" s="192">
        <v>0</v>
      </c>
      <c r="U172" s="192">
        <v>0</v>
      </c>
      <c r="V172" s="192">
        <v>0</v>
      </c>
      <c r="W172" s="191"/>
      <c r="X172" s="191"/>
      <c r="Y172" s="193">
        <v>0</v>
      </c>
      <c r="Z172" s="194">
        <v>0</v>
      </c>
      <c r="AA172" s="192"/>
      <c r="AB172" s="251"/>
      <c r="AC172" s="223"/>
      <c r="AD172" s="195">
        <v>0</v>
      </c>
      <c r="AE172" s="246">
        <v>0</v>
      </c>
      <c r="AF172" s="170"/>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71"/>
      <c r="CE172" s="171"/>
      <c r="CF172" s="171"/>
      <c r="CG172" s="171"/>
      <c r="CH172" s="171"/>
    </row>
    <row r="173" spans="1:86" ht="12" customHeight="1" outlineLevel="6">
      <c r="A173" s="189"/>
      <c r="B173" s="189"/>
      <c r="C173" s="189">
        <v>7</v>
      </c>
      <c r="D173" s="190" t="s">
        <v>2175</v>
      </c>
      <c r="E173" s="172"/>
      <c r="F173" s="172"/>
      <c r="G173" s="172"/>
      <c r="H173" s="172"/>
      <c r="I173" s="172"/>
      <c r="J173" s="172"/>
      <c r="K173" s="172" t="s">
        <v>2170</v>
      </c>
      <c r="L173" s="172"/>
      <c r="M173" s="172"/>
      <c r="N173" s="172"/>
      <c r="O173" s="172"/>
      <c r="P173" s="230"/>
      <c r="Q173" s="230"/>
      <c r="R173" s="172"/>
      <c r="S173" s="192">
        <v>0</v>
      </c>
      <c r="T173" s="192">
        <v>0</v>
      </c>
      <c r="U173" s="192">
        <v>0</v>
      </c>
      <c r="V173" s="192">
        <v>0</v>
      </c>
      <c r="W173" s="191"/>
      <c r="X173" s="191"/>
      <c r="Y173" s="193">
        <v>0</v>
      </c>
      <c r="Z173" s="194">
        <v>0</v>
      </c>
      <c r="AA173" s="192"/>
      <c r="AB173" s="251"/>
      <c r="AC173" s="223"/>
      <c r="AD173" s="195">
        <v>0</v>
      </c>
      <c r="AE173" s="246">
        <v>0</v>
      </c>
      <c r="AF173" s="170"/>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71"/>
      <c r="CE173" s="171"/>
      <c r="CF173" s="171"/>
      <c r="CG173" s="171"/>
      <c r="CH173" s="171"/>
    </row>
    <row r="174" spans="1:86" ht="12" customHeight="1" outlineLevel="6">
      <c r="A174" s="189"/>
      <c r="B174" s="189"/>
      <c r="C174" s="189">
        <v>7</v>
      </c>
      <c r="D174" s="190" t="s">
        <v>2176</v>
      </c>
      <c r="E174" s="172"/>
      <c r="F174" s="172"/>
      <c r="G174" s="172"/>
      <c r="H174" s="172"/>
      <c r="I174" s="172"/>
      <c r="J174" s="172"/>
      <c r="K174" s="172" t="s">
        <v>2171</v>
      </c>
      <c r="L174" s="172"/>
      <c r="M174" s="172"/>
      <c r="N174" s="172"/>
      <c r="O174" s="172"/>
      <c r="P174" s="230"/>
      <c r="Q174" s="230"/>
      <c r="R174" s="172"/>
      <c r="S174" s="192">
        <v>0</v>
      </c>
      <c r="T174" s="192">
        <v>0</v>
      </c>
      <c r="U174" s="192">
        <v>0</v>
      </c>
      <c r="V174" s="192">
        <v>0</v>
      </c>
      <c r="W174" s="191"/>
      <c r="X174" s="191"/>
      <c r="Y174" s="193">
        <v>0</v>
      </c>
      <c r="Z174" s="194">
        <v>0</v>
      </c>
      <c r="AA174" s="192"/>
      <c r="AB174" s="251"/>
      <c r="AC174" s="223"/>
      <c r="AD174" s="195">
        <v>0</v>
      </c>
      <c r="AE174" s="246">
        <v>0</v>
      </c>
      <c r="AF174" s="170"/>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71"/>
      <c r="CE174" s="171"/>
      <c r="CF174" s="171"/>
      <c r="CG174" s="171"/>
      <c r="CH174" s="171"/>
    </row>
    <row r="175" spans="1:86" ht="12" customHeight="1" outlineLevel="5">
      <c r="A175" s="189"/>
      <c r="B175" s="189" t="s">
        <v>1387</v>
      </c>
      <c r="C175" s="189">
        <v>6</v>
      </c>
      <c r="D175" s="190" t="s">
        <v>1902</v>
      </c>
      <c r="E175" s="172"/>
      <c r="F175" s="172"/>
      <c r="G175" s="172"/>
      <c r="H175" s="172"/>
      <c r="I175" s="172"/>
      <c r="J175" s="172" t="s">
        <v>1929</v>
      </c>
      <c r="K175" s="172"/>
      <c r="L175" s="172"/>
      <c r="M175" s="172"/>
      <c r="N175" s="172"/>
      <c r="O175" s="172"/>
      <c r="P175" s="230"/>
      <c r="Q175" s="230"/>
      <c r="R175" s="172"/>
      <c r="S175" s="192">
        <v>0</v>
      </c>
      <c r="T175" s="192">
        <v>0</v>
      </c>
      <c r="U175" s="192">
        <v>0</v>
      </c>
      <c r="V175" s="192">
        <v>0</v>
      </c>
      <c r="W175" s="191"/>
      <c r="X175" s="191"/>
      <c r="Y175" s="193">
        <v>0</v>
      </c>
      <c r="Z175" s="194">
        <v>0</v>
      </c>
      <c r="AA175" s="192"/>
      <c r="AB175" s="251" t="s">
        <v>2068</v>
      </c>
      <c r="AC175" s="223" t="s">
        <v>1766</v>
      </c>
      <c r="AD175" s="195">
        <v>0</v>
      </c>
      <c r="AE175" s="246">
        <v>0</v>
      </c>
      <c r="AF175" s="170"/>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71"/>
      <c r="CE175" s="171"/>
      <c r="CF175" s="171"/>
      <c r="CG175" s="171"/>
      <c r="CH175" s="171"/>
    </row>
    <row r="176" spans="1:86" ht="12" customHeight="1" outlineLevel="6">
      <c r="A176" s="189"/>
      <c r="B176" s="189"/>
      <c r="C176" s="189">
        <v>7</v>
      </c>
      <c r="D176" s="190" t="s">
        <v>2177</v>
      </c>
      <c r="E176" s="172"/>
      <c r="F176" s="172"/>
      <c r="G176" s="172"/>
      <c r="H176" s="172"/>
      <c r="I176" s="172"/>
      <c r="J176" s="172"/>
      <c r="K176" s="172" t="s">
        <v>1844</v>
      </c>
      <c r="L176" s="172"/>
      <c r="M176" s="172"/>
      <c r="N176" s="172"/>
      <c r="O176" s="172"/>
      <c r="P176" s="230"/>
      <c r="Q176" s="230"/>
      <c r="R176" s="172"/>
      <c r="S176" s="192">
        <v>0</v>
      </c>
      <c r="T176" s="192">
        <v>0</v>
      </c>
      <c r="U176" s="192">
        <v>0</v>
      </c>
      <c r="V176" s="192">
        <v>0</v>
      </c>
      <c r="W176" s="191"/>
      <c r="X176" s="191"/>
      <c r="Y176" s="193">
        <v>0</v>
      </c>
      <c r="Z176" s="194">
        <v>0</v>
      </c>
      <c r="AA176" s="192"/>
      <c r="AB176" s="251"/>
      <c r="AC176" s="223"/>
      <c r="AD176" s="195">
        <v>0</v>
      </c>
      <c r="AE176" s="246">
        <v>0</v>
      </c>
      <c r="AF176" s="170"/>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71"/>
      <c r="CE176" s="171"/>
      <c r="CF176" s="171"/>
      <c r="CG176" s="171"/>
      <c r="CH176" s="171"/>
    </row>
    <row r="177" spans="1:86" ht="12" customHeight="1" outlineLevel="6">
      <c r="A177" s="189"/>
      <c r="B177" s="189"/>
      <c r="C177" s="189">
        <v>7</v>
      </c>
      <c r="D177" s="190" t="s">
        <v>2178</v>
      </c>
      <c r="E177" s="172"/>
      <c r="F177" s="172"/>
      <c r="G177" s="172"/>
      <c r="H177" s="172"/>
      <c r="I177" s="172"/>
      <c r="J177" s="172"/>
      <c r="K177" s="172" t="s">
        <v>2172</v>
      </c>
      <c r="L177" s="172"/>
      <c r="M177" s="172"/>
      <c r="N177" s="172"/>
      <c r="O177" s="172"/>
      <c r="P177" s="230"/>
      <c r="Q177" s="230"/>
      <c r="R177" s="172"/>
      <c r="S177" s="192">
        <v>0</v>
      </c>
      <c r="T177" s="192">
        <v>0</v>
      </c>
      <c r="U177" s="192">
        <v>0</v>
      </c>
      <c r="V177" s="192">
        <v>0</v>
      </c>
      <c r="W177" s="191"/>
      <c r="X177" s="191"/>
      <c r="Y177" s="193">
        <v>0</v>
      </c>
      <c r="Z177" s="194">
        <v>0</v>
      </c>
      <c r="AA177" s="192"/>
      <c r="AB177" s="251"/>
      <c r="AC177" s="223"/>
      <c r="AD177" s="195">
        <v>0</v>
      </c>
      <c r="AE177" s="246">
        <v>0</v>
      </c>
      <c r="AF177" s="170"/>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71"/>
      <c r="CE177" s="171"/>
      <c r="CF177" s="171"/>
      <c r="CG177" s="171"/>
      <c r="CH177" s="171"/>
    </row>
    <row r="178" spans="1:86" ht="12" customHeight="1" outlineLevel="5">
      <c r="A178" s="189"/>
      <c r="B178" s="189" t="s">
        <v>1387</v>
      </c>
      <c r="C178" s="189">
        <v>6</v>
      </c>
      <c r="D178" s="190" t="s">
        <v>1908</v>
      </c>
      <c r="E178" s="172"/>
      <c r="F178" s="172"/>
      <c r="G178" s="172"/>
      <c r="H178" s="172"/>
      <c r="I178" s="172"/>
      <c r="J178" s="172" t="s">
        <v>1930</v>
      </c>
      <c r="K178" s="172"/>
      <c r="L178" s="172"/>
      <c r="M178" s="172"/>
      <c r="N178" s="172"/>
      <c r="O178" s="172"/>
      <c r="P178" s="230"/>
      <c r="Q178" s="230"/>
      <c r="R178" s="172"/>
      <c r="S178" s="192">
        <v>0</v>
      </c>
      <c r="T178" s="192">
        <v>0</v>
      </c>
      <c r="U178" s="192">
        <v>0</v>
      </c>
      <c r="V178" s="192">
        <v>0</v>
      </c>
      <c r="W178" s="191"/>
      <c r="X178" s="191"/>
      <c r="Y178" s="193">
        <v>0</v>
      </c>
      <c r="Z178" s="194">
        <v>0</v>
      </c>
      <c r="AA178" s="192"/>
      <c r="AB178" s="251" t="s">
        <v>2068</v>
      </c>
      <c r="AC178" s="223" t="s">
        <v>1766</v>
      </c>
      <c r="AD178" s="195">
        <v>0</v>
      </c>
      <c r="AE178" s="246">
        <v>0</v>
      </c>
      <c r="AF178" s="170"/>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71"/>
      <c r="CE178" s="171"/>
      <c r="CF178" s="171"/>
      <c r="CG178" s="171"/>
      <c r="CH178" s="171"/>
    </row>
    <row r="179" spans="1:86" ht="12" customHeight="1" outlineLevel="6">
      <c r="A179" s="189"/>
      <c r="B179" s="189"/>
      <c r="C179" s="189">
        <v>7</v>
      </c>
      <c r="D179" s="190" t="s">
        <v>2182</v>
      </c>
      <c r="E179" s="172"/>
      <c r="F179" s="172"/>
      <c r="G179" s="172"/>
      <c r="H179" s="172"/>
      <c r="I179" s="172"/>
      <c r="J179" s="172"/>
      <c r="K179" s="172" t="s">
        <v>2179</v>
      </c>
      <c r="L179" s="172"/>
      <c r="M179" s="172"/>
      <c r="N179" s="172"/>
      <c r="O179" s="172"/>
      <c r="P179" s="230"/>
      <c r="Q179" s="230"/>
      <c r="R179" s="172"/>
      <c r="S179" s="192">
        <v>0</v>
      </c>
      <c r="T179" s="192">
        <v>0</v>
      </c>
      <c r="U179" s="192">
        <v>0</v>
      </c>
      <c r="V179" s="192">
        <v>0</v>
      </c>
      <c r="W179" s="191"/>
      <c r="X179" s="191"/>
      <c r="Y179" s="193">
        <v>0</v>
      </c>
      <c r="Z179" s="194">
        <v>0</v>
      </c>
      <c r="AA179" s="192"/>
      <c r="AB179" s="251"/>
      <c r="AC179" s="223"/>
      <c r="AD179" s="195">
        <v>0</v>
      </c>
      <c r="AE179" s="246">
        <v>0</v>
      </c>
      <c r="AF179" s="170"/>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71"/>
      <c r="CE179" s="171"/>
      <c r="CF179" s="171"/>
      <c r="CG179" s="171"/>
      <c r="CH179" s="171"/>
    </row>
    <row r="180" spans="1:86" ht="12" customHeight="1" outlineLevel="6">
      <c r="A180" s="189"/>
      <c r="B180" s="189"/>
      <c r="C180" s="189">
        <v>7</v>
      </c>
      <c r="D180" s="190" t="s">
        <v>2183</v>
      </c>
      <c r="E180" s="172"/>
      <c r="F180" s="172"/>
      <c r="G180" s="172"/>
      <c r="H180" s="172"/>
      <c r="I180" s="172"/>
      <c r="J180" s="172"/>
      <c r="K180" s="172" t="s">
        <v>2180</v>
      </c>
      <c r="L180" s="172"/>
      <c r="M180" s="172"/>
      <c r="N180" s="172"/>
      <c r="O180" s="172"/>
      <c r="P180" s="230"/>
      <c r="Q180" s="230"/>
      <c r="R180" s="172"/>
      <c r="S180" s="192">
        <v>0</v>
      </c>
      <c r="T180" s="192">
        <v>0</v>
      </c>
      <c r="U180" s="192">
        <v>0</v>
      </c>
      <c r="V180" s="192">
        <v>0</v>
      </c>
      <c r="W180" s="191"/>
      <c r="X180" s="191"/>
      <c r="Y180" s="193">
        <v>0</v>
      </c>
      <c r="Z180" s="194">
        <v>0</v>
      </c>
      <c r="AA180" s="192"/>
      <c r="AB180" s="251"/>
      <c r="AC180" s="223"/>
      <c r="AD180" s="195">
        <v>0</v>
      </c>
      <c r="AE180" s="246">
        <v>0</v>
      </c>
      <c r="AF180" s="170"/>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71"/>
      <c r="CE180" s="171"/>
      <c r="CF180" s="171"/>
      <c r="CG180" s="171"/>
      <c r="CH180" s="171"/>
    </row>
    <row r="181" spans="1:86" ht="12" customHeight="1" outlineLevel="6">
      <c r="A181" s="189"/>
      <c r="B181" s="189"/>
      <c r="C181" s="189">
        <v>7</v>
      </c>
      <c r="D181" s="190" t="s">
        <v>2184</v>
      </c>
      <c r="E181" s="172"/>
      <c r="F181" s="172"/>
      <c r="G181" s="172"/>
      <c r="H181" s="172"/>
      <c r="I181" s="172"/>
      <c r="J181" s="172"/>
      <c r="K181" s="172" t="s">
        <v>2181</v>
      </c>
      <c r="L181" s="172"/>
      <c r="M181" s="172"/>
      <c r="N181" s="172"/>
      <c r="O181" s="172"/>
      <c r="P181" s="230"/>
      <c r="Q181" s="230"/>
      <c r="R181" s="172"/>
      <c r="S181" s="192">
        <v>0</v>
      </c>
      <c r="T181" s="192">
        <v>0</v>
      </c>
      <c r="U181" s="192">
        <v>0</v>
      </c>
      <c r="V181" s="192">
        <v>0</v>
      </c>
      <c r="W181" s="191"/>
      <c r="X181" s="191"/>
      <c r="Y181" s="193">
        <v>0</v>
      </c>
      <c r="Z181" s="194">
        <v>0</v>
      </c>
      <c r="AA181" s="192"/>
      <c r="AB181" s="251"/>
      <c r="AC181" s="223"/>
      <c r="AD181" s="195">
        <v>0</v>
      </c>
      <c r="AE181" s="246">
        <v>0</v>
      </c>
      <c r="AF181" s="170"/>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71"/>
      <c r="CE181" s="171"/>
      <c r="CF181" s="171"/>
      <c r="CG181" s="171"/>
      <c r="CH181" s="171"/>
    </row>
    <row r="182" spans="1:86" ht="12" customHeight="1" outlineLevel="6">
      <c r="A182" s="189"/>
      <c r="B182" s="189"/>
      <c r="C182" s="189">
        <v>7</v>
      </c>
      <c r="D182" s="190" t="s">
        <v>2198</v>
      </c>
      <c r="E182" s="172"/>
      <c r="F182" s="172"/>
      <c r="G182" s="172"/>
      <c r="H182" s="172"/>
      <c r="I182" s="172"/>
      <c r="J182" s="172"/>
      <c r="K182" s="172" t="s">
        <v>2185</v>
      </c>
      <c r="L182" s="172"/>
      <c r="M182" s="172"/>
      <c r="N182" s="172"/>
      <c r="O182" s="172"/>
      <c r="P182" s="230"/>
      <c r="Q182" s="230"/>
      <c r="R182" s="172"/>
      <c r="S182" s="192">
        <v>0</v>
      </c>
      <c r="T182" s="192">
        <v>0</v>
      </c>
      <c r="U182" s="192">
        <v>0</v>
      </c>
      <c r="V182" s="192">
        <v>0</v>
      </c>
      <c r="W182" s="191"/>
      <c r="X182" s="191"/>
      <c r="Y182" s="193">
        <v>0</v>
      </c>
      <c r="Z182" s="194">
        <v>0</v>
      </c>
      <c r="AA182" s="192"/>
      <c r="AB182" s="251"/>
      <c r="AC182" s="223"/>
      <c r="AD182" s="195">
        <v>0</v>
      </c>
      <c r="AE182" s="246">
        <v>0</v>
      </c>
      <c r="AF182" s="170"/>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71"/>
      <c r="CE182" s="171"/>
      <c r="CF182" s="171"/>
      <c r="CG182" s="171"/>
      <c r="CH182" s="171"/>
    </row>
    <row r="183" spans="1:86" ht="12" customHeight="1" outlineLevel="6">
      <c r="A183" s="189"/>
      <c r="B183" s="189"/>
      <c r="C183" s="189">
        <v>7</v>
      </c>
      <c r="D183" s="190" t="s">
        <v>2199</v>
      </c>
      <c r="E183" s="172"/>
      <c r="F183" s="172"/>
      <c r="G183" s="172"/>
      <c r="H183" s="172"/>
      <c r="I183" s="172"/>
      <c r="J183" s="172"/>
      <c r="K183" s="172" t="s">
        <v>2186</v>
      </c>
      <c r="L183" s="172"/>
      <c r="M183" s="172"/>
      <c r="N183" s="172"/>
      <c r="O183" s="172"/>
      <c r="P183" s="230"/>
      <c r="Q183" s="230"/>
      <c r="R183" s="172"/>
      <c r="S183" s="192">
        <v>0</v>
      </c>
      <c r="T183" s="192">
        <v>0</v>
      </c>
      <c r="U183" s="192">
        <v>0</v>
      </c>
      <c r="V183" s="192">
        <v>0</v>
      </c>
      <c r="W183" s="191"/>
      <c r="X183" s="191"/>
      <c r="Y183" s="193">
        <v>0</v>
      </c>
      <c r="Z183" s="194">
        <v>0</v>
      </c>
      <c r="AA183" s="192"/>
      <c r="AB183" s="251"/>
      <c r="AC183" s="223"/>
      <c r="AD183" s="195">
        <v>0</v>
      </c>
      <c r="AE183" s="246">
        <v>0</v>
      </c>
      <c r="AF183" s="170"/>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71"/>
      <c r="CE183" s="171"/>
      <c r="CF183" s="171"/>
      <c r="CG183" s="171"/>
      <c r="CH183" s="171"/>
    </row>
    <row r="184" spans="1:86" ht="12" customHeight="1" outlineLevel="6">
      <c r="A184" s="189"/>
      <c r="B184" s="189"/>
      <c r="C184" s="189">
        <v>7</v>
      </c>
      <c r="D184" s="190" t="s">
        <v>2200</v>
      </c>
      <c r="E184" s="172"/>
      <c r="F184" s="172"/>
      <c r="G184" s="172"/>
      <c r="H184" s="172"/>
      <c r="I184" s="172"/>
      <c r="J184" s="172"/>
      <c r="K184" s="172" t="s">
        <v>2187</v>
      </c>
      <c r="L184" s="172"/>
      <c r="M184" s="172"/>
      <c r="N184" s="172"/>
      <c r="O184" s="172"/>
      <c r="P184" s="230"/>
      <c r="Q184" s="230"/>
      <c r="R184" s="172"/>
      <c r="S184" s="192">
        <v>0</v>
      </c>
      <c r="T184" s="192">
        <v>0</v>
      </c>
      <c r="U184" s="192">
        <v>0</v>
      </c>
      <c r="V184" s="192">
        <v>0</v>
      </c>
      <c r="W184" s="191"/>
      <c r="X184" s="191"/>
      <c r="Y184" s="193">
        <v>0</v>
      </c>
      <c r="Z184" s="194">
        <v>0</v>
      </c>
      <c r="AA184" s="192"/>
      <c r="AB184" s="251"/>
      <c r="AC184" s="223"/>
      <c r="AD184" s="195">
        <v>0</v>
      </c>
      <c r="AE184" s="246">
        <v>0</v>
      </c>
      <c r="AF184" s="170"/>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71"/>
      <c r="CE184" s="171"/>
      <c r="CF184" s="171"/>
      <c r="CG184" s="171"/>
      <c r="CH184" s="171"/>
    </row>
    <row r="185" spans="1:86" ht="12" customHeight="1" outlineLevel="6">
      <c r="A185" s="189"/>
      <c r="B185" s="189"/>
      <c r="C185" s="189">
        <v>7</v>
      </c>
      <c r="D185" s="190" t="s">
        <v>2201</v>
      </c>
      <c r="E185" s="172"/>
      <c r="F185" s="172"/>
      <c r="G185" s="172"/>
      <c r="H185" s="172"/>
      <c r="I185" s="172"/>
      <c r="J185" s="172"/>
      <c r="K185" s="172" t="s">
        <v>2188</v>
      </c>
      <c r="L185" s="172"/>
      <c r="M185" s="172"/>
      <c r="N185" s="172"/>
      <c r="O185" s="172"/>
      <c r="P185" s="230"/>
      <c r="Q185" s="230"/>
      <c r="R185" s="172"/>
      <c r="S185" s="192">
        <v>0</v>
      </c>
      <c r="T185" s="192">
        <v>0</v>
      </c>
      <c r="U185" s="192">
        <v>0</v>
      </c>
      <c r="V185" s="192">
        <v>0</v>
      </c>
      <c r="W185" s="191"/>
      <c r="X185" s="191"/>
      <c r="Y185" s="193">
        <v>0</v>
      </c>
      <c r="Z185" s="194">
        <v>0</v>
      </c>
      <c r="AA185" s="192"/>
      <c r="AB185" s="251"/>
      <c r="AC185" s="223"/>
      <c r="AD185" s="195">
        <v>0</v>
      </c>
      <c r="AE185" s="246">
        <v>0</v>
      </c>
      <c r="AF185" s="170"/>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71"/>
      <c r="CE185" s="171"/>
      <c r="CF185" s="171"/>
      <c r="CG185" s="171"/>
      <c r="CH185" s="171"/>
    </row>
    <row r="186" spans="1:86" ht="12" customHeight="1" outlineLevel="6">
      <c r="A186" s="189"/>
      <c r="B186" s="189"/>
      <c r="C186" s="189">
        <v>7</v>
      </c>
      <c r="D186" s="190" t="s">
        <v>2202</v>
      </c>
      <c r="E186" s="172"/>
      <c r="F186" s="172"/>
      <c r="G186" s="172"/>
      <c r="H186" s="172"/>
      <c r="I186" s="172"/>
      <c r="J186" s="172"/>
      <c r="K186" s="172" t="s">
        <v>2189</v>
      </c>
      <c r="L186" s="172"/>
      <c r="M186" s="172"/>
      <c r="N186" s="172"/>
      <c r="O186" s="172"/>
      <c r="P186" s="230"/>
      <c r="Q186" s="230"/>
      <c r="R186" s="172"/>
      <c r="S186" s="192">
        <v>0</v>
      </c>
      <c r="T186" s="192">
        <v>0</v>
      </c>
      <c r="U186" s="192">
        <v>0</v>
      </c>
      <c r="V186" s="192">
        <v>0</v>
      </c>
      <c r="W186" s="191"/>
      <c r="X186" s="191"/>
      <c r="Y186" s="193">
        <v>0</v>
      </c>
      <c r="Z186" s="194">
        <v>0</v>
      </c>
      <c r="AA186" s="192"/>
      <c r="AB186" s="251"/>
      <c r="AC186" s="223"/>
      <c r="AD186" s="195">
        <v>0</v>
      </c>
      <c r="AE186" s="246">
        <v>0</v>
      </c>
      <c r="AF186" s="170"/>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71"/>
      <c r="CE186" s="171"/>
      <c r="CF186" s="171"/>
      <c r="CG186" s="171"/>
      <c r="CH186" s="171"/>
    </row>
    <row r="187" spans="1:86" ht="12" customHeight="1" outlineLevel="6">
      <c r="A187" s="189"/>
      <c r="B187" s="189"/>
      <c r="C187" s="189">
        <v>7</v>
      </c>
      <c r="D187" s="190" t="s">
        <v>2203</v>
      </c>
      <c r="E187" s="172"/>
      <c r="F187" s="172"/>
      <c r="G187" s="172"/>
      <c r="H187" s="172"/>
      <c r="I187" s="172"/>
      <c r="J187" s="172"/>
      <c r="K187" s="172" t="s">
        <v>2190</v>
      </c>
      <c r="L187" s="172"/>
      <c r="M187" s="172"/>
      <c r="N187" s="172"/>
      <c r="O187" s="172"/>
      <c r="P187" s="230"/>
      <c r="Q187" s="230"/>
      <c r="R187" s="172"/>
      <c r="S187" s="192">
        <v>0</v>
      </c>
      <c r="T187" s="192">
        <v>0</v>
      </c>
      <c r="U187" s="192">
        <v>0</v>
      </c>
      <c r="V187" s="192">
        <v>0</v>
      </c>
      <c r="W187" s="191"/>
      <c r="X187" s="191"/>
      <c r="Y187" s="193">
        <v>0</v>
      </c>
      <c r="Z187" s="194">
        <v>0</v>
      </c>
      <c r="AA187" s="192"/>
      <c r="AB187" s="251"/>
      <c r="AC187" s="223"/>
      <c r="AD187" s="195">
        <v>0</v>
      </c>
      <c r="AE187" s="246">
        <v>0</v>
      </c>
      <c r="AF187" s="170"/>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71"/>
      <c r="CE187" s="171"/>
      <c r="CF187" s="171"/>
      <c r="CG187" s="171"/>
      <c r="CH187" s="171"/>
    </row>
    <row r="188" spans="1:86" ht="12" customHeight="1" outlineLevel="6">
      <c r="A188" s="189"/>
      <c r="B188" s="189"/>
      <c r="C188" s="189">
        <v>7</v>
      </c>
      <c r="D188" s="190" t="s">
        <v>2204</v>
      </c>
      <c r="E188" s="172"/>
      <c r="F188" s="172"/>
      <c r="G188" s="172"/>
      <c r="H188" s="172"/>
      <c r="I188" s="172"/>
      <c r="J188" s="172"/>
      <c r="K188" s="172" t="s">
        <v>2191</v>
      </c>
      <c r="L188" s="172"/>
      <c r="M188" s="172"/>
      <c r="N188" s="172"/>
      <c r="O188" s="172"/>
      <c r="P188" s="230"/>
      <c r="Q188" s="230"/>
      <c r="R188" s="172"/>
      <c r="S188" s="192">
        <v>0</v>
      </c>
      <c r="T188" s="192">
        <v>0</v>
      </c>
      <c r="U188" s="192">
        <v>0</v>
      </c>
      <c r="V188" s="192">
        <v>0</v>
      </c>
      <c r="W188" s="191"/>
      <c r="X188" s="191"/>
      <c r="Y188" s="193">
        <v>0</v>
      </c>
      <c r="Z188" s="194">
        <v>0</v>
      </c>
      <c r="AA188" s="192"/>
      <c r="AB188" s="251"/>
      <c r="AC188" s="223"/>
      <c r="AD188" s="195">
        <v>0</v>
      </c>
      <c r="AE188" s="246">
        <v>0</v>
      </c>
      <c r="AF188" s="170"/>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71"/>
      <c r="CE188" s="171"/>
      <c r="CF188" s="171"/>
      <c r="CG188" s="171"/>
      <c r="CH188" s="171"/>
    </row>
    <row r="189" spans="1:86" ht="12" customHeight="1" outlineLevel="5">
      <c r="A189" s="189"/>
      <c r="B189" s="189" t="s">
        <v>1387</v>
      </c>
      <c r="C189" s="189">
        <v>6</v>
      </c>
      <c r="D189" s="190" t="s">
        <v>1932</v>
      </c>
      <c r="E189" s="172"/>
      <c r="F189" s="172"/>
      <c r="G189" s="172"/>
      <c r="H189" s="172"/>
      <c r="I189" s="172"/>
      <c r="J189" s="172" t="s">
        <v>1931</v>
      </c>
      <c r="K189" s="172"/>
      <c r="L189" s="172"/>
      <c r="M189" s="172"/>
      <c r="N189" s="172"/>
      <c r="O189" s="172"/>
      <c r="P189" s="230"/>
      <c r="Q189" s="230"/>
      <c r="R189" s="172"/>
      <c r="S189" s="192">
        <v>0</v>
      </c>
      <c r="T189" s="192">
        <v>0</v>
      </c>
      <c r="U189" s="192">
        <v>0</v>
      </c>
      <c r="V189" s="192">
        <v>0</v>
      </c>
      <c r="W189" s="191"/>
      <c r="X189" s="191"/>
      <c r="Y189" s="193">
        <v>0</v>
      </c>
      <c r="Z189" s="194">
        <v>0</v>
      </c>
      <c r="AA189" s="192"/>
      <c r="AB189" s="251" t="s">
        <v>2068</v>
      </c>
      <c r="AC189" s="223" t="s">
        <v>1766</v>
      </c>
      <c r="AD189" s="195">
        <v>0</v>
      </c>
      <c r="AE189" s="246">
        <v>0</v>
      </c>
      <c r="AF189" s="170"/>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71"/>
      <c r="CE189" s="171"/>
      <c r="CF189" s="171"/>
      <c r="CG189" s="171"/>
      <c r="CH189" s="171"/>
    </row>
    <row r="190" spans="1:86" ht="12" customHeight="1" outlineLevel="6">
      <c r="A190" s="189"/>
      <c r="B190" s="189"/>
      <c r="C190" s="189">
        <v>7</v>
      </c>
      <c r="D190" s="190" t="s">
        <v>2205</v>
      </c>
      <c r="E190" s="172"/>
      <c r="F190" s="172"/>
      <c r="G190" s="172"/>
      <c r="H190" s="172"/>
      <c r="I190" s="172"/>
      <c r="J190" s="172"/>
      <c r="K190" s="172" t="s">
        <v>2192</v>
      </c>
      <c r="L190" s="172"/>
      <c r="M190" s="172"/>
      <c r="N190" s="172"/>
      <c r="O190" s="172"/>
      <c r="P190" s="230"/>
      <c r="Q190" s="230"/>
      <c r="R190" s="172"/>
      <c r="S190" s="192">
        <v>0</v>
      </c>
      <c r="T190" s="192">
        <v>0</v>
      </c>
      <c r="U190" s="192">
        <v>0</v>
      </c>
      <c r="V190" s="192">
        <v>0</v>
      </c>
      <c r="W190" s="191"/>
      <c r="X190" s="191"/>
      <c r="Y190" s="193">
        <v>0</v>
      </c>
      <c r="Z190" s="194">
        <v>0</v>
      </c>
      <c r="AA190" s="192"/>
      <c r="AB190" s="251"/>
      <c r="AC190" s="223"/>
      <c r="AD190" s="195">
        <v>0</v>
      </c>
      <c r="AE190" s="246">
        <v>0</v>
      </c>
      <c r="AF190" s="170"/>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71"/>
      <c r="CE190" s="171"/>
      <c r="CF190" s="171"/>
      <c r="CG190" s="171"/>
      <c r="CH190" s="171"/>
    </row>
    <row r="191" spans="1:86" ht="12" customHeight="1" outlineLevel="6">
      <c r="A191" s="189"/>
      <c r="B191" s="189"/>
      <c r="C191" s="189">
        <v>7</v>
      </c>
      <c r="D191" s="190" t="s">
        <v>2206</v>
      </c>
      <c r="E191" s="172"/>
      <c r="F191" s="172"/>
      <c r="G191" s="172"/>
      <c r="H191" s="172"/>
      <c r="I191" s="172"/>
      <c r="J191" s="172"/>
      <c r="K191" s="172" t="s">
        <v>2193</v>
      </c>
      <c r="L191" s="172"/>
      <c r="M191" s="172"/>
      <c r="N191" s="172"/>
      <c r="O191" s="172"/>
      <c r="P191" s="230"/>
      <c r="Q191" s="230"/>
      <c r="R191" s="172"/>
      <c r="S191" s="192">
        <v>0</v>
      </c>
      <c r="T191" s="192">
        <v>0</v>
      </c>
      <c r="U191" s="192">
        <v>0</v>
      </c>
      <c r="V191" s="192">
        <v>0</v>
      </c>
      <c r="W191" s="191"/>
      <c r="X191" s="191"/>
      <c r="Y191" s="193">
        <v>0</v>
      </c>
      <c r="Z191" s="194">
        <v>0</v>
      </c>
      <c r="AA191" s="192"/>
      <c r="AB191" s="251"/>
      <c r="AC191" s="223"/>
      <c r="AD191" s="195">
        <v>0</v>
      </c>
      <c r="AE191" s="246">
        <v>0</v>
      </c>
      <c r="AF191" s="170"/>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71"/>
      <c r="CE191" s="171"/>
      <c r="CF191" s="171"/>
      <c r="CG191" s="171"/>
      <c r="CH191" s="171"/>
    </row>
    <row r="192" spans="1:86" ht="12" customHeight="1" outlineLevel="6">
      <c r="A192" s="189"/>
      <c r="B192" s="189"/>
      <c r="C192" s="189">
        <v>7</v>
      </c>
      <c r="D192" s="190" t="s">
        <v>2207</v>
      </c>
      <c r="E192" s="172"/>
      <c r="F192" s="172"/>
      <c r="G192" s="172"/>
      <c r="H192" s="172"/>
      <c r="I192" s="172"/>
      <c r="J192" s="172"/>
      <c r="K192" s="172" t="s">
        <v>2194</v>
      </c>
      <c r="L192" s="172"/>
      <c r="M192" s="172"/>
      <c r="N192" s="172"/>
      <c r="O192" s="172"/>
      <c r="P192" s="230"/>
      <c r="Q192" s="230"/>
      <c r="R192" s="172"/>
      <c r="S192" s="192">
        <v>0</v>
      </c>
      <c r="T192" s="192">
        <v>0</v>
      </c>
      <c r="U192" s="192">
        <v>0</v>
      </c>
      <c r="V192" s="192">
        <v>0</v>
      </c>
      <c r="W192" s="191"/>
      <c r="X192" s="191"/>
      <c r="Y192" s="193">
        <v>0</v>
      </c>
      <c r="Z192" s="194">
        <v>0</v>
      </c>
      <c r="AA192" s="192"/>
      <c r="AB192" s="251"/>
      <c r="AC192" s="223"/>
      <c r="AD192" s="195">
        <v>0</v>
      </c>
      <c r="AE192" s="246">
        <v>0</v>
      </c>
      <c r="AF192" s="170"/>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71"/>
      <c r="CE192" s="171"/>
      <c r="CF192" s="171"/>
      <c r="CG192" s="171"/>
      <c r="CH192" s="171"/>
    </row>
    <row r="193" spans="1:86" ht="12" customHeight="1" outlineLevel="6">
      <c r="A193" s="189"/>
      <c r="B193" s="189"/>
      <c r="C193" s="189">
        <v>7</v>
      </c>
      <c r="D193" s="190" t="s">
        <v>2208</v>
      </c>
      <c r="E193" s="172"/>
      <c r="F193" s="172"/>
      <c r="G193" s="172"/>
      <c r="H193" s="172"/>
      <c r="I193" s="172"/>
      <c r="J193" s="172"/>
      <c r="K193" s="172" t="s">
        <v>2195</v>
      </c>
      <c r="L193" s="172"/>
      <c r="M193" s="172"/>
      <c r="N193" s="172"/>
      <c r="O193" s="172"/>
      <c r="P193" s="230"/>
      <c r="Q193" s="230"/>
      <c r="R193" s="172"/>
      <c r="S193" s="192">
        <v>0</v>
      </c>
      <c r="T193" s="192">
        <v>0</v>
      </c>
      <c r="U193" s="192">
        <v>0</v>
      </c>
      <c r="V193" s="192">
        <v>0</v>
      </c>
      <c r="W193" s="191"/>
      <c r="X193" s="191"/>
      <c r="Y193" s="193">
        <v>0</v>
      </c>
      <c r="Z193" s="194">
        <v>0</v>
      </c>
      <c r="AA193" s="192"/>
      <c r="AB193" s="251"/>
      <c r="AC193" s="223"/>
      <c r="AD193" s="195">
        <v>0</v>
      </c>
      <c r="AE193" s="246">
        <v>0</v>
      </c>
      <c r="AF193" s="170"/>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71"/>
      <c r="CE193" s="171"/>
      <c r="CF193" s="171"/>
      <c r="CG193" s="171"/>
      <c r="CH193" s="171"/>
    </row>
    <row r="194" spans="1:86" ht="12" customHeight="1" outlineLevel="6">
      <c r="A194" s="189"/>
      <c r="B194" s="189"/>
      <c r="C194" s="189">
        <v>7</v>
      </c>
      <c r="D194" s="190" t="s">
        <v>2209</v>
      </c>
      <c r="E194" s="172"/>
      <c r="F194" s="172"/>
      <c r="G194" s="172"/>
      <c r="H194" s="172"/>
      <c r="I194" s="172"/>
      <c r="J194" s="172"/>
      <c r="K194" s="172" t="s">
        <v>2196</v>
      </c>
      <c r="L194" s="172"/>
      <c r="M194" s="172"/>
      <c r="N194" s="172"/>
      <c r="O194" s="172"/>
      <c r="P194" s="230"/>
      <c r="Q194" s="230"/>
      <c r="R194" s="172"/>
      <c r="S194" s="192">
        <v>0</v>
      </c>
      <c r="T194" s="192">
        <v>0</v>
      </c>
      <c r="U194" s="192">
        <v>0</v>
      </c>
      <c r="V194" s="192">
        <v>0</v>
      </c>
      <c r="W194" s="191"/>
      <c r="X194" s="191"/>
      <c r="Y194" s="193">
        <v>0</v>
      </c>
      <c r="Z194" s="194">
        <v>0</v>
      </c>
      <c r="AA194" s="192"/>
      <c r="AB194" s="251"/>
      <c r="AC194" s="223"/>
      <c r="AD194" s="195">
        <v>0</v>
      </c>
      <c r="AE194" s="246">
        <v>0</v>
      </c>
      <c r="AF194" s="170"/>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71"/>
      <c r="CE194" s="171"/>
      <c r="CF194" s="171"/>
      <c r="CG194" s="171"/>
      <c r="CH194" s="171"/>
    </row>
    <row r="195" spans="1:86" ht="12" customHeight="1" outlineLevel="6">
      <c r="A195" s="189"/>
      <c r="B195" s="189"/>
      <c r="C195" s="189">
        <v>7</v>
      </c>
      <c r="D195" s="190" t="s">
        <v>2210</v>
      </c>
      <c r="E195" s="172"/>
      <c r="F195" s="172"/>
      <c r="G195" s="172"/>
      <c r="H195" s="172"/>
      <c r="I195" s="172"/>
      <c r="J195" s="172"/>
      <c r="K195" s="172" t="s">
        <v>2197</v>
      </c>
      <c r="L195" s="172"/>
      <c r="M195" s="172"/>
      <c r="N195" s="172"/>
      <c r="O195" s="172"/>
      <c r="P195" s="230"/>
      <c r="Q195" s="230"/>
      <c r="R195" s="172"/>
      <c r="S195" s="192">
        <v>0</v>
      </c>
      <c r="T195" s="192">
        <v>0</v>
      </c>
      <c r="U195" s="192">
        <v>0</v>
      </c>
      <c r="V195" s="192">
        <v>0</v>
      </c>
      <c r="W195" s="191"/>
      <c r="X195" s="191"/>
      <c r="Y195" s="193">
        <v>0</v>
      </c>
      <c r="Z195" s="194">
        <v>0</v>
      </c>
      <c r="AA195" s="192"/>
      <c r="AB195" s="251"/>
      <c r="AC195" s="223"/>
      <c r="AD195" s="195">
        <v>0</v>
      </c>
      <c r="AE195" s="246">
        <v>0</v>
      </c>
      <c r="AF195" s="170"/>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71"/>
      <c r="CE195" s="171"/>
      <c r="CF195" s="171"/>
      <c r="CG195" s="171"/>
      <c r="CH195" s="171"/>
    </row>
    <row r="196" spans="1:86" ht="12" customHeight="1" outlineLevel="3">
      <c r="A196" s="189"/>
      <c r="B196" s="189" t="s">
        <v>1387</v>
      </c>
      <c r="C196" s="189">
        <v>4</v>
      </c>
      <c r="D196" s="190" t="s">
        <v>1816</v>
      </c>
      <c r="E196" s="172"/>
      <c r="F196" s="172"/>
      <c r="G196" s="172"/>
      <c r="H196" s="172" t="s">
        <v>1717</v>
      </c>
      <c r="I196" s="172"/>
      <c r="J196" s="172"/>
      <c r="K196" s="172"/>
      <c r="L196" s="172"/>
      <c r="M196" s="172"/>
      <c r="N196" s="172"/>
      <c r="O196" s="172"/>
      <c r="P196" s="230">
        <v>46216</v>
      </c>
      <c r="Q196" s="230">
        <v>46356</v>
      </c>
      <c r="R196" s="172"/>
      <c r="S196" s="192">
        <v>95</v>
      </c>
      <c r="T196" s="192">
        <v>52</v>
      </c>
      <c r="U196" s="192">
        <v>95</v>
      </c>
      <c r="V196" s="192">
        <v>52</v>
      </c>
      <c r="W196" s="191"/>
      <c r="X196" s="191"/>
      <c r="Y196" s="193">
        <v>0</v>
      </c>
      <c r="Z196" s="194">
        <v>0</v>
      </c>
      <c r="AA196" s="192"/>
      <c r="AB196" s="226"/>
      <c r="AC196" s="223"/>
      <c r="AD196" s="195">
        <v>0.54736842105263162</v>
      </c>
      <c r="AE196" s="201">
        <v>0.26526315789473681</v>
      </c>
      <c r="AF196" s="170"/>
      <c r="AG196" s="171"/>
      <c r="AH196" s="171"/>
      <c r="AI196" s="171"/>
      <c r="AJ196" s="171"/>
      <c r="AK196" s="171"/>
      <c r="AL196" s="171"/>
      <c r="AM196" s="171"/>
      <c r="AN196" s="171"/>
      <c r="AO196" s="171"/>
      <c r="AP196" s="171"/>
      <c r="AQ196" s="171"/>
      <c r="AR196" s="171"/>
      <c r="AS196" s="171"/>
      <c r="AT196" s="171" t="str">
        <f>"   " &amp; TEXT(AE196,"#0.00%") &amp; " "</f>
        <v xml:space="preserve">   26.53% </v>
      </c>
      <c r="AU196" s="171"/>
      <c r="AV196" s="171"/>
      <c r="AW196" s="171"/>
      <c r="AX196" s="171"/>
      <c r="AY196" s="171"/>
      <c r="AZ196" s="171"/>
      <c r="BA196" s="171"/>
      <c r="BB196" s="171"/>
      <c r="BC196" s="171"/>
      <c r="BD196" s="171"/>
      <c r="BE196" s="171"/>
      <c r="BF196" s="171"/>
      <c r="BG196" s="171"/>
      <c r="BH196" s="171"/>
      <c r="BI196" s="171" t="str">
        <f>"  " &amp; "디자인" &amp; " " &amp; IF(P196="","",TEXT(P196,"M/D-")) &amp; IF(Q196="","",TEXT(Q196,"M/D")) &amp; " "</f>
        <v xml:space="preserve">  디자인 7/13-11/30 </v>
      </c>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71"/>
      <c r="CE196" s="171"/>
      <c r="CF196" s="171"/>
      <c r="CG196" s="171"/>
      <c r="CH196" s="171"/>
    </row>
    <row r="197" spans="1:86" ht="12" customHeight="1" outlineLevel="4">
      <c r="A197" s="189"/>
      <c r="B197" s="189"/>
      <c r="C197" s="189">
        <v>5</v>
      </c>
      <c r="D197" s="190" t="s">
        <v>1909</v>
      </c>
      <c r="E197" s="172"/>
      <c r="F197" s="172"/>
      <c r="G197" s="172"/>
      <c r="H197" s="172"/>
      <c r="I197" s="172" t="s">
        <v>1667</v>
      </c>
      <c r="J197" s="172"/>
      <c r="K197" s="172"/>
      <c r="L197" s="172"/>
      <c r="M197" s="172"/>
      <c r="N197" s="172"/>
      <c r="O197" s="172"/>
      <c r="P197" s="231">
        <v>46216</v>
      </c>
      <c r="Q197" s="231">
        <v>46265</v>
      </c>
      <c r="R197" s="172"/>
      <c r="S197" s="192">
        <v>34</v>
      </c>
      <c r="T197" s="192">
        <v>34</v>
      </c>
      <c r="U197" s="192">
        <v>34</v>
      </c>
      <c r="V197" s="192">
        <v>34</v>
      </c>
      <c r="W197" s="191"/>
      <c r="X197" s="191"/>
      <c r="Y197" s="193"/>
      <c r="Z197" s="194">
        <v>0</v>
      </c>
      <c r="AA197" s="192"/>
      <c r="AB197" s="226" t="s">
        <v>1717</v>
      </c>
      <c r="AC197" s="223" t="s">
        <v>1767</v>
      </c>
      <c r="AD197" s="195">
        <v>1</v>
      </c>
      <c r="AE197" s="200">
        <v>0.3</v>
      </c>
      <c r="AF197" s="170"/>
      <c r="AG197" s="171"/>
      <c r="AH197" s="171"/>
      <c r="AI197" s="171"/>
      <c r="AJ197" s="171"/>
      <c r="AK197" s="171"/>
      <c r="AL197" s="171"/>
      <c r="AM197" s="171"/>
      <c r="AN197" s="171"/>
      <c r="AO197" s="171"/>
      <c r="AP197" s="171"/>
      <c r="AQ197" s="171" t="str">
        <f>"  " &amp; TEXT(AE197,"#0.00%") &amp; " "</f>
        <v xml:space="preserve">  30.00% </v>
      </c>
      <c r="AR197" s="171"/>
      <c r="AS197" s="171"/>
      <c r="AT197" s="171"/>
      <c r="AU197" s="171"/>
      <c r="AV197" s="171" t="str">
        <f>"  " &amp; "html/css작성 규칙,공통클래스사용법 안내,브라우저 지원범위 정의" &amp; "(디자인)" &amp; " " &amp; IF(P197="","",TEXT(P197,"M/D-")) &amp; IF(Q197="","",TEXT(Q197,"M/D")) &amp; " "</f>
        <v xml:space="preserve">  html/css작성 규칙,공통클래스사용법 안내,브라우저 지원범위 정의(디자인) 7/13-8/31 </v>
      </c>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71"/>
      <c r="CE197" s="171"/>
      <c r="CF197" s="171"/>
      <c r="CG197" s="171"/>
      <c r="CH197" s="171"/>
    </row>
    <row r="198" spans="1:86" ht="12" customHeight="1" outlineLevel="4">
      <c r="A198" s="189"/>
      <c r="B198" s="189"/>
      <c r="C198" s="189">
        <v>5</v>
      </c>
      <c r="D198" s="190" t="s">
        <v>1910</v>
      </c>
      <c r="E198" s="172"/>
      <c r="F198" s="172"/>
      <c r="G198" s="172"/>
      <c r="H198" s="172"/>
      <c r="I198" s="172" t="s">
        <v>1933</v>
      </c>
      <c r="J198" s="172"/>
      <c r="K198" s="172"/>
      <c r="L198" s="172"/>
      <c r="M198" s="172"/>
      <c r="N198" s="172"/>
      <c r="O198" s="172"/>
      <c r="P198" s="231">
        <v>46266</v>
      </c>
      <c r="Q198" s="231">
        <v>46304</v>
      </c>
      <c r="R198" s="172"/>
      <c r="S198" s="192">
        <v>25</v>
      </c>
      <c r="T198" s="192">
        <v>18</v>
      </c>
      <c r="U198" s="192">
        <v>25</v>
      </c>
      <c r="V198" s="192">
        <v>18</v>
      </c>
      <c r="W198" s="191"/>
      <c r="X198" s="191"/>
      <c r="Y198" s="193"/>
      <c r="Z198" s="194">
        <v>0</v>
      </c>
      <c r="AA198" s="192"/>
      <c r="AB198" s="226" t="s">
        <v>1717</v>
      </c>
      <c r="AC198" s="229" t="s">
        <v>1934</v>
      </c>
      <c r="AD198" s="195">
        <v>0.72</v>
      </c>
      <c r="AE198" s="200">
        <v>0.6</v>
      </c>
      <c r="AF198" s="170"/>
      <c r="AG198" s="171"/>
      <c r="AH198" s="171"/>
      <c r="AI198" s="171"/>
      <c r="AJ198" s="171"/>
      <c r="AK198" s="171"/>
      <c r="AL198" s="171"/>
      <c r="AM198" s="171"/>
      <c r="AN198" s="171"/>
      <c r="AO198" s="171"/>
      <c r="AP198" s="171"/>
      <c r="AQ198" s="171"/>
      <c r="AR198" s="171"/>
      <c r="AS198" s="171"/>
      <c r="AT198" s="171"/>
      <c r="AU198" s="171"/>
      <c r="AV198" s="171"/>
      <c r="AW198" s="171"/>
      <c r="AX198" s="171"/>
      <c r="AY198" s="171" t="str">
        <f>"    " &amp; TEXT(AE198,"#0.00%") &amp; " " &amp; "FO 시안" &amp; "(디자인)" &amp; " " &amp; IF(P198="","",TEXT(P198,"M/D-")) &amp; IF(Q198="","",TEXT(Q198,"M/D")) &amp; " "</f>
        <v xml:space="preserve">    60.00% FO 시안(디자인) 9/1-10/9 </v>
      </c>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71"/>
      <c r="CE198" s="171"/>
      <c r="CF198" s="171"/>
      <c r="CG198" s="171"/>
      <c r="CH198" s="171"/>
    </row>
    <row r="199" spans="1:86" ht="12" customHeight="1" outlineLevel="4">
      <c r="A199" s="189"/>
      <c r="B199" s="189"/>
      <c r="C199" s="189">
        <v>5</v>
      </c>
      <c r="D199" s="190" t="s">
        <v>1911</v>
      </c>
      <c r="E199" s="172"/>
      <c r="F199" s="172"/>
      <c r="G199" s="172"/>
      <c r="H199" s="172"/>
      <c r="I199" s="172" t="s">
        <v>1972</v>
      </c>
      <c r="J199" s="172"/>
      <c r="K199" s="172"/>
      <c r="L199" s="172"/>
      <c r="M199" s="172"/>
      <c r="N199" s="172"/>
      <c r="O199" s="172"/>
      <c r="P199" s="231">
        <v>46304</v>
      </c>
      <c r="Q199" s="231">
        <v>46310</v>
      </c>
      <c r="R199" s="172"/>
      <c r="S199" s="192">
        <v>4</v>
      </c>
      <c r="T199" s="192">
        <v>0</v>
      </c>
      <c r="U199" s="192">
        <v>4</v>
      </c>
      <c r="V199" s="192">
        <v>0</v>
      </c>
      <c r="W199" s="191"/>
      <c r="X199" s="191"/>
      <c r="Y199" s="193"/>
      <c r="Z199" s="194">
        <v>0</v>
      </c>
      <c r="AA199" s="192"/>
      <c r="AB199" s="226" t="s">
        <v>1717</v>
      </c>
      <c r="AC199" s="223" t="s">
        <v>1973</v>
      </c>
      <c r="AD199" s="195">
        <v>0</v>
      </c>
      <c r="AE199" s="198">
        <v>0</v>
      </c>
      <c r="AF199" s="170"/>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t="str">
        <f>"     " &amp; TEXT(AE199,"#0.00%") &amp; " " &amp; "디자인 가이드(컬러,타이포그래피,아이콘,그리드 정의)" &amp; "(디자인)" &amp; " " &amp; IF(P199="","",TEXT(P199,"M/D-")) &amp; IF(Q199="","",TEXT(Q199,"M/D")) &amp; " "</f>
        <v xml:space="preserve">     0.00% 디자인 가이드(컬러,타이포그래피,아이콘,그리드 정의)(디자인) 10/9-10/15 </v>
      </c>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71"/>
      <c r="CE199" s="171"/>
      <c r="CF199" s="171"/>
      <c r="CG199" s="171"/>
      <c r="CH199" s="171"/>
    </row>
    <row r="200" spans="1:86" ht="12" customHeight="1" outlineLevel="4">
      <c r="A200" s="189"/>
      <c r="B200" s="189"/>
      <c r="C200" s="189">
        <v>5</v>
      </c>
      <c r="D200" s="190" t="s">
        <v>1935</v>
      </c>
      <c r="E200" s="172"/>
      <c r="F200" s="172"/>
      <c r="G200" s="172"/>
      <c r="H200" s="172"/>
      <c r="I200" s="172" t="s">
        <v>1906</v>
      </c>
      <c r="J200" s="172"/>
      <c r="K200" s="172"/>
      <c r="L200" s="172"/>
      <c r="M200" s="172"/>
      <c r="N200" s="172"/>
      <c r="O200" s="172"/>
      <c r="P200" s="231">
        <v>46311</v>
      </c>
      <c r="Q200" s="231">
        <v>46356</v>
      </c>
      <c r="R200" s="172"/>
      <c r="S200" s="192">
        <v>32</v>
      </c>
      <c r="T200" s="192">
        <v>0</v>
      </c>
      <c r="U200" s="192">
        <v>32</v>
      </c>
      <c r="V200" s="192">
        <v>0</v>
      </c>
      <c r="W200" s="191"/>
      <c r="X200" s="191"/>
      <c r="Y200" s="193"/>
      <c r="Z200" s="194">
        <v>0</v>
      </c>
      <c r="AA200" s="192"/>
      <c r="AB200" s="226" t="s">
        <v>1717</v>
      </c>
      <c r="AC200" s="223" t="s">
        <v>1973</v>
      </c>
      <c r="AD200" s="195">
        <v>0</v>
      </c>
      <c r="AE200" s="198">
        <v>0</v>
      </c>
      <c r="AF200" s="170"/>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t="str">
        <f>"     " &amp; TEXT(AE200,"#0.00%") &amp; " "</f>
        <v xml:space="preserve">     0.00% </v>
      </c>
      <c r="BC200" s="171"/>
      <c r="BD200" s="171"/>
      <c r="BE200" s="171"/>
      <c r="BF200" s="171"/>
      <c r="BG200" s="171"/>
      <c r="BH200" s="171"/>
      <c r="BI200" s="171" t="str">
        <f>"  " &amp; "FO 디자인" &amp; "(디자인)" &amp; " " &amp; IF(P200="","",TEXT(P200,"M/D-")) &amp; IF(Q200="","",TEXT(Q200,"M/D")) &amp; " "</f>
        <v xml:space="preserve">  FO 디자인(디자인) 10/16-11/30 </v>
      </c>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71"/>
      <c r="CE200" s="171"/>
      <c r="CF200" s="171"/>
      <c r="CG200" s="171"/>
      <c r="CH200" s="171"/>
    </row>
    <row r="201" spans="1:86" ht="12" customHeight="1" outlineLevel="3">
      <c r="A201" s="189"/>
      <c r="B201" s="189"/>
      <c r="C201" s="189">
        <v>4</v>
      </c>
      <c r="D201" s="190" t="s">
        <v>1817</v>
      </c>
      <c r="E201" s="172"/>
      <c r="F201" s="172"/>
      <c r="G201" s="172"/>
      <c r="H201" s="172" t="s">
        <v>1668</v>
      </c>
      <c r="I201" s="172"/>
      <c r="J201" s="172"/>
      <c r="K201" s="172"/>
      <c r="L201" s="172"/>
      <c r="M201" s="172"/>
      <c r="N201" s="172"/>
      <c r="O201" s="172"/>
      <c r="P201" s="231">
        <v>46240</v>
      </c>
      <c r="Q201" s="231">
        <v>46339</v>
      </c>
      <c r="R201" s="172"/>
      <c r="S201" s="192">
        <v>67</v>
      </c>
      <c r="T201" s="192">
        <v>35</v>
      </c>
      <c r="U201" s="192">
        <v>67</v>
      </c>
      <c r="V201" s="192">
        <v>35</v>
      </c>
      <c r="W201" s="191"/>
      <c r="X201" s="191"/>
      <c r="Y201" s="193"/>
      <c r="Z201" s="194">
        <v>0</v>
      </c>
      <c r="AA201" s="192"/>
      <c r="AB201" s="222" t="s">
        <v>1718</v>
      </c>
      <c r="AC201" s="223" t="s">
        <v>1720</v>
      </c>
      <c r="AD201" s="195">
        <v>0.52238805970149249</v>
      </c>
      <c r="AE201" s="221">
        <v>0.49249999999999999</v>
      </c>
      <c r="AF201" s="170"/>
      <c r="AG201" s="171"/>
      <c r="AH201" s="171"/>
      <c r="AI201" s="171"/>
      <c r="AJ201" s="171"/>
      <c r="AK201" s="171"/>
      <c r="AL201" s="171"/>
      <c r="AM201" s="171"/>
      <c r="AN201" s="171"/>
      <c r="AO201" s="171"/>
      <c r="AP201" s="171"/>
      <c r="AQ201" s="171"/>
      <c r="AR201" s="171"/>
      <c r="AS201" s="171"/>
      <c r="AT201" s="171"/>
      <c r="AU201" s="171"/>
      <c r="AV201" s="171"/>
      <c r="AW201" s="171"/>
      <c r="AX201" s="171"/>
      <c r="AY201" s="171" t="str">
        <f>"    " &amp; TEXT(AE201,"#0.00%") &amp; " "</f>
        <v xml:space="preserve">    49.25% </v>
      </c>
      <c r="AZ201" s="171"/>
      <c r="BA201" s="171"/>
      <c r="BB201" s="171"/>
      <c r="BC201" s="171"/>
      <c r="BD201" s="171"/>
      <c r="BE201" s="171"/>
      <c r="BF201" s="171" t="str">
        <f>"      " &amp; "데이타베이스 설계" &amp; "(DA)" &amp; " " &amp; IF(P201="","",TEXT(P201,"M/D-")) &amp; IF(Q201="","",TEXT(Q201,"M/D")) &amp; " "</f>
        <v xml:space="preserve">      데이타베이스 설계(DA) 8/6-11/13 </v>
      </c>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71"/>
      <c r="CE201" s="171"/>
      <c r="CF201" s="171"/>
      <c r="CG201" s="171"/>
      <c r="CH201" s="171"/>
    </row>
    <row r="202" spans="1:86" ht="12" customHeight="1" outlineLevel="3">
      <c r="A202" s="189"/>
      <c r="B202" s="189"/>
      <c r="C202" s="189">
        <v>4</v>
      </c>
      <c r="D202" s="190" t="s">
        <v>1818</v>
      </c>
      <c r="E202" s="172"/>
      <c r="F202" s="172"/>
      <c r="G202" s="172"/>
      <c r="H202" s="172" t="s">
        <v>1669</v>
      </c>
      <c r="I202" s="172"/>
      <c r="J202" s="172"/>
      <c r="K202" s="172"/>
      <c r="L202" s="172"/>
      <c r="M202" s="172"/>
      <c r="N202" s="172"/>
      <c r="O202" s="172"/>
      <c r="P202" s="231">
        <v>46235</v>
      </c>
      <c r="Q202" s="231">
        <v>46326</v>
      </c>
      <c r="R202" s="172"/>
      <c r="S202" s="192">
        <v>60</v>
      </c>
      <c r="T202" s="192">
        <v>38</v>
      </c>
      <c r="U202" s="192">
        <v>60</v>
      </c>
      <c r="V202" s="192">
        <v>38</v>
      </c>
      <c r="W202" s="191"/>
      <c r="X202" s="191"/>
      <c r="Y202" s="193"/>
      <c r="Z202" s="194">
        <v>0</v>
      </c>
      <c r="AA202" s="192"/>
      <c r="AB202" s="222" t="s">
        <v>1768</v>
      </c>
      <c r="AC202" s="223" t="s">
        <v>1769</v>
      </c>
      <c r="AD202" s="195">
        <v>0.6333333333333333</v>
      </c>
      <c r="AE202" s="221">
        <v>0.6</v>
      </c>
      <c r="AF202" s="170"/>
      <c r="AG202" s="171"/>
      <c r="AH202" s="171"/>
      <c r="AI202" s="171"/>
      <c r="AJ202" s="171"/>
      <c r="AK202" s="171"/>
      <c r="AL202" s="171"/>
      <c r="AM202" s="171"/>
      <c r="AN202" s="171"/>
      <c r="AO202" s="171"/>
      <c r="AP202" s="171"/>
      <c r="AQ202" s="171"/>
      <c r="AR202" s="171"/>
      <c r="AS202" s="171"/>
      <c r="AT202" s="171"/>
      <c r="AU202" s="171"/>
      <c r="AV202" s="171"/>
      <c r="AW202" s="171"/>
      <c r="AX202" s="171"/>
      <c r="AY202" s="171" t="str">
        <f>"     " &amp; TEXT(AE202,"#0.00%") &amp; " "</f>
        <v xml:space="preserve">     60.00% </v>
      </c>
      <c r="AZ202" s="171"/>
      <c r="BA202" s="171"/>
      <c r="BB202" s="171"/>
      <c r="BC202" s="171"/>
      <c r="BD202" s="171"/>
      <c r="BE202" s="171" t="str">
        <f>"" &amp; "API 엔드포인트, 데이터형식, 에러코드 정의" &amp; "(BO개발PL)" &amp; " " &amp; IF(P202="","",TEXT(P202,"M/D-")) &amp; IF(Q202="","",TEXT(Q202,"M/D")) &amp; " "</f>
        <v xml:space="preserve">API 엔드포인트, 데이터형식, 에러코드 정의(BO개발PL) 8/1-10/31 </v>
      </c>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71"/>
      <c r="CE202" s="171"/>
      <c r="CF202" s="171"/>
      <c r="CG202" s="171"/>
      <c r="CH202" s="171"/>
    </row>
    <row r="203" spans="1:86" ht="12" customHeight="1" outlineLevel="3">
      <c r="A203" s="189"/>
      <c r="B203" s="189"/>
      <c r="C203" s="189">
        <v>4</v>
      </c>
      <c r="D203" s="190" t="s">
        <v>1819</v>
      </c>
      <c r="E203" s="172"/>
      <c r="F203" s="172"/>
      <c r="G203" s="172"/>
      <c r="H203" s="172" t="s">
        <v>1670</v>
      </c>
      <c r="I203" s="172"/>
      <c r="J203" s="172"/>
      <c r="K203" s="172"/>
      <c r="L203" s="172"/>
      <c r="M203" s="172"/>
      <c r="N203" s="172"/>
      <c r="O203" s="172"/>
      <c r="P203" s="231">
        <v>46223</v>
      </c>
      <c r="Q203" s="231">
        <v>46265</v>
      </c>
      <c r="R203" s="172"/>
      <c r="S203" s="192">
        <v>30</v>
      </c>
      <c r="T203" s="192">
        <v>30</v>
      </c>
      <c r="U203" s="192">
        <v>30</v>
      </c>
      <c r="V203" s="192">
        <v>30</v>
      </c>
      <c r="W203" s="191"/>
      <c r="X203" s="191"/>
      <c r="Y203" s="193"/>
      <c r="Z203" s="194">
        <v>0</v>
      </c>
      <c r="AA203" s="192"/>
      <c r="AB203" s="226" t="s">
        <v>1712</v>
      </c>
      <c r="AC203" s="223" t="s">
        <v>1770</v>
      </c>
      <c r="AD203" s="195">
        <v>1</v>
      </c>
      <c r="AE203" s="200">
        <v>0</v>
      </c>
      <c r="AF203" s="170"/>
      <c r="AG203" s="171"/>
      <c r="AH203" s="171"/>
      <c r="AI203" s="171"/>
      <c r="AJ203" s="171"/>
      <c r="AK203" s="171"/>
      <c r="AL203" s="171"/>
      <c r="AM203" s="171"/>
      <c r="AN203" s="171"/>
      <c r="AO203" s="171"/>
      <c r="AP203" s="171" t="str">
        <f>" " &amp; TEXT(AE203,"#0.00%") &amp; " "</f>
        <v xml:space="preserve"> 0.00% </v>
      </c>
      <c r="AQ203" s="171"/>
      <c r="AR203" s="171"/>
      <c r="AS203" s="171"/>
      <c r="AT203" s="171"/>
      <c r="AU203" s="171"/>
      <c r="AV203" s="171" t="str">
        <f>"  " &amp; "공통컴포넌트,공통모듈 설계" &amp; "(기획)" &amp; " " &amp; IF(P203="","",TEXT(P203,"M/D-")) &amp; IF(Q203="","",TEXT(Q203,"M/D")) &amp; " "</f>
        <v xml:space="preserve">  공통컴포넌트,공통모듈 설계(기획) 7/20-8/31 </v>
      </c>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71"/>
      <c r="CE203" s="171"/>
      <c r="CF203" s="171"/>
      <c r="CG203" s="171"/>
      <c r="CH203" s="171"/>
    </row>
    <row r="204" spans="1:86" ht="12" customHeight="1" outlineLevel="2">
      <c r="A204" s="189"/>
      <c r="B204" s="189" t="s">
        <v>1387</v>
      </c>
      <c r="C204" s="189">
        <v>3</v>
      </c>
      <c r="D204" s="190" t="s">
        <v>1470</v>
      </c>
      <c r="E204" s="172"/>
      <c r="F204" s="172"/>
      <c r="G204" s="172" t="s">
        <v>1657</v>
      </c>
      <c r="H204" s="172"/>
      <c r="I204" s="172"/>
      <c r="J204" s="172"/>
      <c r="K204" s="172"/>
      <c r="L204" s="172"/>
      <c r="M204" s="172"/>
      <c r="N204" s="172"/>
      <c r="O204" s="172"/>
      <c r="P204" s="191">
        <v>46249</v>
      </c>
      <c r="Q204" s="191">
        <v>46265</v>
      </c>
      <c r="R204" s="172"/>
      <c r="S204" s="192">
        <v>20</v>
      </c>
      <c r="T204" s="192">
        <v>20</v>
      </c>
      <c r="U204" s="192">
        <v>10</v>
      </c>
      <c r="V204" s="192">
        <v>10</v>
      </c>
      <c r="W204" s="191"/>
      <c r="X204" s="191"/>
      <c r="Y204" s="193">
        <v>0</v>
      </c>
      <c r="Z204" s="194">
        <v>0</v>
      </c>
      <c r="AA204" s="192"/>
      <c r="AB204" s="189"/>
      <c r="AC204" s="172"/>
      <c r="AD204" s="195">
        <v>1</v>
      </c>
      <c r="AE204" s="197">
        <v>1</v>
      </c>
      <c r="AF204" s="170"/>
      <c r="AG204" s="171"/>
      <c r="AH204" s="171"/>
      <c r="AI204" s="171"/>
      <c r="AJ204" s="171"/>
      <c r="AK204" s="171"/>
      <c r="AL204" s="171"/>
      <c r="AM204" s="171"/>
      <c r="AN204" s="171"/>
      <c r="AO204" s="171"/>
      <c r="AP204" s="171"/>
      <c r="AQ204" s="171"/>
      <c r="AR204" s="171"/>
      <c r="AS204" s="171"/>
      <c r="AT204" s="171"/>
      <c r="AU204" s="171"/>
      <c r="AV204" s="171" t="str">
        <f>"  " &amp; TEXT(AE204,"#0.00%") &amp; " " &amp; "보안 교육" &amp; " " &amp; IF(P204="","",TEXT(P204,"M/D-")) &amp; IF(Q204="","",TEXT(Q204,"M/D")) &amp; " "</f>
        <v xml:space="preserve">  100.00% 보안 교육 8/15-8/31 </v>
      </c>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71"/>
      <c r="CE204" s="171"/>
      <c r="CF204" s="171"/>
      <c r="CG204" s="171"/>
      <c r="CH204" s="171"/>
    </row>
    <row r="205" spans="1:86" ht="12" customHeight="1" outlineLevel="3">
      <c r="A205" s="189"/>
      <c r="B205" s="189"/>
      <c r="C205" s="189">
        <v>4</v>
      </c>
      <c r="D205" s="190" t="s">
        <v>1471</v>
      </c>
      <c r="E205" s="172"/>
      <c r="F205" s="172"/>
      <c r="G205" s="172"/>
      <c r="H205" s="172" t="s">
        <v>1657</v>
      </c>
      <c r="I205" s="172"/>
      <c r="J205" s="172"/>
      <c r="K205" s="172"/>
      <c r="L205" s="172"/>
      <c r="M205" s="172"/>
      <c r="N205" s="172"/>
      <c r="O205" s="172"/>
      <c r="P205" s="230">
        <v>46249</v>
      </c>
      <c r="Q205" s="230">
        <v>46265</v>
      </c>
      <c r="R205" s="172"/>
      <c r="S205" s="192">
        <v>10</v>
      </c>
      <c r="T205" s="192">
        <v>10</v>
      </c>
      <c r="U205" s="192">
        <v>10</v>
      </c>
      <c r="V205" s="192">
        <v>10</v>
      </c>
      <c r="W205" s="191"/>
      <c r="X205" s="191"/>
      <c r="Y205" s="193"/>
      <c r="Z205" s="194">
        <v>0</v>
      </c>
      <c r="AA205" s="192"/>
      <c r="AB205" s="222" t="s">
        <v>1698</v>
      </c>
      <c r="AC205" s="223" t="s">
        <v>1761</v>
      </c>
      <c r="AD205" s="195">
        <v>1</v>
      </c>
      <c r="AE205" s="198">
        <v>1</v>
      </c>
      <c r="AF205" s="170"/>
      <c r="AG205" s="171"/>
      <c r="AH205" s="171"/>
      <c r="AI205" s="171"/>
      <c r="AJ205" s="171"/>
      <c r="AK205" s="171"/>
      <c r="AL205" s="171"/>
      <c r="AM205" s="171"/>
      <c r="AN205" s="171"/>
      <c r="AO205" s="171"/>
      <c r="AP205" s="171"/>
      <c r="AQ205" s="171"/>
      <c r="AR205" s="171"/>
      <c r="AS205" s="171"/>
      <c r="AT205" s="171"/>
      <c r="AU205" s="171"/>
      <c r="AV205" s="171" t="str">
        <f>"  " &amp; TEXT(AE205,"#0.00%") &amp; " " &amp; "보안 교육" &amp; "(QA)" &amp; " " &amp; IF(P205="","",TEXT(P205,"M/D-")) &amp; IF(Q205="","",TEXT(Q205,"M/D")) &amp; " "</f>
        <v xml:space="preserve">  100.00% 보안 교육(QA) 8/15-8/31 </v>
      </c>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71"/>
      <c r="CE205" s="171"/>
      <c r="CF205" s="171"/>
      <c r="CG205" s="171"/>
      <c r="CH205" s="171"/>
    </row>
    <row r="206" spans="1:86" ht="12" customHeight="1" outlineLevel="3">
      <c r="A206" s="189"/>
      <c r="B206" s="189"/>
      <c r="C206" s="189">
        <v>4</v>
      </c>
      <c r="D206" s="190" t="s">
        <v>1472</v>
      </c>
      <c r="E206" s="172"/>
      <c r="F206" s="172"/>
      <c r="G206" s="172"/>
      <c r="H206" s="172" t="s">
        <v>1658</v>
      </c>
      <c r="I206" s="172"/>
      <c r="J206" s="172"/>
      <c r="K206" s="172"/>
      <c r="L206" s="172"/>
      <c r="M206" s="172"/>
      <c r="N206" s="172"/>
      <c r="O206" s="172"/>
      <c r="P206" s="230">
        <v>46249</v>
      </c>
      <c r="Q206" s="230">
        <v>46265</v>
      </c>
      <c r="R206" s="172"/>
      <c r="S206" s="192">
        <v>10</v>
      </c>
      <c r="T206" s="192">
        <v>10</v>
      </c>
      <c r="U206" s="192">
        <v>10</v>
      </c>
      <c r="V206" s="192">
        <v>10</v>
      </c>
      <c r="W206" s="191"/>
      <c r="X206" s="191"/>
      <c r="Y206" s="193"/>
      <c r="Z206" s="194">
        <v>0</v>
      </c>
      <c r="AA206" s="192"/>
      <c r="AB206" s="222" t="s">
        <v>1698</v>
      </c>
      <c r="AC206" s="223" t="s">
        <v>1762</v>
      </c>
      <c r="AD206" s="195">
        <v>1</v>
      </c>
      <c r="AE206" s="198">
        <v>1</v>
      </c>
      <c r="AF206" s="170"/>
      <c r="AG206" s="171"/>
      <c r="AH206" s="171"/>
      <c r="AI206" s="171"/>
      <c r="AJ206" s="171"/>
      <c r="AK206" s="171"/>
      <c r="AL206" s="171"/>
      <c r="AM206" s="171"/>
      <c r="AN206" s="171"/>
      <c r="AO206" s="171"/>
      <c r="AP206" s="171"/>
      <c r="AQ206" s="171"/>
      <c r="AR206" s="171"/>
      <c r="AS206" s="171"/>
      <c r="AT206" s="171"/>
      <c r="AU206" s="171"/>
      <c r="AV206" s="171" t="str">
        <f>"  " &amp; TEXT(AE206,"#0.00%") &amp; " " &amp; "오픈소스 교육" &amp; "(QA)" &amp; " " &amp; IF(P206="","",TEXT(P206,"M/D-")) &amp; IF(Q206="","",TEXT(Q206,"M/D")) &amp; " "</f>
        <v xml:space="preserve">  100.00% 오픈소스 교육(QA) 8/15-8/31 </v>
      </c>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71"/>
      <c r="CE206" s="171"/>
      <c r="CF206" s="171"/>
      <c r="CG206" s="171"/>
      <c r="CH206" s="171"/>
    </row>
    <row r="207" spans="1:86" ht="12" customHeight="1" outlineLevel="1">
      <c r="A207" s="189"/>
      <c r="B207" s="189" t="s">
        <v>1387</v>
      </c>
      <c r="C207" s="189">
        <v>2</v>
      </c>
      <c r="D207" s="190" t="s">
        <v>1486</v>
      </c>
      <c r="E207" s="172"/>
      <c r="F207" s="172" t="s">
        <v>1473</v>
      </c>
      <c r="G207" s="172"/>
      <c r="H207" s="172"/>
      <c r="I207" s="172"/>
      <c r="J207" s="172"/>
      <c r="K207" s="172"/>
      <c r="L207" s="172"/>
      <c r="M207" s="172"/>
      <c r="N207" s="172"/>
      <c r="O207" s="172"/>
      <c r="P207" s="191">
        <v>46296</v>
      </c>
      <c r="Q207" s="191">
        <v>46446</v>
      </c>
      <c r="R207" s="172"/>
      <c r="S207" s="192">
        <v>4105</v>
      </c>
      <c r="T207" s="192">
        <v>0</v>
      </c>
      <c r="U207" s="192">
        <v>101</v>
      </c>
      <c r="V207" s="192">
        <v>0</v>
      </c>
      <c r="W207" s="191"/>
      <c r="X207" s="191"/>
      <c r="Y207" s="193">
        <v>0</v>
      </c>
      <c r="Z207" s="194">
        <v>0</v>
      </c>
      <c r="AA207" s="192"/>
      <c r="AB207" s="189"/>
      <c r="AC207" s="172"/>
      <c r="AD207" s="195">
        <v>0</v>
      </c>
      <c r="AE207" s="197">
        <v>0</v>
      </c>
      <c r="AF207" s="170"/>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t="str">
        <f>"    " &amp; TEXT(AE207,"#0.00%") &amp; " "</f>
        <v xml:space="preserve">    0.00% </v>
      </c>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t="str">
        <f>" " &amp; "구현" &amp; " " &amp; IF(P207="","",TEXT(P207,"M/D-")) &amp; IF(Q207="","",TEXT(Q207,"M/D")) &amp; " "</f>
        <v xml:space="preserve"> 구현 10/1-2/28 </v>
      </c>
      <c r="BW207" s="171"/>
      <c r="BX207" s="171"/>
      <c r="BY207" s="171"/>
      <c r="BZ207" s="171"/>
      <c r="CA207" s="171"/>
      <c r="CB207" s="171"/>
      <c r="CC207" s="171"/>
      <c r="CD207" s="171"/>
      <c r="CE207" s="171"/>
      <c r="CF207" s="171"/>
      <c r="CG207" s="171"/>
      <c r="CH207" s="171"/>
    </row>
    <row r="208" spans="1:86" ht="12" customHeight="1" outlineLevel="2">
      <c r="A208" s="189"/>
      <c r="B208" s="189" t="s">
        <v>1387</v>
      </c>
      <c r="C208" s="189">
        <v>3</v>
      </c>
      <c r="D208" s="190" t="s">
        <v>1474</v>
      </c>
      <c r="E208" s="172"/>
      <c r="F208" s="172"/>
      <c r="G208" s="172" t="s">
        <v>1717</v>
      </c>
      <c r="H208" s="172"/>
      <c r="I208" s="172"/>
      <c r="J208" s="172"/>
      <c r="K208" s="172"/>
      <c r="L208" s="172"/>
      <c r="M208" s="172"/>
      <c r="N208" s="172"/>
      <c r="O208" s="172"/>
      <c r="P208" s="191">
        <v>46311</v>
      </c>
      <c r="Q208" s="191">
        <v>46356</v>
      </c>
      <c r="R208" s="172"/>
      <c r="S208" s="192">
        <v>459</v>
      </c>
      <c r="T208" s="192">
        <v>0</v>
      </c>
      <c r="U208" s="192">
        <v>32</v>
      </c>
      <c r="V208" s="192">
        <v>0</v>
      </c>
      <c r="W208" s="191"/>
      <c r="X208" s="191"/>
      <c r="Y208" s="193">
        <v>0</v>
      </c>
      <c r="Z208" s="194">
        <v>0</v>
      </c>
      <c r="AA208" s="192"/>
      <c r="AB208" s="189"/>
      <c r="AC208" s="172"/>
      <c r="AD208" s="195">
        <v>0</v>
      </c>
      <c r="AE208" s="197">
        <v>0</v>
      </c>
      <c r="AF208" s="170"/>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t="str">
        <f>"     " &amp; TEXT(AE208,"#0.00%") &amp; " "</f>
        <v xml:space="preserve">     0.00% </v>
      </c>
      <c r="BC208" s="171"/>
      <c r="BD208" s="171"/>
      <c r="BE208" s="171"/>
      <c r="BF208" s="171"/>
      <c r="BG208" s="171"/>
      <c r="BH208" s="171"/>
      <c r="BI208" s="171" t="str">
        <f>"  " &amp; "디자인" &amp; " " &amp; IF(P208="","",TEXT(P208,"M/D-")) &amp; IF(Q208="","",TEXT(Q208,"M/D")) &amp; " "</f>
        <v xml:space="preserve">  디자인 10/16-11/30 </v>
      </c>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71"/>
      <c r="CE208" s="171"/>
      <c r="CF208" s="171"/>
      <c r="CG208" s="171"/>
      <c r="CH208" s="171"/>
    </row>
    <row r="209" spans="1:86" ht="12" customHeight="1" outlineLevel="3">
      <c r="A209" s="189"/>
      <c r="B209" s="189"/>
      <c r="C209" s="189">
        <v>4</v>
      </c>
      <c r="D209" s="190" t="s">
        <v>1475</v>
      </c>
      <c r="E209" s="172"/>
      <c r="F209" s="172"/>
      <c r="G209" s="172"/>
      <c r="H209" s="172" t="s">
        <v>1845</v>
      </c>
      <c r="I209" s="172"/>
      <c r="J209" s="172"/>
      <c r="K209" s="172"/>
      <c r="L209" s="172"/>
      <c r="M209" s="172"/>
      <c r="N209" s="172"/>
      <c r="O209" s="172"/>
      <c r="P209" s="230">
        <v>46311</v>
      </c>
      <c r="Q209" s="230">
        <v>46326</v>
      </c>
      <c r="R209" s="172"/>
      <c r="S209" s="192">
        <v>11</v>
      </c>
      <c r="T209" s="192">
        <v>0</v>
      </c>
      <c r="U209" s="192">
        <v>11</v>
      </c>
      <c r="V209" s="192">
        <v>0</v>
      </c>
      <c r="W209" s="191"/>
      <c r="X209" s="191"/>
      <c r="Y209" s="193"/>
      <c r="Z209" s="194">
        <v>0</v>
      </c>
      <c r="AA209" s="192"/>
      <c r="AB209" s="189" t="s">
        <v>1717</v>
      </c>
      <c r="AC209" s="229" t="s">
        <v>1722</v>
      </c>
      <c r="AD209" s="195">
        <v>0</v>
      </c>
      <c r="AE209" s="198">
        <v>0</v>
      </c>
      <c r="AF209" s="170"/>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t="str">
        <f>"     " &amp; TEXT(AE209,"#0.00%") &amp; " " &amp; "공통 " &amp; "(디자인)" &amp; " " &amp; IF(P209="","",TEXT(P209,"M/D-")) &amp; IF(Q209="","",TEXT(Q209,"M/D")) &amp; " "</f>
        <v xml:space="preserve">     0.00% 공통 (디자인) 10/16-10/31 </v>
      </c>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71"/>
      <c r="CE209" s="171"/>
      <c r="CF209" s="171"/>
      <c r="CG209" s="171"/>
      <c r="CH209" s="171"/>
    </row>
    <row r="210" spans="1:86" ht="12" customHeight="1" outlineLevel="3">
      <c r="A210" s="189"/>
      <c r="B210" s="189" t="s">
        <v>1387</v>
      </c>
      <c r="C210" s="189">
        <v>4</v>
      </c>
      <c r="D210" s="190" t="s">
        <v>1820</v>
      </c>
      <c r="E210" s="172"/>
      <c r="F210" s="172"/>
      <c r="G210" s="172"/>
      <c r="H210" s="172" t="s">
        <v>1653</v>
      </c>
      <c r="I210" s="172"/>
      <c r="J210" s="172"/>
      <c r="K210" s="172"/>
      <c r="L210" s="172"/>
      <c r="M210" s="172"/>
      <c r="N210" s="172"/>
      <c r="O210" s="172"/>
      <c r="P210" s="230">
        <v>46311</v>
      </c>
      <c r="Q210" s="230">
        <v>46356</v>
      </c>
      <c r="R210" s="172"/>
      <c r="S210" s="192">
        <v>448</v>
      </c>
      <c r="T210" s="192">
        <v>0</v>
      </c>
      <c r="U210" s="192">
        <v>32</v>
      </c>
      <c r="V210" s="192">
        <v>0</v>
      </c>
      <c r="W210" s="191"/>
      <c r="X210" s="191"/>
      <c r="Y210" s="193">
        <v>0</v>
      </c>
      <c r="Z210" s="194">
        <v>0</v>
      </c>
      <c r="AA210" s="192"/>
      <c r="AB210" s="189"/>
      <c r="AC210" s="172"/>
      <c r="AD210" s="195">
        <v>0</v>
      </c>
      <c r="AE210" s="197">
        <v>0</v>
      </c>
      <c r="AF210" s="170"/>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t="str">
        <f>"     " &amp; TEXT(AE210,"#0.00%") &amp; " "</f>
        <v xml:space="preserve">     0.00% </v>
      </c>
      <c r="BC210" s="171"/>
      <c r="BD210" s="171"/>
      <c r="BE210" s="171"/>
      <c r="BF210" s="171"/>
      <c r="BG210" s="171"/>
      <c r="BH210" s="171"/>
      <c r="BI210" s="171" t="str">
        <f>"  " &amp; "메뉴 및 구조화" &amp; " " &amp; IF(P210="","",TEXT(P210,"M/D-")) &amp; IF(Q210="","",TEXT(Q210,"M/D")) &amp; " "</f>
        <v xml:space="preserve">  메뉴 및 구조화 10/16-11/30 </v>
      </c>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71"/>
      <c r="CE210" s="171"/>
      <c r="CF210" s="171"/>
      <c r="CG210" s="171"/>
      <c r="CH210" s="171"/>
    </row>
    <row r="211" spans="1:86" ht="12" customHeight="1" outlineLevel="4">
      <c r="A211" s="189"/>
      <c r="B211" s="189"/>
      <c r="C211" s="189">
        <v>5</v>
      </c>
      <c r="D211" s="190" t="s">
        <v>1974</v>
      </c>
      <c r="E211" s="172"/>
      <c r="F211" s="172"/>
      <c r="G211" s="172"/>
      <c r="H211" s="172"/>
      <c r="I211" s="172" t="s">
        <v>1904</v>
      </c>
      <c r="J211" s="172"/>
      <c r="K211" s="172"/>
      <c r="L211" s="172"/>
      <c r="M211" s="172"/>
      <c r="N211" s="172"/>
      <c r="O211" s="172"/>
      <c r="P211" s="230">
        <v>46311</v>
      </c>
      <c r="Q211" s="230">
        <v>46356</v>
      </c>
      <c r="R211" s="172"/>
      <c r="S211" s="192">
        <v>32</v>
      </c>
      <c r="T211" s="192">
        <v>0</v>
      </c>
      <c r="U211" s="192">
        <v>32</v>
      </c>
      <c r="V211" s="192">
        <v>0</v>
      </c>
      <c r="W211" s="191"/>
      <c r="X211" s="191"/>
      <c r="Y211" s="193"/>
      <c r="Z211" s="194">
        <v>0</v>
      </c>
      <c r="AA211" s="192"/>
      <c r="AB211" s="226" t="s">
        <v>1717</v>
      </c>
      <c r="AC211" s="229" t="s">
        <v>1722</v>
      </c>
      <c r="AD211" s="195">
        <v>0</v>
      </c>
      <c r="AE211" s="198">
        <v>0</v>
      </c>
      <c r="AF211" s="170"/>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t="str">
        <f>"     " &amp; TEXT(AE211,"#0.00%") &amp; " "</f>
        <v xml:space="preserve">     0.00% </v>
      </c>
      <c r="BC211" s="171"/>
      <c r="BD211" s="171"/>
      <c r="BE211" s="171"/>
      <c r="BF211" s="171"/>
      <c r="BG211" s="171"/>
      <c r="BH211" s="171"/>
      <c r="BI211" s="171" t="str">
        <f>"  " &amp; "메인" &amp; "(디자인)" &amp; " " &amp; IF(P211="","",TEXT(P211,"M/D-")) &amp; IF(Q211="","",TEXT(Q211,"M/D")) &amp; " "</f>
        <v xml:space="preserve">  메인(디자인) 10/16-11/30 </v>
      </c>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71"/>
      <c r="CE211" s="171"/>
      <c r="CF211" s="171"/>
      <c r="CG211" s="171"/>
      <c r="CH211" s="171"/>
    </row>
    <row r="212" spans="1:86" ht="12" customHeight="1" outlineLevel="4">
      <c r="A212" s="189"/>
      <c r="B212" s="189"/>
      <c r="C212" s="189">
        <v>5</v>
      </c>
      <c r="D212" s="190" t="s">
        <v>1975</v>
      </c>
      <c r="E212" s="172"/>
      <c r="F212" s="172"/>
      <c r="G212" s="172"/>
      <c r="H212" s="172"/>
      <c r="I212" s="172" t="s">
        <v>1912</v>
      </c>
      <c r="J212" s="172"/>
      <c r="K212" s="172"/>
      <c r="L212" s="172"/>
      <c r="M212" s="172"/>
      <c r="N212" s="172"/>
      <c r="O212" s="172"/>
      <c r="P212" s="230">
        <v>46311</v>
      </c>
      <c r="Q212" s="230">
        <v>46356</v>
      </c>
      <c r="R212" s="172"/>
      <c r="S212" s="192">
        <v>32</v>
      </c>
      <c r="T212" s="192">
        <v>0</v>
      </c>
      <c r="U212" s="192">
        <v>32</v>
      </c>
      <c r="V212" s="192">
        <v>0</v>
      </c>
      <c r="W212" s="191"/>
      <c r="X212" s="191"/>
      <c r="Y212" s="193"/>
      <c r="Z212" s="194">
        <v>0</v>
      </c>
      <c r="AA212" s="192"/>
      <c r="AB212" s="226" t="s">
        <v>1717</v>
      </c>
      <c r="AC212" s="229" t="s">
        <v>1722</v>
      </c>
      <c r="AD212" s="195">
        <v>0</v>
      </c>
      <c r="AE212" s="198">
        <v>0</v>
      </c>
      <c r="AF212" s="170"/>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t="str">
        <f>"     " &amp; TEXT(AE212,"#0.00%") &amp; " "</f>
        <v xml:space="preserve">     0.00% </v>
      </c>
      <c r="BC212" s="171"/>
      <c r="BD212" s="171"/>
      <c r="BE212" s="171"/>
      <c r="BF212" s="171"/>
      <c r="BG212" s="171"/>
      <c r="BH212" s="171"/>
      <c r="BI212" s="171" t="str">
        <f>"  " &amp; "사용처 카테고리" &amp; "(디자인)" &amp; " " &amp; IF(P212="","",TEXT(P212,"M/D-")) &amp; IF(Q212="","",TEXT(Q212,"M/D")) &amp; " "</f>
        <v xml:space="preserve">  사용처 카테고리(디자인) 10/16-11/30 </v>
      </c>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71"/>
      <c r="CE212" s="171"/>
      <c r="CF212" s="171"/>
      <c r="CG212" s="171"/>
      <c r="CH212" s="171"/>
    </row>
    <row r="213" spans="1:86" ht="12" customHeight="1" outlineLevel="4">
      <c r="A213" s="189"/>
      <c r="B213" s="189"/>
      <c r="C213" s="189">
        <v>5</v>
      </c>
      <c r="D213" s="190" t="s">
        <v>1976</v>
      </c>
      <c r="E213" s="172"/>
      <c r="F213" s="172"/>
      <c r="G213" s="172"/>
      <c r="H213" s="172"/>
      <c r="I213" s="172" t="s">
        <v>1913</v>
      </c>
      <c r="J213" s="172"/>
      <c r="K213" s="172"/>
      <c r="L213" s="172"/>
      <c r="M213" s="172"/>
      <c r="N213" s="172"/>
      <c r="O213" s="172"/>
      <c r="P213" s="230">
        <v>46311</v>
      </c>
      <c r="Q213" s="230">
        <v>46356</v>
      </c>
      <c r="R213" s="172"/>
      <c r="S213" s="192">
        <v>32</v>
      </c>
      <c r="T213" s="192">
        <v>0</v>
      </c>
      <c r="U213" s="192">
        <v>32</v>
      </c>
      <c r="V213" s="192">
        <v>0</v>
      </c>
      <c r="W213" s="191"/>
      <c r="X213" s="191"/>
      <c r="Y213" s="193"/>
      <c r="Z213" s="194">
        <v>0</v>
      </c>
      <c r="AA213" s="192"/>
      <c r="AB213" s="226" t="s">
        <v>1717</v>
      </c>
      <c r="AC213" s="229" t="s">
        <v>1722</v>
      </c>
      <c r="AD213" s="195">
        <v>0</v>
      </c>
      <c r="AE213" s="198">
        <v>0</v>
      </c>
      <c r="AF213" s="170"/>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t="str">
        <f>"     " &amp; TEXT(AE213,"#0.00%") &amp; " "</f>
        <v xml:space="preserve">     0.00% </v>
      </c>
      <c r="BC213" s="171"/>
      <c r="BD213" s="171"/>
      <c r="BE213" s="171"/>
      <c r="BF213" s="171"/>
      <c r="BG213" s="171"/>
      <c r="BH213" s="171"/>
      <c r="BI213" s="171" t="str">
        <f>"  " &amp; "월렛" &amp; "(디자인)" &amp; " " &amp; IF(P213="","",TEXT(P213,"M/D-")) &amp; IF(Q213="","",TEXT(Q213,"M/D")) &amp; " "</f>
        <v xml:space="preserve">  월렛(디자인) 10/16-11/30 </v>
      </c>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71"/>
      <c r="CE213" s="171"/>
      <c r="CF213" s="171"/>
      <c r="CG213" s="171"/>
      <c r="CH213" s="171"/>
    </row>
    <row r="214" spans="1:86" ht="12" customHeight="1" outlineLevel="4">
      <c r="A214" s="189"/>
      <c r="B214" s="189"/>
      <c r="C214" s="189">
        <v>5</v>
      </c>
      <c r="D214" s="190" t="s">
        <v>1977</v>
      </c>
      <c r="E214" s="172"/>
      <c r="F214" s="172"/>
      <c r="G214" s="172"/>
      <c r="H214" s="172"/>
      <c r="I214" s="172" t="s">
        <v>2014</v>
      </c>
      <c r="J214" s="172"/>
      <c r="K214" s="172"/>
      <c r="L214" s="172"/>
      <c r="M214" s="172"/>
      <c r="N214" s="172"/>
      <c r="O214" s="172"/>
      <c r="P214" s="230">
        <v>46311</v>
      </c>
      <c r="Q214" s="230">
        <v>46356</v>
      </c>
      <c r="R214" s="172"/>
      <c r="S214" s="192">
        <v>32</v>
      </c>
      <c r="T214" s="192">
        <v>0</v>
      </c>
      <c r="U214" s="192">
        <v>32</v>
      </c>
      <c r="V214" s="192">
        <v>0</v>
      </c>
      <c r="W214" s="191"/>
      <c r="X214" s="191"/>
      <c r="Y214" s="193"/>
      <c r="Z214" s="194">
        <v>0</v>
      </c>
      <c r="AA214" s="192"/>
      <c r="AB214" s="226" t="s">
        <v>1717</v>
      </c>
      <c r="AC214" s="229" t="s">
        <v>1722</v>
      </c>
      <c r="AD214" s="195">
        <v>0</v>
      </c>
      <c r="AE214" s="198">
        <v>0</v>
      </c>
      <c r="AF214" s="170"/>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t="str">
        <f>"     " &amp; TEXT(AE214,"#0.00%") &amp; " "</f>
        <v xml:space="preserve">     0.00% </v>
      </c>
      <c r="BC214" s="171"/>
      <c r="BD214" s="171"/>
      <c r="BE214" s="171"/>
      <c r="BF214" s="171"/>
      <c r="BG214" s="171"/>
      <c r="BH214" s="171"/>
      <c r="BI214" s="171" t="str">
        <f>"  " &amp; "더라운지 eSIM" &amp; "(디자인)" &amp; " " &amp; IF(P214="","",TEXT(P214,"M/D-")) &amp; IF(Q214="","",TEXT(Q214,"M/D")) &amp; " "</f>
        <v xml:space="preserve">  더라운지 eSIM(디자인) 10/16-11/30 </v>
      </c>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71"/>
      <c r="CE214" s="171"/>
      <c r="CF214" s="171"/>
      <c r="CG214" s="171"/>
      <c r="CH214" s="171"/>
    </row>
    <row r="215" spans="1:86" ht="12" customHeight="1" outlineLevel="4">
      <c r="A215" s="189"/>
      <c r="B215" s="189"/>
      <c r="C215" s="189">
        <v>5</v>
      </c>
      <c r="D215" s="190" t="s">
        <v>1978</v>
      </c>
      <c r="E215" s="172"/>
      <c r="F215" s="172"/>
      <c r="G215" s="172"/>
      <c r="H215" s="172"/>
      <c r="I215" s="172" t="s">
        <v>1855</v>
      </c>
      <c r="J215" s="172"/>
      <c r="K215" s="172"/>
      <c r="L215" s="172"/>
      <c r="M215" s="172"/>
      <c r="N215" s="172"/>
      <c r="O215" s="172"/>
      <c r="P215" s="230">
        <v>46311</v>
      </c>
      <c r="Q215" s="230">
        <v>46356</v>
      </c>
      <c r="R215" s="172"/>
      <c r="S215" s="192">
        <v>32</v>
      </c>
      <c r="T215" s="192">
        <v>0</v>
      </c>
      <c r="U215" s="192">
        <v>32</v>
      </c>
      <c r="V215" s="192">
        <v>0</v>
      </c>
      <c r="W215" s="191"/>
      <c r="X215" s="191"/>
      <c r="Y215" s="193"/>
      <c r="Z215" s="194">
        <v>0</v>
      </c>
      <c r="AA215" s="192"/>
      <c r="AB215" s="226" t="s">
        <v>1717</v>
      </c>
      <c r="AC215" s="229" t="s">
        <v>1722</v>
      </c>
      <c r="AD215" s="195">
        <v>0</v>
      </c>
      <c r="AE215" s="198">
        <v>0</v>
      </c>
      <c r="AF215" s="170"/>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t="str">
        <f>"     " &amp; TEXT(AE215,"#0.00%") &amp; " "</f>
        <v xml:space="preserve">     0.00% </v>
      </c>
      <c r="BC215" s="171"/>
      <c r="BD215" s="171"/>
      <c r="BE215" s="171"/>
      <c r="BF215" s="171"/>
      <c r="BG215" s="171"/>
      <c r="BH215" s="171"/>
      <c r="BI215" s="171" t="str">
        <f>"  " &amp; "제휴카드" &amp; "(디자인)" &amp; " " &amp; IF(P215="","",TEXT(P215,"M/D-")) &amp; IF(Q215="","",TEXT(Q215,"M/D")) &amp; " "</f>
        <v xml:space="preserve">  제휴카드(디자인) 10/16-11/30 </v>
      </c>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71"/>
      <c r="CE215" s="171"/>
      <c r="CF215" s="171"/>
      <c r="CG215" s="171"/>
      <c r="CH215" s="171"/>
    </row>
    <row r="216" spans="1:86" ht="12" customHeight="1" outlineLevel="4">
      <c r="A216" s="189"/>
      <c r="B216" s="189"/>
      <c r="C216" s="189">
        <v>5</v>
      </c>
      <c r="D216" s="190" t="s">
        <v>1979</v>
      </c>
      <c r="E216" s="172"/>
      <c r="F216" s="172"/>
      <c r="G216" s="172"/>
      <c r="H216" s="172"/>
      <c r="I216" s="172" t="s">
        <v>1915</v>
      </c>
      <c r="J216" s="172"/>
      <c r="K216" s="172"/>
      <c r="L216" s="172"/>
      <c r="M216" s="172"/>
      <c r="N216" s="172"/>
      <c r="O216" s="172"/>
      <c r="P216" s="230">
        <v>46311</v>
      </c>
      <c r="Q216" s="230">
        <v>46356</v>
      </c>
      <c r="R216" s="172"/>
      <c r="S216" s="192">
        <v>32</v>
      </c>
      <c r="T216" s="192">
        <v>0</v>
      </c>
      <c r="U216" s="192">
        <v>32</v>
      </c>
      <c r="V216" s="192">
        <v>0</v>
      </c>
      <c r="W216" s="191"/>
      <c r="X216" s="191"/>
      <c r="Y216" s="193"/>
      <c r="Z216" s="194">
        <v>0</v>
      </c>
      <c r="AA216" s="192"/>
      <c r="AB216" s="226" t="s">
        <v>1717</v>
      </c>
      <c r="AC216" s="229" t="s">
        <v>1722</v>
      </c>
      <c r="AD216" s="195">
        <v>0</v>
      </c>
      <c r="AE216" s="198">
        <v>0</v>
      </c>
      <c r="AF216" s="170"/>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t="str">
        <f>"     " &amp; TEXT(AE216,"#0.00%") &amp; " "</f>
        <v xml:space="preserve">     0.00% </v>
      </c>
      <c r="BC216" s="171"/>
      <c r="BD216" s="171"/>
      <c r="BE216" s="171"/>
      <c r="BF216" s="171"/>
      <c r="BG216" s="171"/>
      <c r="BH216" s="171"/>
      <c r="BI216" s="171" t="str">
        <f>"  " &amp; "EVENT" &amp; "(디자인)" &amp; " " &amp; IF(P216="","",TEXT(P216,"M/D-")) &amp; IF(Q216="","",TEXT(Q216,"M/D")) &amp; " "</f>
        <v xml:space="preserve">  EVENT(디자인) 10/16-11/30 </v>
      </c>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71"/>
      <c r="CE216" s="171"/>
      <c r="CF216" s="171"/>
      <c r="CG216" s="171"/>
      <c r="CH216" s="171"/>
    </row>
    <row r="217" spans="1:86" ht="12" customHeight="1" outlineLevel="4">
      <c r="A217" s="189"/>
      <c r="B217" s="189"/>
      <c r="C217" s="189">
        <v>5</v>
      </c>
      <c r="D217" s="190" t="s">
        <v>1980</v>
      </c>
      <c r="E217" s="172"/>
      <c r="F217" s="172"/>
      <c r="G217" s="172"/>
      <c r="H217" s="172"/>
      <c r="I217" s="172" t="s">
        <v>1916</v>
      </c>
      <c r="J217" s="172"/>
      <c r="K217" s="172"/>
      <c r="L217" s="172"/>
      <c r="M217" s="172"/>
      <c r="N217" s="172"/>
      <c r="O217" s="172"/>
      <c r="P217" s="230">
        <v>46311</v>
      </c>
      <c r="Q217" s="230">
        <v>46356</v>
      </c>
      <c r="R217" s="172"/>
      <c r="S217" s="192">
        <v>32</v>
      </c>
      <c r="T217" s="192">
        <v>0</v>
      </c>
      <c r="U217" s="192">
        <v>32</v>
      </c>
      <c r="V217" s="192">
        <v>0</v>
      </c>
      <c r="W217" s="191"/>
      <c r="X217" s="191"/>
      <c r="Y217" s="193"/>
      <c r="Z217" s="194">
        <v>0</v>
      </c>
      <c r="AA217" s="192"/>
      <c r="AB217" s="226" t="s">
        <v>1717</v>
      </c>
      <c r="AC217" s="229" t="s">
        <v>1722</v>
      </c>
      <c r="AD217" s="195">
        <v>0</v>
      </c>
      <c r="AE217" s="198">
        <v>0</v>
      </c>
      <c r="AF217" s="170"/>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t="str">
        <f>"     " &amp; TEXT(AE217,"#0.00%") &amp; " "</f>
        <v xml:space="preserve">     0.00% </v>
      </c>
      <c r="BC217" s="171"/>
      <c r="BD217" s="171"/>
      <c r="BE217" s="171"/>
      <c r="BF217" s="171"/>
      <c r="BG217" s="171"/>
      <c r="BH217" s="171"/>
      <c r="BI217" s="171" t="str">
        <f>"  " &amp; "혜택" &amp; "(디자인)" &amp; " " &amp; IF(P217="","",TEXT(P217,"M/D-")) &amp; IF(Q217="","",TEXT(Q217,"M/D")) &amp; " "</f>
        <v xml:space="preserve">  혜택(디자인) 10/16-11/30 </v>
      </c>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71"/>
      <c r="CE217" s="171"/>
      <c r="CF217" s="171"/>
      <c r="CG217" s="171"/>
      <c r="CH217" s="171"/>
    </row>
    <row r="218" spans="1:86" ht="12" customHeight="1" outlineLevel="4">
      <c r="A218" s="189"/>
      <c r="B218" s="189"/>
      <c r="C218" s="189">
        <v>5</v>
      </c>
      <c r="D218" s="190" t="s">
        <v>1981</v>
      </c>
      <c r="E218" s="172"/>
      <c r="F218" s="172"/>
      <c r="G218" s="172"/>
      <c r="H218" s="172"/>
      <c r="I218" s="172" t="s">
        <v>1919</v>
      </c>
      <c r="J218" s="172"/>
      <c r="K218" s="172"/>
      <c r="L218" s="172"/>
      <c r="M218" s="172"/>
      <c r="N218" s="172"/>
      <c r="O218" s="172"/>
      <c r="P218" s="230">
        <v>46311</v>
      </c>
      <c r="Q218" s="230">
        <v>46356</v>
      </c>
      <c r="R218" s="172"/>
      <c r="S218" s="192">
        <v>32</v>
      </c>
      <c r="T218" s="192">
        <v>0</v>
      </c>
      <c r="U218" s="192">
        <v>32</v>
      </c>
      <c r="V218" s="192">
        <v>0</v>
      </c>
      <c r="W218" s="191"/>
      <c r="X218" s="191"/>
      <c r="Y218" s="193"/>
      <c r="Z218" s="194">
        <v>0</v>
      </c>
      <c r="AA218" s="192"/>
      <c r="AB218" s="226" t="s">
        <v>1717</v>
      </c>
      <c r="AC218" s="229" t="s">
        <v>1722</v>
      </c>
      <c r="AD218" s="195">
        <v>0</v>
      </c>
      <c r="AE218" s="198">
        <v>0</v>
      </c>
      <c r="AF218" s="170"/>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t="str">
        <f>"     " &amp; TEXT(AE218,"#0.00%") &amp; " "</f>
        <v xml:space="preserve">     0.00% </v>
      </c>
      <c r="BC218" s="171"/>
      <c r="BD218" s="171"/>
      <c r="BE218" s="171"/>
      <c r="BF218" s="171"/>
      <c r="BG218" s="171"/>
      <c r="BH218" s="171"/>
      <c r="BI218" s="171" t="str">
        <f>"  " &amp; "주문" &amp; "(디자인)" &amp; " " &amp; IF(P218="","",TEXT(P218,"M/D-")) &amp; IF(Q218="","",TEXT(Q218,"M/D")) &amp; " "</f>
        <v xml:space="preserve">  주문(디자인) 10/16-11/30 </v>
      </c>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71"/>
      <c r="CE218" s="171"/>
      <c r="CF218" s="171"/>
      <c r="CG218" s="171"/>
      <c r="CH218" s="171"/>
    </row>
    <row r="219" spans="1:86" ht="12" customHeight="1" outlineLevel="4">
      <c r="A219" s="189"/>
      <c r="B219" s="189"/>
      <c r="C219" s="189">
        <v>5</v>
      </c>
      <c r="D219" s="190" t="s">
        <v>1982</v>
      </c>
      <c r="E219" s="172"/>
      <c r="F219" s="172"/>
      <c r="G219" s="172"/>
      <c r="H219" s="172"/>
      <c r="I219" s="172" t="s">
        <v>1862</v>
      </c>
      <c r="J219" s="172"/>
      <c r="K219" s="172"/>
      <c r="L219" s="172"/>
      <c r="M219" s="172"/>
      <c r="N219" s="172"/>
      <c r="O219" s="172"/>
      <c r="P219" s="230">
        <v>46311</v>
      </c>
      <c r="Q219" s="230">
        <v>46356</v>
      </c>
      <c r="R219" s="172"/>
      <c r="S219" s="192">
        <v>32</v>
      </c>
      <c r="T219" s="192">
        <v>0</v>
      </c>
      <c r="U219" s="192">
        <v>32</v>
      </c>
      <c r="V219" s="192">
        <v>0</v>
      </c>
      <c r="W219" s="191"/>
      <c r="X219" s="191"/>
      <c r="Y219" s="193"/>
      <c r="Z219" s="194">
        <v>0</v>
      </c>
      <c r="AA219" s="192"/>
      <c r="AB219" s="226" t="s">
        <v>1717</v>
      </c>
      <c r="AC219" s="229" t="s">
        <v>1722</v>
      </c>
      <c r="AD219" s="195">
        <v>0</v>
      </c>
      <c r="AE219" s="198">
        <v>0</v>
      </c>
      <c r="AF219" s="170"/>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t="str">
        <f>"     " &amp; TEXT(AE219,"#0.00%") &amp; " "</f>
        <v xml:space="preserve">     0.00% </v>
      </c>
      <c r="BC219" s="171"/>
      <c r="BD219" s="171"/>
      <c r="BE219" s="171"/>
      <c r="BF219" s="171"/>
      <c r="BG219" s="171"/>
      <c r="BH219" s="171"/>
      <c r="BI219" s="171" t="str">
        <f>"  " &amp; "고객센터" &amp; "(디자인)" &amp; " " &amp; IF(P219="","",TEXT(P219,"M/D-")) &amp; IF(Q219="","",TEXT(Q219,"M/D")) &amp; " "</f>
        <v xml:space="preserve">  고객센터(디자인) 10/16-11/30 </v>
      </c>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71"/>
      <c r="CE219" s="171"/>
      <c r="CF219" s="171"/>
      <c r="CG219" s="171"/>
      <c r="CH219" s="171"/>
    </row>
    <row r="220" spans="1:86" ht="12" customHeight="1" outlineLevel="4">
      <c r="A220" s="189"/>
      <c r="B220" s="189"/>
      <c r="C220" s="189">
        <v>5</v>
      </c>
      <c r="D220" s="190" t="s">
        <v>1983</v>
      </c>
      <c r="E220" s="172"/>
      <c r="F220" s="172"/>
      <c r="G220" s="172"/>
      <c r="H220" s="172"/>
      <c r="I220" s="172" t="s">
        <v>1917</v>
      </c>
      <c r="J220" s="172"/>
      <c r="K220" s="172"/>
      <c r="L220" s="172"/>
      <c r="M220" s="172"/>
      <c r="N220" s="172"/>
      <c r="O220" s="172"/>
      <c r="P220" s="230">
        <v>46311</v>
      </c>
      <c r="Q220" s="230">
        <v>46356</v>
      </c>
      <c r="R220" s="172"/>
      <c r="S220" s="192">
        <v>32</v>
      </c>
      <c r="T220" s="192">
        <v>0</v>
      </c>
      <c r="U220" s="192">
        <v>32</v>
      </c>
      <c r="V220" s="192">
        <v>0</v>
      </c>
      <c r="W220" s="191"/>
      <c r="X220" s="191"/>
      <c r="Y220" s="193"/>
      <c r="Z220" s="194">
        <v>0</v>
      </c>
      <c r="AA220" s="192"/>
      <c r="AB220" s="226" t="s">
        <v>1717</v>
      </c>
      <c r="AC220" s="229" t="s">
        <v>1722</v>
      </c>
      <c r="AD220" s="195">
        <v>0</v>
      </c>
      <c r="AE220" s="198">
        <v>0</v>
      </c>
      <c r="AF220" s="170"/>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t="str">
        <f>"     " &amp; TEXT(AE220,"#0.00%") &amp; " "</f>
        <v xml:space="preserve">     0.00% </v>
      </c>
      <c r="BC220" s="171"/>
      <c r="BD220" s="171"/>
      <c r="BE220" s="171"/>
      <c r="BF220" s="171"/>
      <c r="BG220" s="171"/>
      <c r="BH220" s="171"/>
      <c r="BI220" s="171" t="str">
        <f>"  " &amp; "마이페이지" &amp; "(디자인)" &amp; " " &amp; IF(P220="","",TEXT(P220,"M/D-")) &amp; IF(Q220="","",TEXT(Q220,"M/D")) &amp; " "</f>
        <v xml:space="preserve">  마이페이지(디자인) 10/16-11/30 </v>
      </c>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71"/>
      <c r="CE220" s="171"/>
      <c r="CF220" s="171"/>
      <c r="CG220" s="171"/>
      <c r="CH220" s="171"/>
    </row>
    <row r="221" spans="1:86" ht="12" customHeight="1" outlineLevel="4">
      <c r="A221" s="189"/>
      <c r="B221" s="189"/>
      <c r="C221" s="189">
        <v>5</v>
      </c>
      <c r="D221" s="190" t="s">
        <v>1984</v>
      </c>
      <c r="E221" s="172"/>
      <c r="F221" s="172"/>
      <c r="G221" s="172"/>
      <c r="H221" s="172"/>
      <c r="I221" s="172" t="s">
        <v>1861</v>
      </c>
      <c r="J221" s="172"/>
      <c r="K221" s="172"/>
      <c r="L221" s="172"/>
      <c r="M221" s="172"/>
      <c r="N221" s="172"/>
      <c r="O221" s="172"/>
      <c r="P221" s="230">
        <v>46311</v>
      </c>
      <c r="Q221" s="230">
        <v>46356</v>
      </c>
      <c r="R221" s="172"/>
      <c r="S221" s="192">
        <v>32</v>
      </c>
      <c r="T221" s="192">
        <v>0</v>
      </c>
      <c r="U221" s="192">
        <v>32</v>
      </c>
      <c r="V221" s="192">
        <v>0</v>
      </c>
      <c r="W221" s="191"/>
      <c r="X221" s="191"/>
      <c r="Y221" s="193"/>
      <c r="Z221" s="194">
        <v>0</v>
      </c>
      <c r="AA221" s="192"/>
      <c r="AB221" s="226" t="s">
        <v>1717</v>
      </c>
      <c r="AC221" s="229" t="s">
        <v>1722</v>
      </c>
      <c r="AD221" s="195">
        <v>0</v>
      </c>
      <c r="AE221" s="198">
        <v>0</v>
      </c>
      <c r="AF221" s="170"/>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t="str">
        <f>"     " &amp; TEXT(AE221,"#0.00%") &amp; " "</f>
        <v xml:space="preserve">     0.00% </v>
      </c>
      <c r="BC221" s="171"/>
      <c r="BD221" s="171"/>
      <c r="BE221" s="171"/>
      <c r="BF221" s="171"/>
      <c r="BG221" s="171"/>
      <c r="BH221" s="171"/>
      <c r="BI221" s="171" t="str">
        <f>"  " &amp; "App" &amp; "(디자인)" &amp; " " &amp; IF(P221="","",TEXT(P221,"M/D-")) &amp; IF(Q221="","",TEXT(Q221,"M/D")) &amp; " "</f>
        <v xml:space="preserve">  App(디자인) 10/16-11/30 </v>
      </c>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71"/>
      <c r="CE221" s="171"/>
      <c r="CF221" s="171"/>
      <c r="CG221" s="171"/>
      <c r="CH221" s="171"/>
    </row>
    <row r="222" spans="1:86" ht="12" customHeight="1" outlineLevel="4">
      <c r="A222" s="189"/>
      <c r="B222" s="189"/>
      <c r="C222" s="189">
        <v>5</v>
      </c>
      <c r="D222" s="190" t="s">
        <v>1985</v>
      </c>
      <c r="E222" s="172"/>
      <c r="F222" s="172"/>
      <c r="G222" s="172"/>
      <c r="H222" s="172"/>
      <c r="I222" s="172" t="s">
        <v>1918</v>
      </c>
      <c r="J222" s="172"/>
      <c r="K222" s="172"/>
      <c r="L222" s="172"/>
      <c r="M222" s="172"/>
      <c r="N222" s="172"/>
      <c r="O222" s="172"/>
      <c r="P222" s="230">
        <v>46311</v>
      </c>
      <c r="Q222" s="230">
        <v>46356</v>
      </c>
      <c r="R222" s="172"/>
      <c r="S222" s="192">
        <v>32</v>
      </c>
      <c r="T222" s="192">
        <v>0</v>
      </c>
      <c r="U222" s="192">
        <v>32</v>
      </c>
      <c r="V222" s="192">
        <v>0</v>
      </c>
      <c r="W222" s="191"/>
      <c r="X222" s="191"/>
      <c r="Y222" s="193"/>
      <c r="Z222" s="194">
        <v>0</v>
      </c>
      <c r="AA222" s="192"/>
      <c r="AB222" s="226" t="s">
        <v>1717</v>
      </c>
      <c r="AC222" s="229" t="s">
        <v>1722</v>
      </c>
      <c r="AD222" s="195">
        <v>0</v>
      </c>
      <c r="AE222" s="198">
        <v>0</v>
      </c>
      <c r="AF222" s="170"/>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t="str">
        <f>"     " &amp; TEXT(AE222,"#0.00%") &amp; " "</f>
        <v xml:space="preserve">     0.00% </v>
      </c>
      <c r="BC222" s="171"/>
      <c r="BD222" s="171"/>
      <c r="BE222" s="171"/>
      <c r="BF222" s="171"/>
      <c r="BG222" s="171"/>
      <c r="BH222" s="171"/>
      <c r="BI222" s="171" t="str">
        <f>"  " &amp; "판매채널" &amp; "(디자인)" &amp; " " &amp; IF(P222="","",TEXT(P222,"M/D-")) &amp; IF(Q222="","",TEXT(Q222,"M/D")) &amp; " "</f>
        <v xml:space="preserve">  판매채널(디자인) 10/16-11/30 </v>
      </c>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71"/>
      <c r="CE222" s="171"/>
      <c r="CF222" s="171"/>
      <c r="CG222" s="171"/>
      <c r="CH222" s="171"/>
    </row>
    <row r="223" spans="1:86" ht="12" customHeight="1" outlineLevel="4">
      <c r="A223" s="189"/>
      <c r="B223" s="189"/>
      <c r="C223" s="189">
        <v>5</v>
      </c>
      <c r="D223" s="190" t="s">
        <v>1986</v>
      </c>
      <c r="E223" s="172"/>
      <c r="F223" s="172"/>
      <c r="G223" s="172"/>
      <c r="H223" s="172"/>
      <c r="I223" s="172" t="s">
        <v>1854</v>
      </c>
      <c r="J223" s="172"/>
      <c r="K223" s="172"/>
      <c r="L223" s="172"/>
      <c r="M223" s="172"/>
      <c r="N223" s="172"/>
      <c r="O223" s="172"/>
      <c r="P223" s="230">
        <v>46311</v>
      </c>
      <c r="Q223" s="230">
        <v>46356</v>
      </c>
      <c r="R223" s="172"/>
      <c r="S223" s="192">
        <v>32</v>
      </c>
      <c r="T223" s="192">
        <v>0</v>
      </c>
      <c r="U223" s="192">
        <v>32</v>
      </c>
      <c r="V223" s="192">
        <v>0</v>
      </c>
      <c r="W223" s="191"/>
      <c r="X223" s="191"/>
      <c r="Y223" s="193"/>
      <c r="Z223" s="194">
        <v>0</v>
      </c>
      <c r="AA223" s="192"/>
      <c r="AB223" s="226" t="s">
        <v>1717</v>
      </c>
      <c r="AC223" s="229" t="s">
        <v>1722</v>
      </c>
      <c r="AD223" s="195">
        <v>0</v>
      </c>
      <c r="AE223" s="198">
        <v>0</v>
      </c>
      <c r="AF223" s="170"/>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t="str">
        <f>"     " &amp; TEXT(AE223,"#0.00%") &amp; " "</f>
        <v xml:space="preserve">     0.00% </v>
      </c>
      <c r="BC223" s="171"/>
      <c r="BD223" s="171"/>
      <c r="BE223" s="171"/>
      <c r="BF223" s="171"/>
      <c r="BG223" s="171"/>
      <c r="BH223" s="171"/>
      <c r="BI223" s="171" t="str">
        <f>"  " &amp; "파트너오피스(PO)" &amp; "(디자인)" &amp; " " &amp; IF(P223="","",TEXT(P223,"M/D-")) &amp; IF(Q223="","",TEXT(Q223,"M/D")) &amp; " "</f>
        <v xml:space="preserve">  파트너오피스(PO)(디자인) 10/16-11/30 </v>
      </c>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71"/>
      <c r="CE223" s="171"/>
      <c r="CF223" s="171"/>
      <c r="CG223" s="171"/>
      <c r="CH223" s="171"/>
    </row>
    <row r="224" spans="1:86" ht="12" customHeight="1" outlineLevel="4">
      <c r="A224" s="189"/>
      <c r="B224" s="189"/>
      <c r="C224" s="189">
        <v>5</v>
      </c>
      <c r="D224" s="190" t="s">
        <v>1987</v>
      </c>
      <c r="E224" s="172"/>
      <c r="F224" s="172"/>
      <c r="G224" s="172"/>
      <c r="H224" s="172"/>
      <c r="I224" s="172" t="s">
        <v>1863</v>
      </c>
      <c r="J224" s="172"/>
      <c r="K224" s="172"/>
      <c r="L224" s="172"/>
      <c r="M224" s="172"/>
      <c r="N224" s="172"/>
      <c r="O224" s="172"/>
      <c r="P224" s="230">
        <v>46311</v>
      </c>
      <c r="Q224" s="230">
        <v>46356</v>
      </c>
      <c r="R224" s="172"/>
      <c r="S224" s="192">
        <v>32</v>
      </c>
      <c r="T224" s="192">
        <v>0</v>
      </c>
      <c r="U224" s="192">
        <v>32</v>
      </c>
      <c r="V224" s="192">
        <v>0</v>
      </c>
      <c r="W224" s="191"/>
      <c r="X224" s="191"/>
      <c r="Y224" s="193"/>
      <c r="Z224" s="194">
        <v>0</v>
      </c>
      <c r="AA224" s="192"/>
      <c r="AB224" s="226" t="s">
        <v>1717</v>
      </c>
      <c r="AC224" s="229" t="s">
        <v>1722</v>
      </c>
      <c r="AD224" s="195">
        <v>0</v>
      </c>
      <c r="AE224" s="198">
        <v>0</v>
      </c>
      <c r="AF224" s="170"/>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t="str">
        <f>"     " &amp; TEXT(AE224,"#0.00%") &amp; " "</f>
        <v xml:space="preserve">     0.00% </v>
      </c>
      <c r="BC224" s="171"/>
      <c r="BD224" s="171"/>
      <c r="BE224" s="171"/>
      <c r="BF224" s="171"/>
      <c r="BG224" s="171"/>
      <c r="BH224" s="171"/>
      <c r="BI224" s="171" t="str">
        <f>"  " &amp; "현장운영시스템" &amp; "(디자인)" &amp; " " &amp; IF(P224="","",TEXT(P224,"M/D-")) &amp; IF(Q224="","",TEXT(Q224,"M/D")) &amp; " "</f>
        <v xml:space="preserve">  현장운영시스템(디자인) 10/16-11/30 </v>
      </c>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71"/>
      <c r="CE224" s="171"/>
      <c r="CF224" s="171"/>
      <c r="CG224" s="171"/>
      <c r="CH224" s="171"/>
    </row>
    <row r="225" spans="1:86" ht="12" customHeight="1" outlineLevel="2">
      <c r="A225" s="189"/>
      <c r="B225" s="189" t="s">
        <v>1387</v>
      </c>
      <c r="C225" s="189">
        <v>3</v>
      </c>
      <c r="D225" s="190" t="s">
        <v>1476</v>
      </c>
      <c r="E225" s="172"/>
      <c r="F225" s="172"/>
      <c r="G225" s="172" t="s">
        <v>1462</v>
      </c>
      <c r="H225" s="172"/>
      <c r="I225" s="172"/>
      <c r="J225" s="172"/>
      <c r="K225" s="172"/>
      <c r="L225" s="172"/>
      <c r="M225" s="172"/>
      <c r="N225" s="172"/>
      <c r="O225" s="172"/>
      <c r="P225" s="191">
        <v>46296</v>
      </c>
      <c r="Q225" s="191">
        <v>46446</v>
      </c>
      <c r="R225" s="172"/>
      <c r="S225" s="192">
        <v>3606</v>
      </c>
      <c r="T225" s="192">
        <v>0</v>
      </c>
      <c r="U225" s="192">
        <v>101</v>
      </c>
      <c r="V225" s="192">
        <v>0</v>
      </c>
      <c r="W225" s="191"/>
      <c r="X225" s="191"/>
      <c r="Y225" s="193">
        <v>0</v>
      </c>
      <c r="Z225" s="194">
        <v>0</v>
      </c>
      <c r="AA225" s="192"/>
      <c r="AB225" s="189"/>
      <c r="AC225" s="172"/>
      <c r="AD225" s="195">
        <v>0</v>
      </c>
      <c r="AE225" s="197">
        <v>0</v>
      </c>
      <c r="AF225" s="170"/>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t="str">
        <f>"    " &amp; TEXT(AE225,"#0.00%") &amp; " "</f>
        <v xml:space="preserve">    0.00% </v>
      </c>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t="str">
        <f>" " &amp; "개발" &amp; " " &amp; IF(P225="","",TEXT(P225,"M/D-")) &amp; IF(Q225="","",TEXT(Q225,"M/D")) &amp; " "</f>
        <v xml:space="preserve"> 개발 10/1-2/28 </v>
      </c>
      <c r="BW225" s="171"/>
      <c r="BX225" s="171"/>
      <c r="BY225" s="171"/>
      <c r="BZ225" s="171"/>
      <c r="CA225" s="171"/>
      <c r="CB225" s="171"/>
      <c r="CC225" s="171"/>
      <c r="CD225" s="171"/>
      <c r="CE225" s="171"/>
      <c r="CF225" s="171"/>
      <c r="CG225" s="171"/>
      <c r="CH225" s="171"/>
    </row>
    <row r="226" spans="1:86" ht="12" customHeight="1" outlineLevel="3">
      <c r="A226" s="189"/>
      <c r="B226" s="189"/>
      <c r="C226" s="189">
        <v>4</v>
      </c>
      <c r="D226" s="190" t="s">
        <v>1936</v>
      </c>
      <c r="E226" s="172"/>
      <c r="F226" s="172"/>
      <c r="G226" s="172"/>
      <c r="H226" s="172" t="s">
        <v>1671</v>
      </c>
      <c r="I226" s="172"/>
      <c r="J226" s="172"/>
      <c r="K226" s="172"/>
      <c r="L226" s="172"/>
      <c r="M226" s="172"/>
      <c r="N226" s="172"/>
      <c r="O226" s="172"/>
      <c r="P226" s="230">
        <v>46296</v>
      </c>
      <c r="Q226" s="230">
        <v>46326</v>
      </c>
      <c r="R226" s="172"/>
      <c r="S226" s="192">
        <v>20</v>
      </c>
      <c r="T226" s="192">
        <v>0</v>
      </c>
      <c r="U226" s="192">
        <v>20</v>
      </c>
      <c r="V226" s="192">
        <v>0</v>
      </c>
      <c r="W226" s="191"/>
      <c r="X226" s="191"/>
      <c r="Y226" s="193"/>
      <c r="Z226" s="194">
        <v>0</v>
      </c>
      <c r="AA226" s="192"/>
      <c r="AB226" s="222" t="s">
        <v>1721</v>
      </c>
      <c r="AC226" s="223" t="s">
        <v>1771</v>
      </c>
      <c r="AD226" s="195">
        <v>0</v>
      </c>
      <c r="AE226" s="198">
        <v>0</v>
      </c>
      <c r="AF226" s="170"/>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t="str">
        <f>"    " &amp; TEXT(AE226,"#0.00%") &amp; " "</f>
        <v xml:space="preserve">    0.00% </v>
      </c>
      <c r="BA226" s="171"/>
      <c r="BB226" s="171"/>
      <c r="BC226" s="171"/>
      <c r="BD226" s="171"/>
      <c r="BE226" s="171" t="str">
        <f>"" &amp; "데이터 이전 계획 수립" &amp; "(DBA)" &amp; " " &amp; IF(P226="","",TEXT(P226,"M/D-")) &amp; IF(Q226="","",TEXT(Q226,"M/D")) &amp; " "</f>
        <v xml:space="preserve">데이터 이전 계획 수립(DBA) 10/1-10/31 </v>
      </c>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71"/>
      <c r="CE226" s="171"/>
      <c r="CF226" s="171"/>
      <c r="CG226" s="171"/>
      <c r="CH226" s="171"/>
    </row>
    <row r="227" spans="1:86" ht="12" customHeight="1" outlineLevel="3">
      <c r="A227" s="189"/>
      <c r="B227" s="189" t="s">
        <v>1387</v>
      </c>
      <c r="C227" s="189">
        <v>4</v>
      </c>
      <c r="D227" s="190" t="s">
        <v>1937</v>
      </c>
      <c r="E227" s="172"/>
      <c r="F227" s="172"/>
      <c r="G227" s="172"/>
      <c r="H227" s="172" t="s">
        <v>1672</v>
      </c>
      <c r="I227" s="172"/>
      <c r="J227" s="172"/>
      <c r="K227" s="172"/>
      <c r="L227" s="172"/>
      <c r="M227" s="172"/>
      <c r="N227" s="172"/>
      <c r="O227" s="172" t="inlineStr">
        <is>
          <t>가상 산정 / 구현 담당 TBD / 인력 투입 후 재배정</t>
        </is>
      </c>
      <c r="P227" s="230">
        <v>46296</v>
      </c>
      <c r="Q227" s="230">
        <v>46418</v>
      </c>
      <c r="R227" s="172"/>
      <c r="S227" s="192">
        <v>270</v>
      </c>
      <c r="T227" s="192">
        <v>270</v>
      </c>
      <c r="U227" s="192">
        <v>83</v>
      </c>
      <c r="V227" s="192">
        <v>83</v>
      </c>
      <c r="W227" s="191"/>
      <c r="X227" s="191"/>
      <c r="Y227" s="193">
        <v>0</v>
      </c>
      <c r="Z227" s="194">
        <v>0</v>
      </c>
      <c r="AA227" s="192"/>
      <c r="AB227" s="222" t="inlineStr">
        <is>
          <t>공민수(FO 개발PL) / 개발자 TBD</t>
        </is>
      </c>
      <c r="AC227" s="223" t="inlineStr">
        <is>
          <t>FO Front-end 소스코드·테스트 결과</t>
        </is>
      </c>
      <c r="AD227" s="195">
        <v>0</v>
      </c>
      <c r="AE227" s="197">
        <v>0</v>
      </c>
      <c r="AF227" s="170"/>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t="str">
        <v>  0.00% </v>
      </c>
      <c r="BA227" s="171"/>
      <c r="BB227" s="171"/>
      <c r="BC227" s="171"/>
      <c r="BD227" s="171"/>
      <c r="BE227" s="171"/>
      <c r="BF227" s="171"/>
      <c r="BG227" s="171"/>
      <c r="BH227" s="171"/>
      <c r="BI227" s="171"/>
      <c r="BJ227" s="171"/>
      <c r="BK227" s="171"/>
      <c r="BL227" s="171"/>
      <c r="BM227" s="171"/>
      <c r="BN227" s="171"/>
      <c r="BO227" s="171"/>
      <c r="BP227" s="171"/>
      <c r="BQ227" s="171"/>
      <c r="BR227" s="171"/>
      <c r="BS227" s="171" t="str">
        <v> Front Office 개발(공민수·개발자 TBD) 10/1-1/31 </v>
      </c>
      <c r="BT227" s="171"/>
      <c r="BU227" s="171"/>
      <c r="BV227" s="171"/>
      <c r="BW227" s="171"/>
      <c r="BX227" s="171"/>
      <c r="BY227" s="171"/>
      <c r="BZ227" s="171"/>
      <c r="CA227" s="171"/>
      <c r="CB227" s="171"/>
      <c r="CC227" s="171"/>
      <c r="CD227" s="171"/>
      <c r="CE227" s="171"/>
      <c r="CF227" s="171"/>
      <c r="CG227" s="171"/>
      <c r="CH227" s="171"/>
    </row>
    <row r="228" spans="1:86" ht="12" customHeight="1" outlineLevel="4">
      <c r="A228" s="189"/>
      <c r="B228" s="189"/>
      <c r="C228" s="189">
        <v>5</v>
      </c>
      <c r="D228" s="190" t="s">
        <v>1938</v>
      </c>
      <c r="E228" s="172"/>
      <c r="F228" s="172"/>
      <c r="G228" s="172"/>
      <c r="H228" s="172"/>
      <c r="I228" s="172" t="inlineStr">
        <is>
          <t>범위·IA·연동 규칙 확인</t>
        </is>
      </c>
      <c r="J228" s="172"/>
      <c r="K228" s="172"/>
      <c r="L228" s="172"/>
      <c r="M228" s="172"/>
      <c r="N228" s="172"/>
      <c r="O228" s="172" t="inlineStr">
        <is>
          <t>가상 산정 / 구현 담당 TBD / 인력 투입 후 재배정</t>
        </is>
      </c>
      <c r="P228" s="230">
        <v>46296</v>
      </c>
      <c r="Q228" s="191">
        <v>46304</v>
      </c>
      <c r="R228" s="172"/>
      <c r="S228" s="192">
        <v>10</v>
      </c>
      <c r="T228" s="192">
        <v>10</v>
      </c>
      <c r="U228" s="192">
        <v>5</v>
      </c>
      <c r="V228" s="192">
        <v>5</v>
      </c>
      <c r="W228" s="191"/>
      <c r="X228" s="191"/>
      <c r="Y228" s="193"/>
      <c r="Z228" s="194">
        <v>0</v>
      </c>
      <c r="AA228" s="192"/>
      <c r="AB228" s="222" t="inlineStr">
        <is>
          <t>공민수(FO 개발PL) / 개발자 TBD</t>
        </is>
      </c>
      <c r="AC228" s="244" t="inlineStr">
        <is>
          <t>범위표·미정사항 목록·연동 확인표</t>
        </is>
      </c>
      <c r="AD228" s="195">
        <v>0</v>
      </c>
      <c r="AE228" s="198">
        <v>0</v>
      </c>
      <c r="AF228" s="170"/>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t="str">
        <v>  0.00% </v>
      </c>
      <c r="BA228" s="171"/>
      <c r="BB228" s="171" t="str">
        <v> 범위·IA·연동 규칙 확인(공민수·개발자 TBD) 10/1-10/9 </v>
      </c>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71"/>
      <c r="CE228" s="171"/>
      <c r="CF228" s="171"/>
      <c r="CG228" s="171"/>
      <c r="CH228" s="171"/>
    </row>
    <row r="229" spans="1:86" ht="12" customHeight="1" outlineLevel="4">
      <c r="A229" s="189"/>
      <c r="B229" s="189"/>
      <c r="C229" s="189">
        <v>5</v>
      </c>
      <c r="D229" s="190" t="s">
        <v>1939</v>
      </c>
      <c r="E229" s="172"/>
      <c r="F229" s="172"/>
      <c r="G229" s="172"/>
      <c r="H229" s="172"/>
      <c r="I229" s="172" t="inlineStr">
        <is>
          <t>Front-end 공통 기반</t>
        </is>
      </c>
      <c r="J229" s="172"/>
      <c r="K229" s="172"/>
      <c r="L229" s="172"/>
      <c r="M229" s="172"/>
      <c r="N229" s="172"/>
      <c r="O229" s="172" t="inlineStr">
        <is>
          <t>가상 산정 / 구현 담당 TBD / 인력 투입 후 재배정</t>
        </is>
      </c>
      <c r="P229" s="230">
        <v>46301</v>
      </c>
      <c r="Q229" s="191">
        <v>46318</v>
      </c>
      <c r="R229" s="172"/>
      <c r="S229" s="192">
        <v>25</v>
      </c>
      <c r="T229" s="192">
        <v>25</v>
      </c>
      <c r="U229" s="192">
        <v>13</v>
      </c>
      <c r="V229" s="192">
        <v>13</v>
      </c>
      <c r="W229" s="191"/>
      <c r="X229" s="191"/>
      <c r="Y229" s="193"/>
      <c r="Z229" s="194">
        <v>0</v>
      </c>
      <c r="AA229" s="192"/>
      <c r="AB229" s="222" t="inlineStr">
        <is>
          <t>공민수(FO 개발PL) / 개발자 TBD</t>
        </is>
      </c>
      <c r="AC229" s="244" t="inlineStr">
        <is>
          <t>프로젝트 구조·공통 컴포넌트·API 호출 기반</t>
        </is>
      </c>
      <c r="AD229" s="195">
        <v>0</v>
      </c>
      <c r="AE229" s="198">
        <v>0</v>
      </c>
      <c r="AF229" s="170"/>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t="str">
        <v>  0.00% </v>
      </c>
      <c r="BB229" s="171"/>
      <c r="BC229" s="171"/>
      <c r="BD229" s="171" t="str">
        <v> Front-end 공통 기반(공민수·개발자 TBD) 10/6-10/23 </v>
      </c>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71"/>
      <c r="CE229" s="171"/>
      <c r="CF229" s="171"/>
      <c r="CG229" s="171"/>
      <c r="CH229" s="171"/>
    </row>
    <row r="230" spans="1:86" ht="12" customHeight="1" outlineLevel="4">
      <c r="A230" s="189"/>
      <c r="B230" s="189"/>
      <c r="C230" s="189">
        <v>5</v>
      </c>
      <c r="D230" s="190" t="s">
        <v>1940</v>
      </c>
      <c r="E230" s="172"/>
      <c r="F230" s="172"/>
      <c r="G230" s="172"/>
      <c r="H230" s="172"/>
      <c r="I230" s="172" t="inlineStr">
        <is>
          <t>공통·메인</t>
        </is>
      </c>
      <c r="J230" s="172"/>
      <c r="K230" s="172"/>
      <c r="L230" s="172"/>
      <c r="M230" s="172"/>
      <c r="N230" s="172"/>
      <c r="O230" s="172" t="inlineStr">
        <is>
          <t>가상 산정 / 구현 담당 TBD / 인력 투입 후 재배정</t>
        </is>
      </c>
      <c r="P230" s="230">
        <v>46314</v>
      </c>
      <c r="Q230" s="191">
        <v>46339</v>
      </c>
      <c r="R230" s="172"/>
      <c r="S230" s="192">
        <v>18</v>
      </c>
      <c r="T230" s="192">
        <v>18</v>
      </c>
      <c r="U230" s="192">
        <v>20</v>
      </c>
      <c r="V230" s="192">
        <v>20</v>
      </c>
      <c r="W230" s="191"/>
      <c r="X230" s="191"/>
      <c r="Y230" s="193"/>
      <c r="Z230" s="194">
        <v>0</v>
      </c>
      <c r="AA230" s="192"/>
      <c r="AB230" s="222" t="inlineStr">
        <is>
          <t>공민수(FO 개발PL) / 개발자 TBD</t>
        </is>
      </c>
      <c r="AC230" s="223" t="inlineStr">
        <is>
          <t>공통·메인 소스코드·기능테스트 결과</t>
        </is>
      </c>
      <c r="AD230" s="195">
        <v>0</v>
      </c>
      <c r="AE230" s="198">
        <v>0</v>
      </c>
      <c r="AF230" s="170"/>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t="str">
        <v>  0.00% </v>
      </c>
      <c r="BD230" s="171"/>
      <c r="BE230" s="171"/>
      <c r="BF230" s="171"/>
      <c r="BG230" s="171" t="str">
        <v> 공통·메인(공민수·개발자 TBD) 10/19-11/13 </v>
      </c>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71"/>
      <c r="CE230" s="171"/>
      <c r="CF230" s="171"/>
      <c r="CG230" s="171"/>
      <c r="CH230" s="171"/>
    </row>
    <row r="231" spans="1:86" ht="12" customHeight="1" outlineLevel="4">
      <c r="A231" s="189"/>
      <c r="B231" s="189"/>
      <c r="C231" s="189">
        <v>5</v>
      </c>
      <c r="D231" s="190" t="s">
        <v>1941</v>
      </c>
      <c r="E231" s="172"/>
      <c r="F231" s="172"/>
      <c r="G231" s="172"/>
      <c r="H231" s="172"/>
      <c r="I231" s="172" t="inlineStr">
        <is>
          <t>회원·로그인·인증</t>
        </is>
      </c>
      <c r="J231" s="172"/>
      <c r="K231" s="172"/>
      <c r="L231" s="172"/>
      <c r="M231" s="172"/>
      <c r="N231" s="172"/>
      <c r="O231" s="172" t="inlineStr">
        <is>
          <t>가상 산정 / 구현 담당 TBD / 인력 투입 후 재배정</t>
        </is>
      </c>
      <c r="P231" s="230">
        <v>46314</v>
      </c>
      <c r="Q231" s="191">
        <v>46353</v>
      </c>
      <c r="R231" s="172"/>
      <c r="S231" s="192">
        <v>24</v>
      </c>
      <c r="T231" s="192">
        <v>24</v>
      </c>
      <c r="U231" s="192">
        <v>30</v>
      </c>
      <c r="V231" s="192">
        <v>30</v>
      </c>
      <c r="W231" s="191"/>
      <c r="X231" s="191"/>
      <c r="Y231" s="193"/>
      <c r="Z231" s="194">
        <v>0</v>
      </c>
      <c r="AA231" s="192"/>
      <c r="AB231" s="222" t="inlineStr">
        <is>
          <t>공민수(FO 개발PL) / 개발자 TBD</t>
        </is>
      </c>
      <c r="AC231" s="223" t="inlineStr">
        <is>
          <t>회원·인증 소스코드·기능테스트 결과</t>
        </is>
      </c>
      <c r="AD231" s="195">
        <v>0</v>
      </c>
      <c r="AE231" s="198">
        <v>0</v>
      </c>
      <c r="AF231" s="170"/>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t="str">
        <v>  0.00% </v>
      </c>
      <c r="BD231" s="171"/>
      <c r="BE231" s="171"/>
      <c r="BF231" s="171"/>
      <c r="BG231" s="171"/>
      <c r="BH231" s="171"/>
      <c r="BI231" s="171" t="str">
        <v> 회원·로그인·인증(공민수·개발자 TBD) 10/19-11/27 </v>
      </c>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71"/>
      <c r="CE231" s="171"/>
      <c r="CF231" s="171"/>
      <c r="CG231" s="171"/>
      <c r="CH231" s="171"/>
    </row>
    <row r="232" spans="1:86" ht="12" customHeight="1" outlineLevel="4">
      <c r="A232" s="189"/>
      <c r="B232" s="189"/>
      <c r="C232" s="189">
        <v>5</v>
      </c>
      <c r="D232" s="190" t="s">
        <v>1942</v>
      </c>
      <c r="E232" s="172"/>
      <c r="F232" s="172"/>
      <c r="G232" s="172"/>
      <c r="H232" s="172"/>
      <c r="I232" s="172" t="inlineStr">
        <is>
          <t>상품·사용처·검색</t>
        </is>
      </c>
      <c r="J232" s="172"/>
      <c r="K232" s="172"/>
      <c r="L232" s="172"/>
      <c r="M232" s="172"/>
      <c r="N232" s="172"/>
      <c r="O232" s="172" t="inlineStr">
        <is>
          <t>가상 산정 / 구현 담당 TBD / 인력 투입 후 재배정</t>
        </is>
      </c>
      <c r="P232" s="230">
        <v>46328</v>
      </c>
      <c r="Q232" s="191">
        <v>46360</v>
      </c>
      <c r="R232" s="172"/>
      <c r="S232" s="192">
        <v>24</v>
      </c>
      <c r="T232" s="192">
        <v>24</v>
      </c>
      <c r="U232" s="192">
        <v>25</v>
      </c>
      <c r="V232" s="192">
        <v>25</v>
      </c>
      <c r="W232" s="191"/>
      <c r="X232" s="191"/>
      <c r="Y232" s="193"/>
      <c r="Z232" s="194">
        <v>0</v>
      </c>
      <c r="AA232" s="192"/>
      <c r="AB232" s="222" t="inlineStr">
        <is>
          <t>공민수(FO 개발PL) / 개발자 TBD</t>
        </is>
      </c>
      <c r="AC232" s="223" t="inlineStr">
        <is>
          <t>목록·상세·검색·필터 소스코드</t>
        </is>
      </c>
      <c r="AD232" s="195">
        <v>0</v>
      </c>
      <c r="AE232" s="198">
        <v>0</v>
      </c>
      <c r="AF232" s="170"/>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t="str">
        <v>  0.00% </v>
      </c>
      <c r="BF232" s="171"/>
      <c r="BG232" s="171"/>
      <c r="BH232" s="171"/>
      <c r="BI232" s="171"/>
      <c r="BJ232" s="171" t="str">
        <v> 상품·사용처·검색(공민수·개발자 TBD) 11/2-12/4 </v>
      </c>
      <c r="BK232" s="171"/>
      <c r="BL232" s="171"/>
      <c r="BM232" s="171"/>
      <c r="BN232" s="171"/>
      <c r="BO232" s="171"/>
      <c r="BP232" s="171"/>
      <c r="BQ232" s="171"/>
      <c r="BR232" s="171"/>
      <c r="BS232" s="171"/>
      <c r="BT232" s="171"/>
      <c r="BU232" s="171"/>
      <c r="BV232" s="171"/>
      <c r="BW232" s="171"/>
      <c r="BX232" s="171"/>
      <c r="BY232" s="171"/>
      <c r="BZ232" s="171"/>
      <c r="CA232" s="171"/>
      <c r="CB232" s="171"/>
      <c r="CC232" s="171"/>
      <c r="CD232" s="171"/>
      <c r="CE232" s="171"/>
      <c r="CF232" s="171"/>
      <c r="CG232" s="171"/>
      <c r="CH232" s="171"/>
    </row>
    <row r="233" spans="1:86" ht="12" customHeight="1" outlineLevel="4">
      <c r="A233" s="189"/>
      <c r="B233" s="189"/>
      <c r="C233" s="189">
        <v>5</v>
      </c>
      <c r="D233" s="190" t="s">
        <v>1943</v>
      </c>
      <c r="E233" s="172"/>
      <c r="F233" s="172"/>
      <c r="G233" s="172"/>
      <c r="H233" s="172"/>
      <c r="I233" s="172" t="inlineStr">
        <is>
          <t>월렛·제휴카드·혜택·eSIM</t>
        </is>
      </c>
      <c r="J233" s="172"/>
      <c r="K233" s="172"/>
      <c r="L233" s="172"/>
      <c r="M233" s="172"/>
      <c r="N233" s="172"/>
      <c r="O233" s="172" t="inlineStr">
        <is>
          <t>가상 산정 / 구현 담당 TBD / 인력 투입 후 재배정</t>
        </is>
      </c>
      <c r="P233" s="230">
        <v>46342</v>
      </c>
      <c r="Q233" s="191">
        <v>46374</v>
      </c>
      <c r="R233" s="172"/>
      <c r="S233" s="192">
        <v>24</v>
      </c>
      <c r="T233" s="192">
        <v>24</v>
      </c>
      <c r="U233" s="192">
        <v>25</v>
      </c>
      <c r="V233" s="192">
        <v>25</v>
      </c>
      <c r="W233" s="191"/>
      <c r="X233" s="191"/>
      <c r="Y233" s="193"/>
      <c r="Z233" s="194">
        <v>0</v>
      </c>
      <c r="AA233" s="192"/>
      <c r="AB233" s="222" t="inlineStr">
        <is>
          <t>공민수(FO 개발PL) / 개발자 TBD</t>
        </is>
      </c>
      <c r="AC233" s="223" t="inlineStr">
        <is>
          <t>월렛·카드·혜택·eSIM 소스코드</t>
        </is>
      </c>
      <c r="AD233" s="195">
        <v>0</v>
      </c>
      <c r="AE233" s="198">
        <v>0</v>
      </c>
      <c r="AF233" s="170"/>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t="str">
        <v>  0.00% </v>
      </c>
      <c r="BH233" s="171"/>
      <c r="BI233" s="171"/>
      <c r="BJ233" s="171"/>
      <c r="BK233" s="171"/>
      <c r="BL233" s="171" t="str">
        <v> 월렛·제휴카드·혜택·eSIM(공민수·개발자 TBD) 11/16-12/18 </v>
      </c>
      <c r="BM233" s="171"/>
      <c r="BN233" s="171"/>
      <c r="BO233" s="171"/>
      <c r="BP233" s="171"/>
      <c r="BQ233" s="171"/>
      <c r="BR233" s="171"/>
      <c r="BS233" s="171"/>
      <c r="BT233" s="171"/>
      <c r="BU233" s="171"/>
      <c r="BV233" s="171"/>
      <c r="BW233" s="171"/>
      <c r="BX233" s="171"/>
      <c r="BY233" s="171"/>
      <c r="BZ233" s="171"/>
      <c r="CA233" s="171"/>
      <c r="CB233" s="171"/>
      <c r="CC233" s="171"/>
      <c r="CD233" s="171"/>
      <c r="CE233" s="171"/>
      <c r="CF233" s="171"/>
      <c r="CG233" s="171"/>
      <c r="CH233" s="171"/>
    </row>
    <row r="234" spans="1:86" ht="12" customHeight="1" outlineLevel="4">
      <c r="A234" s="189"/>
      <c r="B234" s="189"/>
      <c r="C234" s="189">
        <v>5</v>
      </c>
      <c r="D234" s="190" t="s">
        <v>1944</v>
      </c>
      <c r="E234" s="172"/>
      <c r="F234" s="172"/>
      <c r="G234" s="172"/>
      <c r="H234" s="172"/>
      <c r="I234" s="172" t="inlineStr">
        <is>
          <t>주문·결제·선물·취소</t>
        </is>
      </c>
      <c r="J234" s="172"/>
      <c r="K234" s="172"/>
      <c r="L234" s="172"/>
      <c r="M234" s="172"/>
      <c r="N234" s="172"/>
      <c r="O234" s="172" t="inlineStr">
        <is>
          <t>가상 산정 / 구현 담당 TBD / 인력 투입 후 재배정</t>
        </is>
      </c>
      <c r="P234" s="230">
        <v>46335</v>
      </c>
      <c r="Q234" s="191">
        <v>46402</v>
      </c>
      <c r="R234" s="172"/>
      <c r="S234" s="192">
        <v>48</v>
      </c>
      <c r="T234" s="192">
        <v>48</v>
      </c>
      <c r="U234" s="192">
        <v>48</v>
      </c>
      <c r="V234" s="192">
        <v>48</v>
      </c>
      <c r="W234" s="191"/>
      <c r="X234" s="191"/>
      <c r="Y234" s="193"/>
      <c r="Z234" s="194">
        <v>0</v>
      </c>
      <c r="AA234" s="192"/>
      <c r="AB234" s="222" t="inlineStr">
        <is>
          <t>공민수(FO 개발PL) / 개발자 TBD</t>
        </is>
      </c>
      <c r="AC234" s="223" t="inlineStr">
        <is>
          <t>주문·결제 흐름 및 예외처리 소스코드</t>
        </is>
      </c>
      <c r="AD234" s="195">
        <v>0</v>
      </c>
      <c r="AE234" s="198">
        <v>0</v>
      </c>
      <c r="AF234" s="170"/>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t="str">
        <v>  0.00% </v>
      </c>
      <c r="BG234" s="171"/>
      <c r="BH234" s="171"/>
      <c r="BI234" s="171"/>
      <c r="BJ234" s="171"/>
      <c r="BK234" s="171"/>
      <c r="BL234" s="171"/>
      <c r="BM234" s="171"/>
      <c r="BN234" s="171"/>
      <c r="BO234" s="171"/>
      <c r="BP234" s="171" t="str">
        <v> 주문·결제·선물·취소(공민수·개발자 TBD) 11/9-1/15 </v>
      </c>
      <c r="BQ234" s="171"/>
      <c r="BR234" s="171"/>
      <c r="BS234" s="171"/>
      <c r="BT234" s="171"/>
      <c r="BU234" s="171"/>
      <c r="BV234" s="171"/>
      <c r="BW234" s="171"/>
      <c r="BX234" s="171"/>
      <c r="BY234" s="171"/>
      <c r="BZ234" s="171"/>
      <c r="CA234" s="171"/>
      <c r="CB234" s="171"/>
      <c r="CC234" s="171"/>
      <c r="CD234" s="171"/>
      <c r="CE234" s="171"/>
      <c r="CF234" s="171"/>
      <c r="CG234" s="171"/>
      <c r="CH234" s="171"/>
    </row>
    <row r="235" spans="1:86" ht="12" customHeight="1" outlineLevel="4">
      <c r="A235" s="189"/>
      <c r="B235" s="189"/>
      <c r="C235" s="189">
        <v>5</v>
      </c>
      <c r="D235" s="190" t="s">
        <v>1945</v>
      </c>
      <c r="E235" s="172"/>
      <c r="F235" s="172"/>
      <c r="G235" s="172"/>
      <c r="H235" s="172"/>
      <c r="I235" s="172" t="inlineStr">
        <is>
          <t>프로모션·이벤트</t>
        </is>
      </c>
      <c r="J235" s="172"/>
      <c r="K235" s="172"/>
      <c r="L235" s="172"/>
      <c r="M235" s="172"/>
      <c r="N235" s="172"/>
      <c r="O235" s="172" t="inlineStr">
        <is>
          <t>가상 산정 / 구현 담당 TBD / 인력 투입 후 재배정</t>
        </is>
      </c>
      <c r="P235" s="230">
        <v>46349</v>
      </c>
      <c r="Q235" s="191">
        <v>46374</v>
      </c>
      <c r="R235" s="172"/>
      <c r="S235" s="192">
        <v>10</v>
      </c>
      <c r="T235" s="192">
        <v>10</v>
      </c>
      <c r="U235" s="192">
        <v>20</v>
      </c>
      <c r="V235" s="192">
        <v>20</v>
      </c>
      <c r="W235" s="191"/>
      <c r="X235" s="191"/>
      <c r="Y235" s="193"/>
      <c r="Z235" s="194">
        <v>0</v>
      </c>
      <c r="AA235" s="192"/>
      <c r="AB235" s="222" t="inlineStr">
        <is>
          <t>공민수(FO 개발PL) / 개발자 TBD</t>
        </is>
      </c>
      <c r="AC235" s="223" t="inlineStr">
        <is>
          <t>프로모션·이벤트 소스코드</t>
        </is>
      </c>
      <c r="AD235" s="195">
        <v>0</v>
      </c>
      <c r="AE235" s="198">
        <v>0</v>
      </c>
      <c r="AF235" s="170"/>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t="str">
        <v>  0.00% </v>
      </c>
      <c r="BI235" s="171"/>
      <c r="BJ235" s="171"/>
      <c r="BK235" s="171"/>
      <c r="BL235" s="171" t="str">
        <v> 프로모션·이벤트(공민수·개발자 TBD) 11/23-12/18 </v>
      </c>
      <c r="BM235" s="171"/>
      <c r="BN235" s="171"/>
      <c r="BO235" s="171"/>
      <c r="BP235" s="171"/>
      <c r="BQ235" s="171"/>
      <c r="BR235" s="171"/>
      <c r="BS235" s="171"/>
      <c r="BT235" s="171"/>
      <c r="BU235" s="171"/>
      <c r="BV235" s="171"/>
      <c r="BW235" s="171"/>
      <c r="BX235" s="171"/>
      <c r="BY235" s="171"/>
      <c r="BZ235" s="171"/>
      <c r="CA235" s="171"/>
      <c r="CB235" s="171"/>
      <c r="CC235" s="171"/>
      <c r="CD235" s="171"/>
      <c r="CE235" s="171"/>
      <c r="CF235" s="171"/>
      <c r="CG235" s="171"/>
      <c r="CH235" s="171"/>
    </row>
    <row r="236" spans="1:86" ht="12" customHeight="1" outlineLevel="4">
      <c r="A236" s="189"/>
      <c r="B236" s="189"/>
      <c r="C236" s="189">
        <v>5</v>
      </c>
      <c r="D236" s="190" t="s">
        <v>1946</v>
      </c>
      <c r="E236" s="172"/>
      <c r="F236" s="172"/>
      <c r="G236" s="172"/>
      <c r="H236" s="172"/>
      <c r="I236" s="172" t="inlineStr">
        <is>
          <t>고객센터·마이페이지·설정</t>
        </is>
      </c>
      <c r="J236" s="172"/>
      <c r="K236" s="172"/>
      <c r="L236" s="172"/>
      <c r="M236" s="172"/>
      <c r="N236" s="172"/>
      <c r="O236" s="172" t="inlineStr">
        <is>
          <t>가상 산정 / 구현 담당 TBD / 인력 투입 후 재배정</t>
        </is>
      </c>
      <c r="P236" s="230">
        <v>46357</v>
      </c>
      <c r="Q236" s="191">
        <v>46395</v>
      </c>
      <c r="R236" s="172"/>
      <c r="S236" s="192">
        <v>12</v>
      </c>
      <c r="T236" s="192">
        <v>12</v>
      </c>
      <c r="U236" s="192">
        <v>27</v>
      </c>
      <c r="V236" s="192">
        <v>27</v>
      </c>
      <c r="W236" s="191"/>
      <c r="X236" s="191"/>
      <c r="Y236" s="193"/>
      <c r="Z236" s="194">
        <v>0</v>
      </c>
      <c r="AA236" s="192"/>
      <c r="AB236" s="222" t="inlineStr">
        <is>
          <t>공민수(FO 개발PL) / 개발자 TBD</t>
        </is>
      </c>
      <c r="AC236" s="223" t="inlineStr">
        <is>
          <t>고객센터·마이페이지·설정 소스코드</t>
        </is>
      </c>
      <c r="AD236" s="195">
        <v>0</v>
      </c>
      <c r="AE236" s="198">
        <v>0</v>
      </c>
      <c r="AF236" s="170"/>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t="str">
        <v>  0.00% </v>
      </c>
      <c r="BJ236" s="171"/>
      <c r="BK236" s="171"/>
      <c r="BL236" s="171"/>
      <c r="BM236" s="171"/>
      <c r="BN236" s="171"/>
      <c r="BO236" s="171" t="str">
        <v> 고객센터·마이페이지·설정(공민수·개발자 TBD) 12/1-1/8 </v>
      </c>
      <c r="BP236" s="171"/>
      <c r="BQ236" s="171"/>
      <c r="BR236" s="171"/>
      <c r="BS236" s="171"/>
      <c r="BT236" s="171"/>
      <c r="BU236" s="171"/>
      <c r="BV236" s="171"/>
      <c r="BW236" s="171"/>
      <c r="BX236" s="171"/>
      <c r="BY236" s="171"/>
      <c r="BZ236" s="171"/>
      <c r="CA236" s="171"/>
      <c r="CB236" s="171"/>
      <c r="CC236" s="171"/>
      <c r="CD236" s="171"/>
      <c r="CE236" s="171"/>
      <c r="CF236" s="171"/>
      <c r="CG236" s="171"/>
      <c r="CH236" s="171"/>
    </row>
    <row r="237" spans="1:86" ht="12" customHeight="1" outlineLevel="4">
      <c r="A237" s="189"/>
      <c r="B237" s="189"/>
      <c r="C237" s="189">
        <v>5</v>
      </c>
      <c r="D237" s="190" t="s">
        <v>1947</v>
      </c>
      <c r="E237" s="172"/>
      <c r="F237" s="172"/>
      <c r="G237" s="172"/>
      <c r="H237" s="172"/>
      <c r="I237" s="172" t="inlineStr">
        <is>
          <t>FO 판매채널</t>
        </is>
      </c>
      <c r="J237" s="172"/>
      <c r="K237" s="172"/>
      <c r="L237" s="172"/>
      <c r="M237" s="172"/>
      <c r="N237" s="172"/>
      <c r="O237" s="172" t="inlineStr">
        <is>
          <t>가상 산정 / 구현 담당 TBD / 인력 투입 후 재배정</t>
        </is>
      </c>
      <c r="P237" s="230">
        <v>46357</v>
      </c>
      <c r="Q237" s="191">
        <v>46402</v>
      </c>
      <c r="R237" s="172"/>
      <c r="S237" s="192">
        <v>15</v>
      </c>
      <c r="T237" s="192">
        <v>15</v>
      </c>
      <c r="U237" s="192">
        <v>32</v>
      </c>
      <c r="V237" s="192">
        <v>32</v>
      </c>
      <c r="W237" s="191"/>
      <c r="X237" s="191"/>
      <c r="Y237" s="193"/>
      <c r="Z237" s="194">
        <v>0</v>
      </c>
      <c r="AA237" s="192"/>
      <c r="AB237" s="222" t="inlineStr">
        <is>
          <t>공민수(FO 개발PL) / 개발자 TBD</t>
        </is>
      </c>
      <c r="AC237" s="223" t="inlineStr">
        <is>
          <t>판매채널 화면·주문 및 결제 연결</t>
        </is>
      </c>
      <c r="AD237" s="195">
        <v>0</v>
      </c>
      <c r="AE237" s="198">
        <v>0</v>
      </c>
      <c r="AF237" s="170"/>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t="str">
        <v>  0.00% </v>
      </c>
      <c r="BJ237" s="171"/>
      <c r="BK237" s="171"/>
      <c r="BL237" s="171"/>
      <c r="BM237" s="171"/>
      <c r="BN237" s="171"/>
      <c r="BO237" s="171"/>
      <c r="BP237" s="171" t="str">
        <v> FO 판매채널(공민수·개발자 TBD) 12/1-1/15 </v>
      </c>
      <c r="BQ237" s="171"/>
      <c r="BR237" s="171"/>
      <c r="BS237" s="171"/>
      <c r="BT237" s="171"/>
      <c r="BU237" s="171"/>
      <c r="BV237" s="171"/>
      <c r="BW237" s="171"/>
      <c r="BX237" s="171"/>
      <c r="BY237" s="171"/>
      <c r="BZ237" s="171"/>
      <c r="CA237" s="171"/>
      <c r="CB237" s="171"/>
      <c r="CC237" s="171"/>
      <c r="CD237" s="171"/>
      <c r="CE237" s="171"/>
      <c r="CF237" s="171"/>
      <c r="CG237" s="171"/>
      <c r="CH237" s="171"/>
    </row>
    <row r="238" spans="1:86" ht="12" customHeight="1" outlineLevel="4">
      <c r="A238" s="189"/>
      <c r="B238" s="189"/>
      <c r="C238" s="189">
        <v>5</v>
      </c>
      <c r="D238" s="190" t="s">
        <v>1948</v>
      </c>
      <c r="E238" s="172"/>
      <c r="F238" s="172"/>
      <c r="G238" s="172"/>
      <c r="H238" s="172"/>
      <c r="I238" s="172" t="inlineStr">
        <is>
          <t>Partner Office</t>
        </is>
      </c>
      <c r="J238" s="172"/>
      <c r="K238" s="172"/>
      <c r="L238" s="172"/>
      <c r="M238" s="172"/>
      <c r="N238" s="172"/>
      <c r="O238" s="172" t="inlineStr">
        <is>
          <t>가상 산정 / 구현 담당 TBD / 인력 투입 후 재배정</t>
        </is>
      </c>
      <c r="P238" s="230">
        <v>46363</v>
      </c>
      <c r="Q238" s="191">
        <v>46402</v>
      </c>
      <c r="R238" s="172"/>
      <c r="S238" s="192">
        <v>10</v>
      </c>
      <c r="T238" s="192">
        <v>10</v>
      </c>
      <c r="U238" s="192">
        <v>28</v>
      </c>
      <c r="V238" s="192">
        <v>28</v>
      </c>
      <c r="W238" s="191"/>
      <c r="X238" s="191"/>
      <c r="Y238" s="193"/>
      <c r="Z238" s="194">
        <v>0</v>
      </c>
      <c r="AA238" s="192"/>
      <c r="AB238" s="222" t="inlineStr">
        <is>
          <t>공민수(FO 개발PL) / 개발자 TBD</t>
        </is>
      </c>
      <c r="AC238" s="223" t="inlineStr">
        <is>
          <t>로그인·주문조회·공지·문의 화면</t>
        </is>
      </c>
      <c r="AD238" s="195">
        <v>0</v>
      </c>
      <c r="AE238" s="198">
        <v>0</v>
      </c>
      <c r="AF238" s="170"/>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t="str">
        <v>  0.00% </v>
      </c>
      <c r="BK238" s="171"/>
      <c r="BL238" s="171"/>
      <c r="BM238" s="171"/>
      <c r="BN238" s="171"/>
      <c r="BO238" s="171"/>
      <c r="BP238" s="171" t="str">
        <v> Partner Office(공민수·개발자 TBD) 12/7-1/15 </v>
      </c>
      <c r="BQ238" s="171"/>
      <c r="BR238" s="171"/>
      <c r="BS238" s="171"/>
      <c r="BT238" s="171"/>
      <c r="BU238" s="171"/>
      <c r="BV238" s="171"/>
      <c r="BW238" s="171"/>
      <c r="BX238" s="171"/>
      <c r="BY238" s="171"/>
      <c r="BZ238" s="171"/>
      <c r="CA238" s="171"/>
      <c r="CB238" s="171"/>
      <c r="CC238" s="171"/>
      <c r="CD238" s="171"/>
      <c r="CE238" s="171"/>
      <c r="CF238" s="171"/>
      <c r="CG238" s="171"/>
      <c r="CH238" s="171"/>
    </row>
    <row r="239" spans="1:86" ht="12" customHeight="1" outlineLevel="4">
      <c r="A239" s="189"/>
      <c r="B239" s="189"/>
      <c r="C239" s="189">
        <v>5</v>
      </c>
      <c r="D239" s="190" t="s">
        <v>1949</v>
      </c>
      <c r="E239" s="172"/>
      <c r="F239" s="172"/>
      <c r="G239" s="172"/>
      <c r="H239" s="172"/>
      <c r="I239" s="172" t="inlineStr">
        <is>
          <t>WebView·App Bridge</t>
        </is>
      </c>
      <c r="J239" s="172"/>
      <c r="K239" s="172"/>
      <c r="L239" s="172"/>
      <c r="M239" s="172"/>
      <c r="N239" s="172"/>
      <c r="O239" s="172" t="inlineStr">
        <is>
          <t>가상 산정 / 구현 담당 TBD / 인력 투입 후 재배정</t>
        </is>
      </c>
      <c r="P239" s="230">
        <v>46370</v>
      </c>
      <c r="Q239" s="191">
        <v>46395</v>
      </c>
      <c r="R239" s="172"/>
      <c r="S239" s="192">
        <v>10</v>
      </c>
      <c r="T239" s="192">
        <v>10</v>
      </c>
      <c r="U239" s="192">
        <v>18</v>
      </c>
      <c r="V239" s="192">
        <v>18</v>
      </c>
      <c r="W239" s="191"/>
      <c r="X239" s="191"/>
      <c r="Y239" s="193"/>
      <c r="Z239" s="194">
        <v>0</v>
      </c>
      <c r="AA239" s="192"/>
      <c r="AB239" s="222" t="inlineStr">
        <is>
          <t>공민수(FO 개발PL) / 개발자 TBD</t>
        </is>
      </c>
      <c r="AC239" s="223" t="inlineStr">
        <is>
          <t>WebView 초기화·로그인·화면 이동 연동</t>
        </is>
      </c>
      <c r="AD239" s="195">
        <v>0</v>
      </c>
      <c r="AE239" s="198">
        <v>0</v>
      </c>
      <c r="AF239" s="170"/>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t="str">
        <v>  0.00% </v>
      </c>
      <c r="BL239" s="171"/>
      <c r="BM239" s="171"/>
      <c r="BN239" s="171"/>
      <c r="BO239" s="171" t="str">
        <v> WebView·App Bridge(공민수·개발자 TBD) 12/14-1/8 </v>
      </c>
      <c r="BP239" s="171"/>
      <c r="BQ239" s="171"/>
      <c r="BR239" s="171"/>
      <c r="BS239" s="171"/>
      <c r="BT239" s="171"/>
      <c r="BU239" s="171"/>
      <c r="BV239" s="171"/>
      <c r="BW239" s="171"/>
      <c r="BX239" s="171"/>
      <c r="BY239" s="171"/>
      <c r="BZ239" s="171"/>
      <c r="CA239" s="171"/>
      <c r="CB239" s="171"/>
      <c r="CC239" s="171"/>
      <c r="CD239" s="171"/>
      <c r="CE239" s="171"/>
      <c r="CF239" s="171"/>
      <c r="CG239" s="171"/>
      <c r="CH239" s="171"/>
    </row>
    <row r="240" spans="1:86" ht="12" customHeight="1" outlineLevel="4">
      <c r="A240" s="189"/>
      <c r="B240" s="189"/>
      <c r="C240" s="189">
        <v>5</v>
      </c>
      <c r="D240" s="190" t="s">
        <v>1950</v>
      </c>
      <c r="E240" s="172"/>
      <c r="F240" s="172"/>
      <c r="G240" s="172"/>
      <c r="H240" s="172"/>
      <c r="I240" s="172" t="inlineStr">
        <is>
          <t>결제·외부 서비스 연동</t>
        </is>
      </c>
      <c r="J240" s="172"/>
      <c r="K240" s="172"/>
      <c r="L240" s="172"/>
      <c r="M240" s="172"/>
      <c r="N240" s="172"/>
      <c r="O240" s="172" t="inlineStr">
        <is>
          <t>가상 산정 / 구현 담당 TBD / 인력 투입 후 재배정</t>
        </is>
      </c>
      <c r="P240" s="230">
        <v>46377</v>
      </c>
      <c r="Q240" s="191">
        <v>46409</v>
      </c>
      <c r="R240" s="172"/>
      <c r="S240" s="192">
        <v>10</v>
      </c>
      <c r="T240" s="192">
        <v>10</v>
      </c>
      <c r="U240" s="192">
        <v>23</v>
      </c>
      <c r="V240" s="192">
        <v>23</v>
      </c>
      <c r="W240" s="191"/>
      <c r="X240" s="191"/>
      <c r="Y240" s="193"/>
      <c r="Z240" s="194">
        <v>0</v>
      </c>
      <c r="AA240" s="192"/>
      <c r="AB240" s="222" t="inlineStr">
        <is>
          <t>공민수(FO 개발PL) / 개발자 TBD</t>
        </is>
      </c>
      <c r="AC240" s="223" t="inlineStr">
        <is>
          <t>결제 복귀·외부 서비스 연동 검증 결과</t>
        </is>
      </c>
      <c r="AD240" s="195">
        <v>0</v>
      </c>
      <c r="AE240" s="198">
        <v>0</v>
      </c>
      <c r="AF240" s="170"/>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t="str">
        <v>  0.00% </v>
      </c>
      <c r="BM240" s="171"/>
      <c r="BN240" s="171"/>
      <c r="BO240" s="171"/>
      <c r="BP240" s="171"/>
      <c r="BQ240" s="171" t="str">
        <v> 결제·외부 서비스 연동(공민수·개발자 TBD) 12/21-1/22 </v>
      </c>
      <c r="BR240" s="171"/>
      <c r="BS240" s="171"/>
      <c r="BT240" s="171"/>
      <c r="BU240" s="171"/>
      <c r="BV240" s="171"/>
      <c r="BW240" s="171"/>
      <c r="BX240" s="171"/>
      <c r="BY240" s="171"/>
      <c r="BZ240" s="171"/>
      <c r="CA240" s="171"/>
      <c r="CB240" s="171"/>
      <c r="CC240" s="171"/>
      <c r="CD240" s="171"/>
      <c r="CE240" s="171"/>
      <c r="CF240" s="171"/>
      <c r="CG240" s="171"/>
      <c r="CH240" s="171"/>
    </row>
    <row r="241" spans="1:86" ht="12" customHeight="1" outlineLevel="4">
      <c r="A241" s="189"/>
      <c r="B241" s="189"/>
      <c r="C241" s="189">
        <v>5</v>
      </c>
      <c r="D241" s="190" t="s">
        <v>1951</v>
      </c>
      <c r="E241" s="172"/>
      <c r="F241" s="172"/>
      <c r="G241" s="172"/>
      <c r="H241" s="172"/>
      <c r="I241" s="172" t="inlineStr">
        <is>
          <t>통합검증·회귀테스트</t>
        </is>
      </c>
      <c r="J241" s="172"/>
      <c r="K241" s="172"/>
      <c r="L241" s="172"/>
      <c r="M241" s="172"/>
      <c r="N241" s="172"/>
      <c r="O241" s="172" t="inlineStr">
        <is>
          <t>가상 산정 / 구현 담당 TBD / 인력 투입 후 재배정</t>
        </is>
      </c>
      <c r="P241" s="230">
        <v>46398</v>
      </c>
      <c r="Q241" s="191">
        <v>46409</v>
      </c>
      <c r="R241" s="172"/>
      <c r="S241" s="192">
        <v>12</v>
      </c>
      <c r="T241" s="192">
        <v>12</v>
      </c>
      <c r="U241" s="192">
        <v>10</v>
      </c>
      <c r="V241" s="192">
        <v>10</v>
      </c>
      <c r="W241" s="191"/>
      <c r="X241" s="191"/>
      <c r="Y241" s="193"/>
      <c r="Z241" s="194">
        <v>0</v>
      </c>
      <c r="AA241" s="192"/>
      <c r="AB241" s="222" t="inlineStr">
        <is>
          <t>공민수(FO 개발PL) / 개발자 TBD</t>
        </is>
      </c>
      <c r="AC241" s="223" t="inlineStr">
        <is>
          <t>통합검증·회귀테스트 결과</t>
        </is>
      </c>
      <c r="AD241" s="195">
        <v>0</v>
      </c>
      <c r="AE241" s="198">
        <v>0</v>
      </c>
      <c r="AF241" s="170"/>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t="str">
        <v>  0.00% </v>
      </c>
      <c r="BP241" s="171"/>
      <c r="BQ241" s="171" t="str">
        <v> 통합검증·회귀테스트(공민수·개발자 TBD) 1/11-1/22 </v>
      </c>
      <c r="BR241" s="171"/>
      <c r="BS241" s="171"/>
      <c r="BT241" s="171"/>
      <c r="BU241" s="171"/>
      <c r="BV241" s="171"/>
      <c r="BW241" s="171"/>
      <c r="BX241" s="171"/>
      <c r="BY241" s="171"/>
      <c r="BZ241" s="171"/>
      <c r="CA241" s="171"/>
      <c r="CB241" s="171"/>
      <c r="CC241" s="171"/>
      <c r="CD241" s="171"/>
      <c r="CE241" s="171"/>
      <c r="CF241" s="171"/>
      <c r="CG241" s="171"/>
      <c r="CH241" s="171"/>
    </row>
    <row r="242" spans="1:86" ht="12" customHeight="1" outlineLevel="4">
      <c r="A242" s="189"/>
      <c r="B242" s="189"/>
      <c r="C242" s="189">
        <v>5</v>
      </c>
      <c r="D242" s="190" t="s">
        <v>2076</v>
      </c>
      <c r="E242" s="172"/>
      <c r="F242" s="172"/>
      <c r="G242" s="172"/>
      <c r="H242" s="172"/>
      <c r="I242" s="172" t="inlineStr">
        <is>
          <t>결함 수정·안정화</t>
        </is>
      </c>
      <c r="J242" s="172"/>
      <c r="K242" s="172"/>
      <c r="L242" s="172"/>
      <c r="M242" s="172"/>
      <c r="N242" s="172"/>
      <c r="O242" s="172" t="inlineStr">
        <is>
          <t>가상 산정 / 구현 담당 TBD / 인력 투입 후 재배정</t>
        </is>
      </c>
      <c r="P242" s="230">
        <v>46405</v>
      </c>
      <c r="Q242" s="191">
        <v>46418</v>
      </c>
      <c r="R242" s="172"/>
      <c r="S242" s="192">
        <v>18</v>
      </c>
      <c r="T242" s="192">
        <v>18</v>
      </c>
      <c r="U242" s="192">
        <v>10</v>
      </c>
      <c r="V242" s="192">
        <v>10</v>
      </c>
      <c r="W242" s="191"/>
      <c r="X242" s="191"/>
      <c r="Y242" s="193"/>
      <c r="Z242" s="194">
        <v>0</v>
      </c>
      <c r="AA242" s="192"/>
      <c r="AB242" s="222" t="inlineStr">
        <is>
          <t>공민수(FO 개발PL) / 개발자 TBD</t>
        </is>
      </c>
      <c r="AC242" s="223" t="inlineStr">
        <is>
          <t>결함 조치내역·안정화 결과</t>
        </is>
      </c>
      <c r="AD242" s="195">
        <v>0</v>
      </c>
      <c r="AE242" s="198">
        <v>0</v>
      </c>
      <c r="AF242" s="170"/>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t="str">
        <v>  0.00% </v>
      </c>
      <c r="BQ242" s="171"/>
      <c r="BR242" s="171"/>
      <c r="BS242" s="171" t="str">
        <v> 결함 수정·안정화(공민수·개발자 TBD) 1/18-1/31 </v>
      </c>
      <c r="BT242" s="171"/>
      <c r="BU242" s="171"/>
      <c r="BV242" s="171"/>
      <c r="BW242" s="171"/>
      <c r="BX242" s="171"/>
      <c r="BY242" s="171"/>
      <c r="BZ242" s="171"/>
      <c r="CA242" s="171"/>
      <c r="CB242" s="171"/>
      <c r="CC242" s="171"/>
      <c r="CD242" s="171"/>
      <c r="CE242" s="171"/>
      <c r="CF242" s="171"/>
      <c r="CG242" s="171"/>
      <c r="CH242" s="171"/>
    </row>
    <row r="243" spans="1:86" ht="12" customHeight="1" outlineLevel="3">
      <c r="A243" s="189"/>
      <c r="B243" s="189" t="s">
        <v>1387</v>
      </c>
      <c r="C243" s="189">
        <v>4</v>
      </c>
      <c r="D243" s="245" t="s">
        <v>1952</v>
      </c>
      <c r="E243" s="172"/>
      <c r="F243" s="172"/>
      <c r="G243" s="172"/>
      <c r="H243" s="172" t="s">
        <v>2015</v>
      </c>
      <c r="I243" s="172"/>
      <c r="J243" s="172"/>
      <c r="K243" s="172"/>
      <c r="L243" s="172"/>
      <c r="M243" s="172"/>
      <c r="N243" s="172"/>
      <c r="O243" s="172"/>
      <c r="P243" s="230">
        <v>46296</v>
      </c>
      <c r="Q243" s="230">
        <v>46418</v>
      </c>
      <c r="R243" s="172"/>
      <c r="S243" s="192">
        <v>799</v>
      </c>
      <c r="T243" s="192">
        <v>0</v>
      </c>
      <c r="U243" s="192">
        <v>83</v>
      </c>
      <c r="V243" s="192">
        <v>0</v>
      </c>
      <c r="W243" s="191"/>
      <c r="X243" s="191"/>
      <c r="Y243" s="193">
        <v>0</v>
      </c>
      <c r="Z243" s="194">
        <v>0</v>
      </c>
      <c r="AA243" s="192"/>
      <c r="AB243" s="222"/>
      <c r="AC243" s="223"/>
      <c r="AD243" s="195">
        <v>0</v>
      </c>
      <c r="AE243" s="197">
        <v>0</v>
      </c>
      <c r="AF243" s="170"/>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t="str">
        <f>"    " &amp; TEXT(AE243,"#0.00%") &amp; " "</f>
        <v xml:space="preserve">    0.00% </v>
      </c>
      <c r="BA243" s="171"/>
      <c r="BB243" s="171"/>
      <c r="BC243" s="171"/>
      <c r="BD243" s="171"/>
      <c r="BE243" s="171"/>
      <c r="BF243" s="171"/>
      <c r="BG243" s="171"/>
      <c r="BH243" s="171"/>
      <c r="BI243" s="171"/>
      <c r="BJ243" s="171"/>
      <c r="BK243" s="171"/>
      <c r="BL243" s="171"/>
      <c r="BM243" s="171"/>
      <c r="BN243" s="171"/>
      <c r="BO243" s="171"/>
      <c r="BP243" s="171"/>
      <c r="BQ243" s="171"/>
      <c r="BR243" s="171" t="str">
        <f>" " &amp; "Front Office Backend API개발" &amp; " " &amp; IF(P243="","",TEXT(P243,"M/D-")) &amp; IF(Q243="","",TEXT(Q243,"M/D")) &amp; " "</f>
        <v xml:space="preserve"> Front Office Backend API개발 10/1-1/31 </v>
      </c>
      <c r="BS243" s="171"/>
      <c r="BT243" s="171"/>
      <c r="BU243" s="171"/>
      <c r="BV243" s="171"/>
      <c r="BW243" s="171"/>
      <c r="BX243" s="171"/>
      <c r="BY243" s="171"/>
      <c r="BZ243" s="171"/>
      <c r="CA243" s="171"/>
      <c r="CB243" s="171"/>
      <c r="CC243" s="171"/>
      <c r="CD243" s="171"/>
      <c r="CE243" s="171"/>
      <c r="CF243" s="171"/>
      <c r="CG243" s="171"/>
      <c r="CH243" s="171"/>
    </row>
    <row r="244" spans="1:86" ht="12" customHeight="1" outlineLevel="4">
      <c r="A244" s="189"/>
      <c r="B244" s="189"/>
      <c r="C244" s="189">
        <v>5</v>
      </c>
      <c r="D244" s="190" t="s">
        <v>1953</v>
      </c>
      <c r="E244" s="172"/>
      <c r="F244" s="172"/>
      <c r="G244" s="172"/>
      <c r="H244" s="172"/>
      <c r="I244" s="172" t="s">
        <v>1920</v>
      </c>
      <c r="J244" s="172"/>
      <c r="K244" s="172"/>
      <c r="L244" s="172"/>
      <c r="M244" s="172"/>
      <c r="N244" s="172"/>
      <c r="O244" s="172"/>
      <c r="P244" s="230">
        <v>46328</v>
      </c>
      <c r="Q244" s="230">
        <v>46387</v>
      </c>
      <c r="R244" s="172"/>
      <c r="S244" s="192">
        <v>86</v>
      </c>
      <c r="T244" s="192">
        <v>0</v>
      </c>
      <c r="U244" s="192">
        <v>43</v>
      </c>
      <c r="V244" s="192">
        <v>0</v>
      </c>
      <c r="W244" s="191"/>
      <c r="X244" s="191"/>
      <c r="Y244" s="193"/>
      <c r="Z244" s="194">
        <v>0</v>
      </c>
      <c r="AA244" s="192"/>
      <c r="AB244" s="222" t="s">
        <v>2016</v>
      </c>
      <c r="AC244" s="244" t="s">
        <v>1722</v>
      </c>
      <c r="AD244" s="195">
        <v>0</v>
      </c>
      <c r="AE244" s="198">
        <v>0</v>
      </c>
      <c r="AF244" s="170"/>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t="str">
        <f>" " &amp; TEXT(AE244,"#0.00%") &amp; " "</f>
        <v xml:space="preserve"> 0.00% </v>
      </c>
      <c r="BF244" s="171"/>
      <c r="BG244" s="171"/>
      <c r="BH244" s="171"/>
      <c r="BI244" s="171"/>
      <c r="BJ244" s="171"/>
      <c r="BK244" s="171"/>
      <c r="BL244" s="171"/>
      <c r="BM244" s="171" t="str">
        <f>"     " &amp; "공통" &amp; "(박지만, 최선)" &amp; " " &amp; IF(P244="","",TEXT(P244,"M/D-")) &amp; IF(Q244="","",TEXT(Q244,"M/D")) &amp; " "</f>
        <v xml:space="preserve">     공통(박지만, 최선) 11/2-12/31 </v>
      </c>
      <c r="BN244" s="171"/>
      <c r="BO244" s="171"/>
      <c r="BP244" s="171"/>
      <c r="BQ244" s="171"/>
      <c r="BR244" s="171"/>
      <c r="BS244" s="171"/>
      <c r="BT244" s="171"/>
      <c r="BU244" s="171"/>
      <c r="BV244" s="171"/>
      <c r="BW244" s="171"/>
      <c r="BX244" s="171"/>
      <c r="BY244" s="171"/>
      <c r="BZ244" s="171"/>
      <c r="CA244" s="171"/>
      <c r="CB244" s="171"/>
      <c r="CC244" s="171"/>
      <c r="CD244" s="171"/>
      <c r="CE244" s="171"/>
      <c r="CF244" s="171"/>
      <c r="CG244" s="171"/>
      <c r="CH244" s="171"/>
    </row>
    <row r="245" spans="1:86" ht="12" customHeight="1" outlineLevel="4">
      <c r="A245" s="189"/>
      <c r="B245" s="189"/>
      <c r="C245" s="189">
        <v>5</v>
      </c>
      <c r="D245" s="190" t="s">
        <v>1954</v>
      </c>
      <c r="E245" s="172"/>
      <c r="F245" s="172"/>
      <c r="G245" s="172"/>
      <c r="H245" s="172"/>
      <c r="I245" s="172" t="s">
        <v>1904</v>
      </c>
      <c r="J245" s="172"/>
      <c r="K245" s="172"/>
      <c r="L245" s="172"/>
      <c r="M245" s="172"/>
      <c r="N245" s="172"/>
      <c r="O245" s="172"/>
      <c r="P245" s="230">
        <v>46328</v>
      </c>
      <c r="Q245" s="191">
        <v>46416</v>
      </c>
      <c r="R245" s="172"/>
      <c r="S245" s="192">
        <v>63</v>
      </c>
      <c r="T245" s="192">
        <v>0</v>
      </c>
      <c r="U245" s="192">
        <v>63</v>
      </c>
      <c r="V245" s="192">
        <v>0</v>
      </c>
      <c r="W245" s="191"/>
      <c r="X245" s="191"/>
      <c r="Y245" s="193"/>
      <c r="Z245" s="194">
        <v>0</v>
      </c>
      <c r="AA245" s="192"/>
      <c r="AB245" s="222" t="s">
        <v>2017</v>
      </c>
      <c r="AC245" s="244" t="s">
        <v>1722</v>
      </c>
      <c r="AD245" s="195">
        <v>0</v>
      </c>
      <c r="AE245" s="198">
        <v>0</v>
      </c>
      <c r="AF245" s="170"/>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t="str">
        <f>" " &amp; TEXT(AE245,"#0.00%") &amp; " "</f>
        <v xml:space="preserve"> 0.00% </v>
      </c>
      <c r="BF245" s="171"/>
      <c r="BG245" s="171"/>
      <c r="BH245" s="171"/>
      <c r="BI245" s="171"/>
      <c r="BJ245" s="171"/>
      <c r="BK245" s="171"/>
      <c r="BL245" s="171"/>
      <c r="BM245" s="171"/>
      <c r="BN245" s="171"/>
      <c r="BO245" s="171"/>
      <c r="BP245" s="171"/>
      <c r="BQ245" s="171" t="str">
        <f>"      " &amp; "메인" &amp; "(TBD_3)" &amp; " " &amp; IF(P245="","",TEXT(P245,"M/D-")) &amp; IF(Q245="","",TEXT(Q245,"M/D")) &amp; " "</f>
        <v xml:space="preserve">      메인(TBD_3) 11/2-1/29 </v>
      </c>
      <c r="BR245" s="171"/>
      <c r="BS245" s="171"/>
      <c r="BT245" s="171"/>
      <c r="BU245" s="171"/>
      <c r="BV245" s="171"/>
      <c r="BW245" s="171"/>
      <c r="BX245" s="171"/>
      <c r="BY245" s="171"/>
      <c r="BZ245" s="171"/>
      <c r="CA245" s="171"/>
      <c r="CB245" s="171"/>
      <c r="CC245" s="171"/>
      <c r="CD245" s="171"/>
      <c r="CE245" s="171"/>
      <c r="CF245" s="171"/>
      <c r="CG245" s="171"/>
      <c r="CH245" s="171"/>
    </row>
    <row r="246" spans="1:86" ht="12" customHeight="1" outlineLevel="4">
      <c r="A246" s="189"/>
      <c r="B246" s="189"/>
      <c r="C246" s="189">
        <v>5</v>
      </c>
      <c r="D246" s="190" t="s">
        <v>1955</v>
      </c>
      <c r="E246" s="172"/>
      <c r="F246" s="172"/>
      <c r="G246" s="172"/>
      <c r="H246" s="172"/>
      <c r="I246" s="172" t="s">
        <v>2018</v>
      </c>
      <c r="J246" s="172"/>
      <c r="K246" s="172"/>
      <c r="L246" s="172"/>
      <c r="M246" s="172"/>
      <c r="N246" s="172"/>
      <c r="O246" s="172"/>
      <c r="P246" s="230">
        <v>46296</v>
      </c>
      <c r="Q246" s="191">
        <v>46416</v>
      </c>
      <c r="R246" s="172"/>
      <c r="S246" s="192">
        <v>83</v>
      </c>
      <c r="T246" s="192">
        <v>0</v>
      </c>
      <c r="U246" s="192">
        <v>83</v>
      </c>
      <c r="V246" s="192">
        <v>0</v>
      </c>
      <c r="W246" s="191"/>
      <c r="X246" s="191"/>
      <c r="Y246" s="193"/>
      <c r="Z246" s="194">
        <v>0</v>
      </c>
      <c r="AA246" s="192"/>
      <c r="AB246" s="222" t="s">
        <v>2019</v>
      </c>
      <c r="AC246" s="244" t="s">
        <v>1722</v>
      </c>
      <c r="AD246" s="195">
        <v>0</v>
      </c>
      <c r="AE246" s="198">
        <v>0</v>
      </c>
      <c r="AF246" s="170"/>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t="str">
        <f>"    " &amp; TEXT(AE246,"#0.00%") &amp; " "</f>
        <v xml:space="preserve">    0.00% </v>
      </c>
      <c r="BA246" s="171"/>
      <c r="BB246" s="171"/>
      <c r="BC246" s="171"/>
      <c r="BD246" s="171"/>
      <c r="BE246" s="171"/>
      <c r="BF246" s="171"/>
      <c r="BG246" s="171"/>
      <c r="BH246" s="171"/>
      <c r="BI246" s="171"/>
      <c r="BJ246" s="171"/>
      <c r="BK246" s="171"/>
      <c r="BL246" s="171"/>
      <c r="BM246" s="171"/>
      <c r="BN246" s="171"/>
      <c r="BO246" s="171"/>
      <c r="BP246" s="171"/>
      <c r="BQ246" s="171" t="str">
        <f>"      " &amp; "회원(로그인, 가입, 인증)" &amp; "(이인호)" &amp; " " &amp; IF(P246="","",TEXT(P246,"M/D-")) &amp; IF(Q246="","",TEXT(Q246,"M/D")) &amp; " "</f>
        <v xml:space="preserve">      회원(로그인, 가입, 인증)(이인호) 10/1-1/29 </v>
      </c>
      <c r="BR246" s="171"/>
      <c r="BS246" s="171"/>
      <c r="BT246" s="171"/>
      <c r="BU246" s="171"/>
      <c r="BV246" s="171"/>
      <c r="BW246" s="171"/>
      <c r="BX246" s="171"/>
      <c r="BY246" s="171"/>
      <c r="BZ246" s="171"/>
      <c r="CA246" s="171"/>
      <c r="CB246" s="171"/>
      <c r="CC246" s="171"/>
      <c r="CD246" s="171"/>
      <c r="CE246" s="171"/>
      <c r="CF246" s="171"/>
      <c r="CG246" s="171"/>
      <c r="CH246" s="171"/>
    </row>
    <row r="247" spans="1:86" ht="12" customHeight="1" outlineLevel="4">
      <c r="A247" s="189"/>
      <c r="B247" s="189"/>
      <c r="C247" s="189">
        <v>5</v>
      </c>
      <c r="D247" s="190" t="s">
        <v>1956</v>
      </c>
      <c r="E247" s="172"/>
      <c r="F247" s="172"/>
      <c r="G247" s="172"/>
      <c r="H247" s="172"/>
      <c r="I247" s="172" t="s">
        <v>2020</v>
      </c>
      <c r="J247" s="172"/>
      <c r="K247" s="172"/>
      <c r="L247" s="172"/>
      <c r="M247" s="172"/>
      <c r="N247" s="172"/>
      <c r="O247" s="172"/>
      <c r="P247" s="230">
        <v>46328</v>
      </c>
      <c r="Q247" s="230">
        <v>46387</v>
      </c>
      <c r="R247" s="172"/>
      <c r="S247" s="192">
        <v>43</v>
      </c>
      <c r="T247" s="192">
        <v>0</v>
      </c>
      <c r="U247" s="192">
        <v>43</v>
      </c>
      <c r="V247" s="192">
        <v>0</v>
      </c>
      <c r="W247" s="191"/>
      <c r="X247" s="191"/>
      <c r="Y247" s="193"/>
      <c r="Z247" s="194">
        <v>0</v>
      </c>
      <c r="AA247" s="192"/>
      <c r="AB247" s="222" t="s">
        <v>2021</v>
      </c>
      <c r="AC247" s="244" t="s">
        <v>1722</v>
      </c>
      <c r="AD247" s="195">
        <v>0</v>
      </c>
      <c r="AE247" s="198">
        <v>0</v>
      </c>
      <c r="AF247" s="170"/>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t="str">
        <f>" " &amp; TEXT(AE247,"#0.00%") &amp; " "</f>
        <v xml:space="preserve"> 0.00% </v>
      </c>
      <c r="BF247" s="171"/>
      <c r="BG247" s="171"/>
      <c r="BH247" s="171"/>
      <c r="BI247" s="171"/>
      <c r="BJ247" s="171"/>
      <c r="BK247" s="171"/>
      <c r="BL247" s="171"/>
      <c r="BM247" s="171" t="str">
        <f>"     " &amp; "사용처" &amp; "(TBD_2)" &amp; " " &amp; IF(P247="","",TEXT(P247,"M/D-")) &amp; IF(Q247="","",TEXT(Q247,"M/D")) &amp; " "</f>
        <v xml:space="preserve">     사용처(TBD_2) 11/2-12/31 </v>
      </c>
      <c r="BN247" s="171"/>
      <c r="BO247" s="171"/>
      <c r="BP247" s="171"/>
      <c r="BQ247" s="171"/>
      <c r="BR247" s="171"/>
      <c r="BS247" s="171"/>
      <c r="BT247" s="171"/>
      <c r="BU247" s="171"/>
      <c r="BV247" s="171"/>
      <c r="BW247" s="171"/>
      <c r="BX247" s="171"/>
      <c r="BY247" s="171"/>
      <c r="BZ247" s="171"/>
      <c r="CA247" s="171"/>
      <c r="CB247" s="171"/>
      <c r="CC247" s="171"/>
      <c r="CD247" s="171"/>
      <c r="CE247" s="171"/>
      <c r="CF247" s="171"/>
      <c r="CG247" s="171"/>
      <c r="CH247" s="171"/>
    </row>
    <row r="248" spans="1:86" ht="12" customHeight="1" outlineLevel="4">
      <c r="A248" s="189"/>
      <c r="B248" s="189"/>
      <c r="C248" s="189">
        <v>5</v>
      </c>
      <c r="D248" s="190" t="s">
        <v>1957</v>
      </c>
      <c r="E248" s="172"/>
      <c r="F248" s="172"/>
      <c r="G248" s="172"/>
      <c r="H248" s="172"/>
      <c r="I248" s="172" t="s">
        <v>1842</v>
      </c>
      <c r="J248" s="172"/>
      <c r="K248" s="172"/>
      <c r="L248" s="172"/>
      <c r="M248" s="172"/>
      <c r="N248" s="172"/>
      <c r="O248" s="172"/>
      <c r="P248" s="230">
        <v>46328</v>
      </c>
      <c r="Q248" s="230">
        <v>46387</v>
      </c>
      <c r="R248" s="172"/>
      <c r="S248" s="192">
        <v>43</v>
      </c>
      <c r="T248" s="192">
        <v>0</v>
      </c>
      <c r="U248" s="192">
        <v>43</v>
      </c>
      <c r="V248" s="192">
        <v>0</v>
      </c>
      <c r="W248" s="191"/>
      <c r="X248" s="191"/>
      <c r="Y248" s="193"/>
      <c r="Z248" s="194">
        <v>0</v>
      </c>
      <c r="AA248" s="192"/>
      <c r="AB248" s="222" t="s">
        <v>2022</v>
      </c>
      <c r="AC248" s="244" t="s">
        <v>1722</v>
      </c>
      <c r="AD248" s="195">
        <v>0</v>
      </c>
      <c r="AE248" s="198">
        <v>0</v>
      </c>
      <c r="AF248" s="170"/>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t="str">
        <f>" " &amp; TEXT(AE248,"#0.00%") &amp; " "</f>
        <v xml:space="preserve"> 0.00% </v>
      </c>
      <c r="BF248" s="171"/>
      <c r="BG248" s="171"/>
      <c r="BH248" s="171"/>
      <c r="BI248" s="171"/>
      <c r="BJ248" s="171"/>
      <c r="BK248" s="171"/>
      <c r="BL248" s="171"/>
      <c r="BM248" s="171" t="str">
        <f>"     " &amp; "상품" &amp; "(정진형)" &amp; " " &amp; IF(P248="","",TEXT(P248,"M/D-")) &amp; IF(Q248="","",TEXT(Q248,"M/D")) &amp; " "</f>
        <v xml:space="preserve">     상품(정진형) 11/2-12/31 </v>
      </c>
      <c r="BN248" s="171"/>
      <c r="BO248" s="171"/>
      <c r="BP248" s="171"/>
      <c r="BQ248" s="171"/>
      <c r="BR248" s="171"/>
      <c r="BS248" s="171"/>
      <c r="BT248" s="171"/>
      <c r="BU248" s="171"/>
      <c r="BV248" s="171"/>
      <c r="BW248" s="171"/>
      <c r="BX248" s="171"/>
      <c r="BY248" s="171"/>
      <c r="BZ248" s="171"/>
      <c r="CA248" s="171"/>
      <c r="CB248" s="171"/>
      <c r="CC248" s="171"/>
      <c r="CD248" s="171"/>
      <c r="CE248" s="171"/>
      <c r="CF248" s="171"/>
      <c r="CG248" s="171"/>
      <c r="CH248" s="171"/>
    </row>
    <row r="249" spans="1:86" ht="12" customHeight="1" outlineLevel="4">
      <c r="A249" s="189"/>
      <c r="B249" s="189"/>
      <c r="C249" s="189">
        <v>5</v>
      </c>
      <c r="D249" s="190" t="s">
        <v>1958</v>
      </c>
      <c r="E249" s="172"/>
      <c r="F249" s="172"/>
      <c r="G249" s="172"/>
      <c r="H249" s="172"/>
      <c r="I249" s="172" t="s">
        <v>1855</v>
      </c>
      <c r="J249" s="172"/>
      <c r="K249" s="172"/>
      <c r="L249" s="172"/>
      <c r="M249" s="172"/>
      <c r="N249" s="172"/>
      <c r="O249" s="172"/>
      <c r="P249" s="230">
        <v>46328</v>
      </c>
      <c r="Q249" s="230">
        <v>46387</v>
      </c>
      <c r="R249" s="172"/>
      <c r="S249" s="192">
        <v>43</v>
      </c>
      <c r="T249" s="192">
        <v>0</v>
      </c>
      <c r="U249" s="192">
        <v>43</v>
      </c>
      <c r="V249" s="192">
        <v>0</v>
      </c>
      <c r="W249" s="191"/>
      <c r="X249" s="191"/>
      <c r="Y249" s="193"/>
      <c r="Z249" s="194">
        <v>0</v>
      </c>
      <c r="AA249" s="192"/>
      <c r="AB249" s="222" t="s">
        <v>2023</v>
      </c>
      <c r="AC249" s="244" t="s">
        <v>1722</v>
      </c>
      <c r="AD249" s="195">
        <v>0</v>
      </c>
      <c r="AE249" s="198">
        <v>0</v>
      </c>
      <c r="AF249" s="170"/>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t="str">
        <f>" " &amp; TEXT(AE249,"#0.00%") &amp; " "</f>
        <v xml:space="preserve"> 0.00% </v>
      </c>
      <c r="BF249" s="171"/>
      <c r="BG249" s="171"/>
      <c r="BH249" s="171"/>
      <c r="BI249" s="171"/>
      <c r="BJ249" s="171"/>
      <c r="BK249" s="171"/>
      <c r="BL249" s="171"/>
      <c r="BM249" s="171" t="str">
        <f>"     " &amp; "제휴카드" &amp; "(한주형)" &amp; " " &amp; IF(P249="","",TEXT(P249,"M/D-")) &amp; IF(Q249="","",TEXT(Q249,"M/D")) &amp; " "</f>
        <v xml:space="preserve">     제휴카드(한주형) 11/2-12/31 </v>
      </c>
      <c r="BN249" s="171"/>
      <c r="BO249" s="171"/>
      <c r="BP249" s="171"/>
      <c r="BQ249" s="171"/>
      <c r="BR249" s="171"/>
      <c r="BS249" s="171"/>
      <c r="BT249" s="171"/>
      <c r="BU249" s="171"/>
      <c r="BV249" s="171"/>
      <c r="BW249" s="171"/>
      <c r="BX249" s="171"/>
      <c r="BY249" s="171"/>
      <c r="BZ249" s="171"/>
      <c r="CA249" s="171"/>
      <c r="CB249" s="171"/>
      <c r="CC249" s="171"/>
      <c r="CD249" s="171"/>
      <c r="CE249" s="171"/>
      <c r="CF249" s="171"/>
      <c r="CG249" s="171"/>
      <c r="CH249" s="171"/>
    </row>
    <row r="250" spans="1:86" ht="12" customHeight="1" outlineLevel="4">
      <c r="A250" s="189"/>
      <c r="B250" s="189"/>
      <c r="C250" s="189">
        <v>5</v>
      </c>
      <c r="D250" s="190" t="s">
        <v>1959</v>
      </c>
      <c r="E250" s="172"/>
      <c r="F250" s="172"/>
      <c r="G250" s="172"/>
      <c r="H250" s="172"/>
      <c r="I250" s="172" t="s">
        <v>2024</v>
      </c>
      <c r="J250" s="172"/>
      <c r="K250" s="172"/>
      <c r="L250" s="172"/>
      <c r="M250" s="172"/>
      <c r="N250" s="172"/>
      <c r="O250" s="172"/>
      <c r="P250" s="230">
        <v>46296</v>
      </c>
      <c r="Q250" s="191">
        <v>46416</v>
      </c>
      <c r="R250" s="172"/>
      <c r="S250" s="192">
        <v>83</v>
      </c>
      <c r="T250" s="192">
        <v>0</v>
      </c>
      <c r="U250" s="192">
        <v>83</v>
      </c>
      <c r="V250" s="192">
        <v>0</v>
      </c>
      <c r="W250" s="191"/>
      <c r="X250" s="191"/>
      <c r="Y250" s="193"/>
      <c r="Z250" s="194">
        <v>0</v>
      </c>
      <c r="AA250" s="192"/>
      <c r="AB250" s="222" t="s">
        <v>2025</v>
      </c>
      <c r="AC250" s="244" t="s">
        <v>1722</v>
      </c>
      <c r="AD250" s="195">
        <v>0</v>
      </c>
      <c r="AE250" s="198">
        <v>0</v>
      </c>
      <c r="AF250" s="170"/>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t="str">
        <f>"    " &amp; TEXT(AE250,"#0.00%") &amp; " "</f>
        <v xml:space="preserve">    0.00% </v>
      </c>
      <c r="BA250" s="171"/>
      <c r="BB250" s="171"/>
      <c r="BC250" s="171"/>
      <c r="BD250" s="171"/>
      <c r="BE250" s="171"/>
      <c r="BF250" s="171"/>
      <c r="BG250" s="171"/>
      <c r="BH250" s="171"/>
      <c r="BI250" s="171"/>
      <c r="BJ250" s="171"/>
      <c r="BK250" s="171"/>
      <c r="BL250" s="171"/>
      <c r="BM250" s="171"/>
      <c r="BN250" s="171"/>
      <c r="BO250" s="171"/>
      <c r="BP250" s="171"/>
      <c r="BQ250" s="171" t="str">
        <f>"      " &amp; "주문/결제(회원/비회원)" &amp; "(김진향)" &amp; " " &amp; IF(P250="","",TEXT(P250,"M/D-")) &amp; IF(Q250="","",TEXT(Q250,"M/D")) &amp; " "</f>
        <v xml:space="preserve">      주문/결제(회원/비회원)(김진향) 10/1-1/29 </v>
      </c>
      <c r="BR250" s="171"/>
      <c r="BS250" s="171"/>
      <c r="BT250" s="171"/>
      <c r="BU250" s="171"/>
      <c r="BV250" s="171"/>
      <c r="BW250" s="171"/>
      <c r="BX250" s="171"/>
      <c r="BY250" s="171"/>
      <c r="BZ250" s="171"/>
      <c r="CA250" s="171"/>
      <c r="CB250" s="171"/>
      <c r="CC250" s="171"/>
      <c r="CD250" s="171"/>
      <c r="CE250" s="171"/>
      <c r="CF250" s="171"/>
      <c r="CG250" s="171"/>
      <c r="CH250" s="171"/>
    </row>
    <row r="251" spans="1:86" ht="12" customHeight="1" outlineLevel="4">
      <c r="A251" s="189"/>
      <c r="B251" s="189"/>
      <c r="C251" s="189">
        <v>5</v>
      </c>
      <c r="D251" s="190" t="s">
        <v>1960</v>
      </c>
      <c r="E251" s="172"/>
      <c r="F251" s="172"/>
      <c r="G251" s="172"/>
      <c r="H251" s="172"/>
      <c r="I251" s="172" t="s">
        <v>2026</v>
      </c>
      <c r="J251" s="172"/>
      <c r="K251" s="172"/>
      <c r="L251" s="172"/>
      <c r="M251" s="172"/>
      <c r="N251" s="172"/>
      <c r="O251" s="172"/>
      <c r="P251" s="230">
        <v>46328</v>
      </c>
      <c r="Q251" s="230">
        <v>46387</v>
      </c>
      <c r="R251" s="172"/>
      <c r="S251" s="192">
        <v>86</v>
      </c>
      <c r="T251" s="192">
        <v>0</v>
      </c>
      <c r="U251" s="192">
        <v>43</v>
      </c>
      <c r="V251" s="192">
        <v>0</v>
      </c>
      <c r="W251" s="191"/>
      <c r="X251" s="191"/>
      <c r="Y251" s="193"/>
      <c r="Z251" s="194">
        <v>0</v>
      </c>
      <c r="AA251" s="192"/>
      <c r="AB251" s="222" t="s">
        <v>2027</v>
      </c>
      <c r="AC251" s="244" t="s">
        <v>1722</v>
      </c>
      <c r="AD251" s="195">
        <v>0</v>
      </c>
      <c r="AE251" s="198">
        <v>0</v>
      </c>
      <c r="AF251" s="170"/>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t="str">
        <f>" " &amp; TEXT(AE251,"#0.00%") &amp; " "</f>
        <v xml:space="preserve"> 0.00% </v>
      </c>
      <c r="BF251" s="171"/>
      <c r="BG251" s="171"/>
      <c r="BH251" s="171"/>
      <c r="BI251" s="171"/>
      <c r="BJ251" s="171"/>
      <c r="BK251" s="171"/>
      <c r="BL251" s="171"/>
      <c r="BM251" s="171" t="str">
        <f>"     " &amp; "프로모션/이벤트/쿠폰북" &amp; "(이승현, 한주형)" &amp; " " &amp; IF(P251="","",TEXT(P251,"M/D-")) &amp; IF(Q251="","",TEXT(Q251,"M/D")) &amp; " "</f>
        <v xml:space="preserve">     프로모션/이벤트/쿠폰북(이승현, 한주형) 11/2-12/31 </v>
      </c>
      <c r="BN251" s="171"/>
      <c r="BO251" s="171"/>
      <c r="BP251" s="171"/>
      <c r="BQ251" s="171"/>
      <c r="BR251" s="171"/>
      <c r="BS251" s="171"/>
      <c r="BT251" s="171"/>
      <c r="BU251" s="171"/>
      <c r="BV251" s="171"/>
      <c r="BW251" s="171"/>
      <c r="BX251" s="171"/>
      <c r="BY251" s="171"/>
      <c r="BZ251" s="171"/>
      <c r="CA251" s="171"/>
      <c r="CB251" s="171"/>
      <c r="CC251" s="171"/>
      <c r="CD251" s="171"/>
      <c r="CE251" s="171"/>
      <c r="CF251" s="171"/>
      <c r="CG251" s="171"/>
      <c r="CH251" s="171"/>
    </row>
    <row r="252" spans="1:86" ht="12" customHeight="1" outlineLevel="4">
      <c r="A252" s="189"/>
      <c r="B252" s="189"/>
      <c r="C252" s="189">
        <v>5</v>
      </c>
      <c r="D252" s="190" t="s">
        <v>1961</v>
      </c>
      <c r="E252" s="172"/>
      <c r="F252" s="172"/>
      <c r="G252" s="172"/>
      <c r="H252" s="172"/>
      <c r="I252" s="172" t="s">
        <v>2028</v>
      </c>
      <c r="J252" s="172"/>
      <c r="K252" s="172"/>
      <c r="L252" s="172"/>
      <c r="M252" s="172"/>
      <c r="N252" s="172"/>
      <c r="O252" s="172"/>
      <c r="P252" s="230">
        <v>46357</v>
      </c>
      <c r="Q252" s="230">
        <v>46387</v>
      </c>
      <c r="R252" s="172"/>
      <c r="S252" s="192">
        <v>22</v>
      </c>
      <c r="T252" s="192">
        <v>0</v>
      </c>
      <c r="U252" s="192">
        <v>22</v>
      </c>
      <c r="V252" s="192">
        <v>0</v>
      </c>
      <c r="W252" s="191"/>
      <c r="X252" s="191"/>
      <c r="Y252" s="193"/>
      <c r="Z252" s="194">
        <v>0</v>
      </c>
      <c r="AA252" s="192"/>
      <c r="AB252" s="222" t="s">
        <v>2029</v>
      </c>
      <c r="AC252" s="244" t="s">
        <v>1722</v>
      </c>
      <c r="AD252" s="195">
        <v>0</v>
      </c>
      <c r="AE252" s="198">
        <v>0</v>
      </c>
      <c r="AF252" s="170"/>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t="str">
        <f>"  " &amp; TEXT(AE252,"#0.00%") &amp; " "</f>
        <v xml:space="preserve">  0.00% </v>
      </c>
      <c r="BJ252" s="171"/>
      <c r="BK252" s="171"/>
      <c r="BL252" s="171"/>
      <c r="BM252" s="171" t="str">
        <f>"     " &amp; "공항안내" &amp; "(TBD_4)" &amp; " " &amp; IF(P252="","",TEXT(P252,"M/D-")) &amp; IF(Q252="","",TEXT(Q252,"M/D")) &amp; " "</f>
        <v xml:space="preserve">     공항안내(TBD_4) 12/1-12/31 </v>
      </c>
      <c r="BN252" s="171"/>
      <c r="BO252" s="171"/>
      <c r="BP252" s="171"/>
      <c r="BQ252" s="171"/>
      <c r="BR252" s="171"/>
      <c r="BS252" s="171"/>
      <c r="BT252" s="171"/>
      <c r="BU252" s="171"/>
      <c r="BV252" s="171"/>
      <c r="BW252" s="171"/>
      <c r="BX252" s="171"/>
      <c r="BY252" s="171"/>
      <c r="BZ252" s="171"/>
      <c r="CA252" s="171"/>
      <c r="CB252" s="171"/>
      <c r="CC252" s="171"/>
      <c r="CD252" s="171"/>
      <c r="CE252" s="171"/>
      <c r="CF252" s="171"/>
      <c r="CG252" s="171"/>
      <c r="CH252" s="171"/>
    </row>
    <row r="253" spans="1:86" ht="12" customHeight="1" outlineLevel="4">
      <c r="A253" s="189"/>
      <c r="B253" s="189"/>
      <c r="C253" s="189">
        <v>5</v>
      </c>
      <c r="D253" s="190" t="s">
        <v>1962</v>
      </c>
      <c r="E253" s="172"/>
      <c r="F253" s="172"/>
      <c r="G253" s="172"/>
      <c r="H253" s="172"/>
      <c r="I253" s="172" t="s">
        <v>1862</v>
      </c>
      <c r="J253" s="172"/>
      <c r="K253" s="172"/>
      <c r="L253" s="172"/>
      <c r="M253" s="172"/>
      <c r="N253" s="172"/>
      <c r="O253" s="172"/>
      <c r="P253" s="230">
        <v>46357</v>
      </c>
      <c r="Q253" s="230">
        <v>46387</v>
      </c>
      <c r="R253" s="172"/>
      <c r="S253" s="192">
        <v>22</v>
      </c>
      <c r="T253" s="192">
        <v>0</v>
      </c>
      <c r="U253" s="192">
        <v>22</v>
      </c>
      <c r="V253" s="192">
        <v>0</v>
      </c>
      <c r="W253" s="191"/>
      <c r="X253" s="191"/>
      <c r="Y253" s="193"/>
      <c r="Z253" s="194">
        <v>0</v>
      </c>
      <c r="AA253" s="192"/>
      <c r="AB253" s="222" t="s">
        <v>2029</v>
      </c>
      <c r="AC253" s="244" t="s">
        <v>1722</v>
      </c>
      <c r="AD253" s="195">
        <v>0</v>
      </c>
      <c r="AE253" s="198">
        <v>0</v>
      </c>
      <c r="AF253" s="170"/>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t="str">
        <f>"  " &amp; TEXT(AE253,"#0.00%") &amp; " "</f>
        <v xml:space="preserve">  0.00% </v>
      </c>
      <c r="BJ253" s="171"/>
      <c r="BK253" s="171"/>
      <c r="BL253" s="171"/>
      <c r="BM253" s="171" t="str">
        <f>"     " &amp; "고객센터" &amp; "(TBD_4)" &amp; " " &amp; IF(P253="","",TEXT(P253,"M/D-")) &amp; IF(Q253="","",TEXT(Q253,"M/D")) &amp; " "</f>
        <v xml:space="preserve">     고객센터(TBD_4) 12/1-12/31 </v>
      </c>
      <c r="BN253" s="171"/>
      <c r="BO253" s="171"/>
      <c r="BP253" s="171"/>
      <c r="BQ253" s="171"/>
      <c r="BR253" s="171"/>
      <c r="BS253" s="171"/>
      <c r="BT253" s="171"/>
      <c r="BU253" s="171"/>
      <c r="BV253" s="171"/>
      <c r="BW253" s="171"/>
      <c r="BX253" s="171"/>
      <c r="BY253" s="171"/>
      <c r="BZ253" s="171"/>
      <c r="CA253" s="171"/>
      <c r="CB253" s="171"/>
      <c r="CC253" s="171"/>
      <c r="CD253" s="171"/>
      <c r="CE253" s="171"/>
      <c r="CF253" s="171"/>
      <c r="CG253" s="171"/>
      <c r="CH253" s="171"/>
    </row>
    <row r="254" spans="1:86" ht="12" customHeight="1" outlineLevel="4">
      <c r="A254" s="189"/>
      <c r="B254" s="189"/>
      <c r="C254" s="189">
        <v>5</v>
      </c>
      <c r="D254" s="190" t="s">
        <v>1963</v>
      </c>
      <c r="E254" s="172"/>
      <c r="F254" s="172"/>
      <c r="G254" s="172"/>
      <c r="H254" s="172"/>
      <c r="I254" s="172" t="s">
        <v>2030</v>
      </c>
      <c r="J254" s="172"/>
      <c r="K254" s="172"/>
      <c r="L254" s="172"/>
      <c r="M254" s="172"/>
      <c r="N254" s="172"/>
      <c r="O254" s="172"/>
      <c r="P254" s="230">
        <v>46328</v>
      </c>
      <c r="Q254" s="230">
        <v>46387</v>
      </c>
      <c r="R254" s="172"/>
      <c r="S254" s="192">
        <v>43</v>
      </c>
      <c r="T254" s="192">
        <v>0</v>
      </c>
      <c r="U254" s="192">
        <v>43</v>
      </c>
      <c r="V254" s="192">
        <v>0</v>
      </c>
      <c r="W254" s="191"/>
      <c r="X254" s="191"/>
      <c r="Y254" s="193"/>
      <c r="Z254" s="194">
        <v>0</v>
      </c>
      <c r="AA254" s="192"/>
      <c r="AB254" s="222" t="s">
        <v>2023</v>
      </c>
      <c r="AC254" s="244" t="s">
        <v>1722</v>
      </c>
      <c r="AD254" s="195">
        <v>0</v>
      </c>
      <c r="AE254" s="198">
        <v>0</v>
      </c>
      <c r="AF254" s="170"/>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t="str">
        <f>" " &amp; TEXT(AE254,"#0.00%") &amp; " "</f>
        <v xml:space="preserve"> 0.00% </v>
      </c>
      <c r="BF254" s="171"/>
      <c r="BG254" s="171"/>
      <c r="BH254" s="171"/>
      <c r="BI254" s="171"/>
      <c r="BJ254" s="171"/>
      <c r="BK254" s="171"/>
      <c r="BL254" s="171"/>
      <c r="BM254" s="171" t="str">
        <f>"     " &amp; "설정" &amp; "(한주형)" &amp; " " &amp; IF(P254="","",TEXT(P254,"M/D-")) &amp; IF(Q254="","",TEXT(Q254,"M/D")) &amp; " "</f>
        <v xml:space="preserve">     설정(한주형) 11/2-12/31 </v>
      </c>
      <c r="BN254" s="171"/>
      <c r="BO254" s="171"/>
      <c r="BP254" s="171"/>
      <c r="BQ254" s="171"/>
      <c r="BR254" s="171"/>
      <c r="BS254" s="171"/>
      <c r="BT254" s="171"/>
      <c r="BU254" s="171"/>
      <c r="BV254" s="171"/>
      <c r="BW254" s="171"/>
      <c r="BX254" s="171"/>
      <c r="BY254" s="171"/>
      <c r="BZ254" s="171"/>
      <c r="CA254" s="171"/>
      <c r="CB254" s="171"/>
      <c r="CC254" s="171"/>
      <c r="CD254" s="171"/>
      <c r="CE254" s="171"/>
      <c r="CF254" s="171"/>
      <c r="CG254" s="171"/>
      <c r="CH254" s="171"/>
    </row>
    <row r="255" spans="1:86" ht="12" customHeight="1" outlineLevel="4">
      <c r="A255" s="189"/>
      <c r="B255" s="189"/>
      <c r="C255" s="189">
        <v>5</v>
      </c>
      <c r="D255" s="190" t="s">
        <v>1964</v>
      </c>
      <c r="E255" s="172"/>
      <c r="F255" s="172"/>
      <c r="G255" s="172"/>
      <c r="H255" s="172"/>
      <c r="I255" s="172" t="s">
        <v>1861</v>
      </c>
      <c r="J255" s="172"/>
      <c r="K255" s="172"/>
      <c r="L255" s="172"/>
      <c r="M255" s="172"/>
      <c r="N255" s="172"/>
      <c r="O255" s="172"/>
      <c r="P255" s="230"/>
      <c r="Q255" s="191"/>
      <c r="R255" s="172"/>
      <c r="S255" s="192">
        <v>0</v>
      </c>
      <c r="T255" s="192">
        <v>0</v>
      </c>
      <c r="U255" s="192">
        <v>0</v>
      </c>
      <c r="V255" s="192">
        <v>0</v>
      </c>
      <c r="W255" s="191"/>
      <c r="X255" s="191"/>
      <c r="Y255" s="193">
        <v>0</v>
      </c>
      <c r="Z255" s="194">
        <v>0</v>
      </c>
      <c r="AA255" s="192"/>
      <c r="AB255" s="222"/>
      <c r="AC255" s="244"/>
      <c r="AD255" s="195">
        <v>0</v>
      </c>
      <c r="AE255" s="246">
        <v>0</v>
      </c>
      <c r="AF255" s="170"/>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71"/>
      <c r="CE255" s="171"/>
      <c r="CF255" s="171"/>
      <c r="CG255" s="171"/>
      <c r="CH255" s="171"/>
    </row>
    <row r="256" spans="1:86" ht="12" customHeight="1" outlineLevel="4">
      <c r="A256" s="189"/>
      <c r="B256" s="189"/>
      <c r="C256" s="189">
        <v>5</v>
      </c>
      <c r="D256" s="190" t="s">
        <v>1965</v>
      </c>
      <c r="E256" s="172"/>
      <c r="F256" s="172"/>
      <c r="G256" s="172"/>
      <c r="H256" s="172"/>
      <c r="I256" s="172" t="s">
        <v>1918</v>
      </c>
      <c r="J256" s="172"/>
      <c r="K256" s="172"/>
      <c r="L256" s="172"/>
      <c r="M256" s="172"/>
      <c r="N256" s="172"/>
      <c r="O256" s="172"/>
      <c r="P256" s="191">
        <v>46391</v>
      </c>
      <c r="Q256" s="191">
        <v>46416</v>
      </c>
      <c r="R256" s="172"/>
      <c r="S256" s="192">
        <v>20</v>
      </c>
      <c r="T256" s="192">
        <v>0</v>
      </c>
      <c r="U256" s="192">
        <v>20</v>
      </c>
      <c r="V256" s="192">
        <v>0</v>
      </c>
      <c r="W256" s="191"/>
      <c r="X256" s="191"/>
      <c r="Y256" s="193"/>
      <c r="Z256" s="194">
        <v>0</v>
      </c>
      <c r="AA256" s="192"/>
      <c r="AB256" s="222" t="s">
        <v>2019</v>
      </c>
      <c r="AC256" s="244" t="s">
        <v>1722</v>
      </c>
      <c r="AD256" s="195">
        <v>0</v>
      </c>
      <c r="AE256" s="198">
        <v>0</v>
      </c>
      <c r="AF256" s="170"/>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t="str">
        <f>" " &amp; TEXT(AE256,"#0.00%") &amp; " "</f>
        <v xml:space="preserve"> 0.00% </v>
      </c>
      <c r="BO256" s="171"/>
      <c r="BP256" s="171"/>
      <c r="BQ256" s="171" t="str">
        <f>"      " &amp; "판매채널" &amp; "(이인호)" &amp; " " &amp; IF(P256="","",TEXT(P256,"M/D-")) &amp; IF(Q256="","",TEXT(Q256,"M/D")) &amp; " "</f>
        <v xml:space="preserve">      판매채널(이인호) 1/4-1/29 </v>
      </c>
      <c r="BR256" s="171"/>
      <c r="BS256" s="171"/>
      <c r="BT256" s="171"/>
      <c r="BU256" s="171"/>
      <c r="BV256" s="171"/>
      <c r="BW256" s="171"/>
      <c r="BX256" s="171"/>
      <c r="BY256" s="171"/>
      <c r="BZ256" s="171"/>
      <c r="CA256" s="171"/>
      <c r="CB256" s="171"/>
      <c r="CC256" s="171"/>
      <c r="CD256" s="171"/>
      <c r="CE256" s="171"/>
      <c r="CF256" s="171"/>
      <c r="CG256" s="171"/>
      <c r="CH256" s="171"/>
    </row>
    <row r="257" spans="1:86" ht="12" customHeight="1" outlineLevel="4">
      <c r="A257" s="189"/>
      <c r="B257" s="189"/>
      <c r="C257" s="189">
        <v>5</v>
      </c>
      <c r="D257" s="190" t="s">
        <v>1966</v>
      </c>
      <c r="E257" s="172"/>
      <c r="F257" s="172"/>
      <c r="G257" s="172"/>
      <c r="H257" s="172"/>
      <c r="I257" s="172" t="s">
        <v>2071</v>
      </c>
      <c r="J257" s="172"/>
      <c r="K257" s="172"/>
      <c r="L257" s="172"/>
      <c r="M257" s="172"/>
      <c r="N257" s="172"/>
      <c r="O257" s="172"/>
      <c r="P257" s="230">
        <v>46301</v>
      </c>
      <c r="Q257" s="191">
        <v>46418</v>
      </c>
      <c r="R257" s="172"/>
      <c r="S257" s="192">
        <v>81</v>
      </c>
      <c r="T257" s="192">
        <v>0</v>
      </c>
      <c r="U257" s="192">
        <v>81</v>
      </c>
      <c r="V257" s="192">
        <v>0</v>
      </c>
      <c r="W257" s="191"/>
      <c r="X257" s="191"/>
      <c r="Y257" s="193"/>
      <c r="Z257" s="194">
        <v>0</v>
      </c>
      <c r="AA257" s="192"/>
      <c r="AB257" s="222" t="s">
        <v>1772</v>
      </c>
      <c r="AC257" s="223" t="s">
        <v>1722</v>
      </c>
      <c r="AD257" s="195">
        <v>0</v>
      </c>
      <c r="AE257" s="198">
        <v>0</v>
      </c>
      <c r="AF257" s="170"/>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t="str">
        <f>"  " &amp; TEXT(AE257,"#0.00%") &amp; " "</f>
        <v xml:space="preserve">  0.00% </v>
      </c>
      <c r="BB257" s="171"/>
      <c r="BC257" s="171"/>
      <c r="BD257" s="171"/>
      <c r="BE257" s="171"/>
      <c r="BF257" s="171"/>
      <c r="BG257" s="171"/>
      <c r="BH257" s="171"/>
      <c r="BI257" s="171"/>
      <c r="BJ257" s="171"/>
      <c r="BK257" s="171"/>
      <c r="BL257" s="171"/>
      <c r="BM257" s="171"/>
      <c r="BN257" s="171"/>
      <c r="BO257" s="171"/>
      <c r="BP257" s="171"/>
      <c r="BQ257" s="171"/>
      <c r="BR257" s="171" t="str">
        <f>" " &amp; "현장운영시스템(OO)" &amp; "(FO 개발PL)" &amp; " " &amp; IF(P257="","",TEXT(P257,"M/D-")) &amp; IF(Q257="","",TEXT(Q257,"M/D")) &amp; " "</f>
        <v xml:space="preserve"> 현장운영시스템(OO)(FO 개발PL) 10/6-1/31 </v>
      </c>
      <c r="BS257" s="171"/>
      <c r="BT257" s="171"/>
      <c r="BU257" s="171"/>
      <c r="BV257" s="171"/>
      <c r="BW257" s="171"/>
      <c r="BX257" s="171"/>
      <c r="BY257" s="171"/>
      <c r="BZ257" s="171"/>
      <c r="CA257" s="171"/>
      <c r="CB257" s="171"/>
      <c r="CC257" s="171"/>
      <c r="CD257" s="171"/>
      <c r="CE257" s="171"/>
      <c r="CF257" s="171"/>
      <c r="CG257" s="171"/>
      <c r="CH257" s="171"/>
    </row>
    <row r="258" spans="1:86" ht="12" customHeight="1" outlineLevel="4">
      <c r="A258" s="189"/>
      <c r="B258" s="189"/>
      <c r="C258" s="189">
        <v>5</v>
      </c>
      <c r="D258" s="190" t="s">
        <v>1967</v>
      </c>
      <c r="E258" s="172"/>
      <c r="F258" s="172"/>
      <c r="G258" s="172"/>
      <c r="H258" s="172"/>
      <c r="I258" s="172" t="s">
        <v>2073</v>
      </c>
      <c r="J258" s="172"/>
      <c r="K258" s="172"/>
      <c r="L258" s="172"/>
      <c r="M258" s="172"/>
      <c r="N258" s="172"/>
      <c r="O258" s="172"/>
      <c r="P258" s="230">
        <v>46301</v>
      </c>
      <c r="Q258" s="191">
        <v>46418</v>
      </c>
      <c r="R258" s="172"/>
      <c r="S258" s="192">
        <v>81</v>
      </c>
      <c r="T258" s="192">
        <v>0</v>
      </c>
      <c r="U258" s="192">
        <v>81</v>
      </c>
      <c r="V258" s="192">
        <v>0</v>
      </c>
      <c r="W258" s="191"/>
      <c r="X258" s="191"/>
      <c r="Y258" s="193"/>
      <c r="Z258" s="194">
        <v>0</v>
      </c>
      <c r="AA258" s="192"/>
      <c r="AB258" s="222" t="s">
        <v>1772</v>
      </c>
      <c r="AC258" s="223" t="s">
        <v>1722</v>
      </c>
      <c r="AD258" s="195">
        <v>0</v>
      </c>
      <c r="AE258" s="198">
        <v>0</v>
      </c>
      <c r="AF258" s="170"/>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t="str">
        <f>"  " &amp; TEXT(AE258,"#0.00%") &amp; " "</f>
        <v xml:space="preserve">  0.00% </v>
      </c>
      <c r="BB258" s="171"/>
      <c r="BC258" s="171"/>
      <c r="BD258" s="171"/>
      <c r="BE258" s="171"/>
      <c r="BF258" s="171"/>
      <c r="BG258" s="171"/>
      <c r="BH258" s="171"/>
      <c r="BI258" s="171"/>
      <c r="BJ258" s="171"/>
      <c r="BK258" s="171"/>
      <c r="BL258" s="171"/>
      <c r="BM258" s="171"/>
      <c r="BN258" s="171"/>
      <c r="BO258" s="171"/>
      <c r="BP258" s="171"/>
      <c r="BQ258" s="171"/>
      <c r="BR258" s="171" t="str">
        <f>" " &amp; "리무진현장시스템(OO-K)" &amp; "(FO 개발PL)" &amp; " " &amp; IF(P258="","",TEXT(P258,"M/D-")) &amp; IF(Q258="","",TEXT(Q258,"M/D")) &amp; " "</f>
        <v xml:space="preserve"> 리무진현장시스템(OO-K)(FO 개발PL) 10/6-1/31 </v>
      </c>
      <c r="BS258" s="171"/>
      <c r="BT258" s="171"/>
      <c r="BU258" s="171"/>
      <c r="BV258" s="171"/>
      <c r="BW258" s="171"/>
      <c r="BX258" s="171"/>
      <c r="BY258" s="171"/>
      <c r="BZ258" s="171"/>
      <c r="CA258" s="171"/>
      <c r="CB258" s="171"/>
      <c r="CC258" s="171"/>
      <c r="CD258" s="171"/>
      <c r="CE258" s="171"/>
      <c r="CF258" s="171"/>
      <c r="CG258" s="171"/>
      <c r="CH258" s="171"/>
    </row>
    <row r="259" spans="1:86" ht="12" customHeight="1" outlineLevel="3">
      <c r="A259" s="189"/>
      <c r="B259" s="189" t="s">
        <v>1387</v>
      </c>
      <c r="C259" s="189">
        <v>4</v>
      </c>
      <c r="D259" s="190" t="s">
        <v>1969</v>
      </c>
      <c r="E259" s="172"/>
      <c r="F259" s="172"/>
      <c r="G259" s="172"/>
      <c r="H259" s="172" t="s">
        <v>1673</v>
      </c>
      <c r="I259" s="172"/>
      <c r="J259" s="172"/>
      <c r="K259" s="172"/>
      <c r="L259" s="172"/>
      <c r="M259" s="172"/>
      <c r="N259" s="172"/>
      <c r="O259" s="172"/>
      <c r="P259" s="230">
        <v>46296</v>
      </c>
      <c r="Q259" s="230">
        <v>46446</v>
      </c>
      <c r="R259" s="172"/>
      <c r="S259" s="192">
        <v>1103</v>
      </c>
      <c r="T259" s="192">
        <v>0</v>
      </c>
      <c r="U259" s="192">
        <v>101</v>
      </c>
      <c r="V259" s="192">
        <v>0</v>
      </c>
      <c r="W259" s="191"/>
      <c r="X259" s="191"/>
      <c r="Y259" s="193">
        <v>0</v>
      </c>
      <c r="Z259" s="194">
        <v>0</v>
      </c>
      <c r="AA259" s="192"/>
      <c r="AB259" s="222"/>
      <c r="AC259" s="223"/>
      <c r="AD259" s="195">
        <v>0</v>
      </c>
      <c r="AE259" s="197">
        <v>0</v>
      </c>
      <c r="AF259" s="170"/>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t="str">
        <f>"    " &amp; TEXT(AE259,"#0.00%") &amp; " "</f>
        <v xml:space="preserve">    0.00% </v>
      </c>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t="str">
        <f>" " &amp; "Back Office 개발" &amp; " " &amp; IF(P259="","",TEXT(P259,"M/D-")) &amp; IF(Q259="","",TEXT(Q259,"M/D")) &amp; " "</f>
        <v xml:space="preserve"> Back Office 개발 10/1-2/28 </v>
      </c>
      <c r="BW259" s="171"/>
      <c r="BX259" s="171"/>
      <c r="BY259" s="171"/>
      <c r="BZ259" s="171"/>
      <c r="CA259" s="171"/>
      <c r="CB259" s="171"/>
      <c r="CC259" s="171"/>
      <c r="CD259" s="171"/>
      <c r="CE259" s="171"/>
      <c r="CF259" s="171"/>
      <c r="CG259" s="171"/>
      <c r="CH259" s="171"/>
    </row>
    <row r="260" spans="1:86" ht="12" customHeight="1" outlineLevel="4">
      <c r="A260" s="189"/>
      <c r="B260" s="189"/>
      <c r="C260" s="189">
        <v>5</v>
      </c>
      <c r="D260" s="190" t="s">
        <v>2032</v>
      </c>
      <c r="E260" s="172"/>
      <c r="F260" s="172"/>
      <c r="G260" s="172"/>
      <c r="H260" s="172"/>
      <c r="I260" s="172" t="s">
        <v>1905</v>
      </c>
      <c r="J260" s="172"/>
      <c r="K260" s="172"/>
      <c r="L260" s="172"/>
      <c r="M260" s="172"/>
      <c r="N260" s="172"/>
      <c r="O260" s="172"/>
      <c r="P260" s="230">
        <v>46402</v>
      </c>
      <c r="Q260" s="191">
        <v>46446</v>
      </c>
      <c r="R260" s="172"/>
      <c r="S260" s="192">
        <v>29</v>
      </c>
      <c r="T260" s="192">
        <v>0</v>
      </c>
      <c r="U260" s="192">
        <v>29</v>
      </c>
      <c r="V260" s="192">
        <v>0</v>
      </c>
      <c r="W260" s="191"/>
      <c r="X260" s="191"/>
      <c r="Y260" s="193"/>
      <c r="Z260" s="194">
        <v>0</v>
      </c>
      <c r="AA260" s="192"/>
      <c r="AB260" s="222" t="s">
        <v>2023</v>
      </c>
      <c r="AC260" s="223" t="s">
        <v>1722</v>
      </c>
      <c r="AD260" s="195">
        <v>0</v>
      </c>
      <c r="AE260" s="198">
        <v>0</v>
      </c>
      <c r="AF260" s="170"/>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t="str">
        <f>"     " &amp; TEXT(AE260,"#0.00%") &amp; " "</f>
        <v xml:space="preserve">     0.00% </v>
      </c>
      <c r="BP260" s="171"/>
      <c r="BQ260" s="171"/>
      <c r="BR260" s="171"/>
      <c r="BS260" s="171"/>
      <c r="BT260" s="171"/>
      <c r="BU260" s="171"/>
      <c r="BV260" s="171" t="str">
        <f>" " &amp; "메인(대시보드)" &amp; "(한주형)" &amp; " " &amp; IF(P260="","",TEXT(P260,"M/D-")) &amp; IF(Q260="","",TEXT(Q260,"M/D")) &amp; " "</f>
        <v xml:space="preserve"> 메인(대시보드)(한주형) 1/15-2/28 </v>
      </c>
      <c r="BW260" s="171"/>
      <c r="BX260" s="171"/>
      <c r="BY260" s="171"/>
      <c r="BZ260" s="171"/>
      <c r="CA260" s="171"/>
      <c r="CB260" s="171"/>
      <c r="CC260" s="171"/>
      <c r="CD260" s="171"/>
      <c r="CE260" s="171"/>
      <c r="CF260" s="171"/>
      <c r="CG260" s="171"/>
      <c r="CH260" s="171"/>
    </row>
    <row r="261" spans="1:86" ht="12" customHeight="1" outlineLevel="4">
      <c r="A261" s="189"/>
      <c r="B261" s="189"/>
      <c r="C261" s="189">
        <v>5</v>
      </c>
      <c r="D261" s="190" t="s">
        <v>2033</v>
      </c>
      <c r="E261" s="172"/>
      <c r="F261" s="172"/>
      <c r="G261" s="172"/>
      <c r="H261" s="172"/>
      <c r="I261" s="172" t="s">
        <v>1920</v>
      </c>
      <c r="J261" s="172"/>
      <c r="K261" s="172"/>
      <c r="L261" s="172"/>
      <c r="M261" s="172"/>
      <c r="N261" s="172"/>
      <c r="O261" s="172"/>
      <c r="P261" s="230">
        <v>46301</v>
      </c>
      <c r="Q261" s="230">
        <v>46387</v>
      </c>
      <c r="R261" s="172"/>
      <c r="S261" s="192">
        <v>122</v>
      </c>
      <c r="T261" s="192">
        <v>0</v>
      </c>
      <c r="U261" s="192">
        <v>61</v>
      </c>
      <c r="V261" s="192">
        <v>0</v>
      </c>
      <c r="W261" s="191"/>
      <c r="X261" s="191"/>
      <c r="Y261" s="193"/>
      <c r="Z261" s="194">
        <v>0</v>
      </c>
      <c r="AA261" s="192"/>
      <c r="AB261" s="222" t="s">
        <v>2016</v>
      </c>
      <c r="AC261" s="223" t="s">
        <v>1722</v>
      </c>
      <c r="AD261" s="195">
        <v>0</v>
      </c>
      <c r="AE261" s="198">
        <v>0</v>
      </c>
      <c r="AF261" s="170"/>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t="str">
        <f>"  " &amp; TEXT(AE261,"#0.00%") &amp; " "</f>
        <v xml:space="preserve">  0.00% </v>
      </c>
      <c r="BB261" s="171"/>
      <c r="BC261" s="171"/>
      <c r="BD261" s="171"/>
      <c r="BE261" s="171"/>
      <c r="BF261" s="171"/>
      <c r="BG261" s="171"/>
      <c r="BH261" s="171"/>
      <c r="BI261" s="171"/>
      <c r="BJ261" s="171"/>
      <c r="BK261" s="171"/>
      <c r="BL261" s="171"/>
      <c r="BM261" s="171" t="str">
        <f>"     " &amp; "공통" &amp; "(박지만, 최선)" &amp; " " &amp; IF(P261="","",TEXT(P261,"M/D-")) &amp; IF(Q261="","",TEXT(Q261,"M/D")) &amp; " "</f>
        <v xml:space="preserve">     공통(박지만, 최선) 10/6-12/31 </v>
      </c>
      <c r="BN261" s="171"/>
      <c r="BO261" s="171"/>
      <c r="BP261" s="171"/>
      <c r="BQ261" s="171"/>
      <c r="BR261" s="171"/>
      <c r="BS261" s="171"/>
      <c r="BT261" s="171"/>
      <c r="BU261" s="171"/>
      <c r="BV261" s="171"/>
      <c r="BW261" s="171"/>
      <c r="BX261" s="171"/>
      <c r="BY261" s="171"/>
      <c r="BZ261" s="171"/>
      <c r="CA261" s="171"/>
      <c r="CB261" s="171"/>
      <c r="CC261" s="171"/>
      <c r="CD261" s="171"/>
      <c r="CE261" s="171"/>
      <c r="CF261" s="171"/>
      <c r="CG261" s="171"/>
      <c r="CH261" s="171"/>
    </row>
    <row r="262" spans="1:86" ht="12" customHeight="1" outlineLevel="4">
      <c r="A262" s="189"/>
      <c r="B262" s="189"/>
      <c r="C262" s="189">
        <v>5</v>
      </c>
      <c r="D262" s="190" t="s">
        <v>2034</v>
      </c>
      <c r="E262" s="172"/>
      <c r="F262" s="172"/>
      <c r="G262" s="172"/>
      <c r="H262" s="172"/>
      <c r="I262" s="172" t="s">
        <v>1921</v>
      </c>
      <c r="J262" s="172"/>
      <c r="K262" s="172"/>
      <c r="L262" s="172"/>
      <c r="M262" s="172"/>
      <c r="N262" s="172"/>
      <c r="O262" s="172"/>
      <c r="P262" s="230">
        <v>46296</v>
      </c>
      <c r="Q262" s="230">
        <v>46387</v>
      </c>
      <c r="R262" s="172"/>
      <c r="S262" s="192">
        <v>63</v>
      </c>
      <c r="T262" s="192">
        <v>0</v>
      </c>
      <c r="U262" s="192">
        <v>63</v>
      </c>
      <c r="V262" s="192">
        <v>0</v>
      </c>
      <c r="W262" s="191"/>
      <c r="X262" s="191"/>
      <c r="Y262" s="193"/>
      <c r="Z262" s="194">
        <v>0</v>
      </c>
      <c r="AA262" s="192"/>
      <c r="AB262" s="222" t="s">
        <v>2019</v>
      </c>
      <c r="AC262" s="223" t="s">
        <v>1722</v>
      </c>
      <c r="AD262" s="195">
        <v>0</v>
      </c>
      <c r="AE262" s="198">
        <v>0</v>
      </c>
      <c r="AF262" s="170"/>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t="str">
        <f>"    " &amp; TEXT(AE262,"#0.00%") &amp; " "</f>
        <v xml:space="preserve">    0.00% </v>
      </c>
      <c r="BA262" s="171"/>
      <c r="BB262" s="171"/>
      <c r="BC262" s="171"/>
      <c r="BD262" s="171"/>
      <c r="BE262" s="171"/>
      <c r="BF262" s="171"/>
      <c r="BG262" s="171"/>
      <c r="BH262" s="171"/>
      <c r="BI262" s="171"/>
      <c r="BJ262" s="171"/>
      <c r="BK262" s="171"/>
      <c r="BL262" s="171"/>
      <c r="BM262" s="171" t="str">
        <f>"     " &amp; "회원 관리" &amp; "(이인호)" &amp; " " &amp; IF(P262="","",TEXT(P262,"M/D-")) &amp; IF(Q262="","",TEXT(Q262,"M/D")) &amp; " "</f>
        <v xml:space="preserve">     회원 관리(이인호) 10/1-12/31 </v>
      </c>
      <c r="BN262" s="171"/>
      <c r="BO262" s="171"/>
      <c r="BP262" s="171"/>
      <c r="BQ262" s="171"/>
      <c r="BR262" s="171"/>
      <c r="BS262" s="171"/>
      <c r="BT262" s="171"/>
      <c r="BU262" s="171"/>
      <c r="BV262" s="171"/>
      <c r="BW262" s="171"/>
      <c r="BX262" s="171"/>
      <c r="BY262" s="171"/>
      <c r="BZ262" s="171"/>
      <c r="CA262" s="171"/>
      <c r="CB262" s="171"/>
      <c r="CC262" s="171"/>
      <c r="CD262" s="171"/>
      <c r="CE262" s="171"/>
      <c r="CF262" s="171"/>
      <c r="CG262" s="171"/>
      <c r="CH262" s="171"/>
    </row>
    <row r="263" spans="1:86" ht="12" customHeight="1" outlineLevel="4">
      <c r="A263" s="189"/>
      <c r="B263" s="189"/>
      <c r="C263" s="189">
        <v>5</v>
      </c>
      <c r="D263" s="190" t="s">
        <v>2035</v>
      </c>
      <c r="E263" s="172"/>
      <c r="F263" s="172"/>
      <c r="G263" s="172"/>
      <c r="H263" s="172"/>
      <c r="I263" s="172" t="s">
        <v>1922</v>
      </c>
      <c r="J263" s="172"/>
      <c r="K263" s="172"/>
      <c r="L263" s="172"/>
      <c r="M263" s="172"/>
      <c r="N263" s="172"/>
      <c r="O263" s="172"/>
      <c r="P263" s="230">
        <v>46328</v>
      </c>
      <c r="Q263" s="230">
        <v>46387</v>
      </c>
      <c r="R263" s="172"/>
      <c r="S263" s="192">
        <v>86</v>
      </c>
      <c r="T263" s="192">
        <v>0</v>
      </c>
      <c r="U263" s="192">
        <v>43</v>
      </c>
      <c r="V263" s="192">
        <v>0</v>
      </c>
      <c r="W263" s="191"/>
      <c r="X263" s="191"/>
      <c r="Y263" s="193"/>
      <c r="Z263" s="194">
        <v>0</v>
      </c>
      <c r="AA263" s="192"/>
      <c r="AB263" s="222" t="s">
        <v>2036</v>
      </c>
      <c r="AC263" s="223" t="s">
        <v>1722</v>
      </c>
      <c r="AD263" s="195">
        <v>0</v>
      </c>
      <c r="AE263" s="198">
        <v>0</v>
      </c>
      <c r="AF263" s="170"/>
      <c r="AG263" s="171"/>
      <c r="AH263" s="171"/>
      <c r="AI263" s="171"/>
      <c r="AJ263" s="171"/>
      <c r="AK263" s="171"/>
      <c r="AL263" s="171"/>
      <c r="AM263" s="171"/>
      <c r="AN263" s="171"/>
      <c r="AO263" s="171"/>
      <c r="AP263" s="171"/>
      <c r="AQ263" s="171"/>
      <c r="AR263" s="171"/>
      <c r="AS263" s="171"/>
      <c r="AT263" s="171"/>
      <c r="AU263" s="171"/>
      <c r="AV263" s="171"/>
      <c r="AW263" s="171"/>
      <c r="AX263" s="171"/>
      <c r="AY263" s="171"/>
      <c r="AZ263" s="171"/>
      <c r="BA263" s="171"/>
      <c r="BB263" s="171"/>
      <c r="BC263" s="171"/>
      <c r="BD263" s="171"/>
      <c r="BE263" s="171" t="str">
        <f>" " &amp; TEXT(AE263,"#0.00%") &amp; " "</f>
        <v xml:space="preserve"> 0.00% </v>
      </c>
      <c r="BF263" s="171"/>
      <c r="BG263" s="171"/>
      <c r="BH263" s="171"/>
      <c r="BI263" s="171"/>
      <c r="BJ263" s="171"/>
      <c r="BK263" s="171"/>
      <c r="BL263" s="171"/>
      <c r="BM263" s="171" t="str">
        <f>"     " &amp; "기준정보 관리" &amp; "(정진형, 이인호)" &amp; " " &amp; IF(P263="","",TEXT(P263,"M/D-")) &amp; IF(Q263="","",TEXT(Q263,"M/D")) &amp; " "</f>
        <v xml:space="preserve">     기준정보 관리(정진형, 이인호) 11/2-12/31 </v>
      </c>
      <c r="BN263" s="171"/>
      <c r="BO263" s="171"/>
      <c r="BP263" s="171"/>
      <c r="BQ263" s="171"/>
      <c r="BR263" s="171"/>
      <c r="BS263" s="171"/>
      <c r="BT263" s="171"/>
      <c r="BU263" s="171"/>
      <c r="BV263" s="171"/>
      <c r="BW263" s="171"/>
      <c r="BX263" s="171"/>
      <c r="BY263" s="171"/>
      <c r="BZ263" s="171"/>
      <c r="CA263" s="171"/>
      <c r="CB263" s="171"/>
      <c r="CC263" s="171"/>
      <c r="CD263" s="171"/>
      <c r="CE263" s="171"/>
      <c r="CF263" s="171"/>
      <c r="CG263" s="171"/>
      <c r="CH263" s="171"/>
    </row>
    <row r="264" spans="1:86" ht="12" customHeight="1" outlineLevel="4">
      <c r="A264" s="189"/>
      <c r="B264" s="189"/>
      <c r="C264" s="189">
        <v>5</v>
      </c>
      <c r="D264" s="190" t="s">
        <v>2037</v>
      </c>
      <c r="E264" s="172"/>
      <c r="F264" s="172"/>
      <c r="G264" s="172"/>
      <c r="H264" s="172"/>
      <c r="I264" s="172" t="s">
        <v>1923</v>
      </c>
      <c r="J264" s="172"/>
      <c r="K264" s="172"/>
      <c r="L264" s="172"/>
      <c r="M264" s="172"/>
      <c r="N264" s="172"/>
      <c r="O264" s="172"/>
      <c r="P264" s="230">
        <v>46328</v>
      </c>
      <c r="Q264" s="230">
        <v>46387</v>
      </c>
      <c r="R264" s="172"/>
      <c r="S264" s="192">
        <v>43</v>
      </c>
      <c r="T264" s="192">
        <v>0</v>
      </c>
      <c r="U264" s="192">
        <v>43</v>
      </c>
      <c r="V264" s="192">
        <v>0</v>
      </c>
      <c r="W264" s="191"/>
      <c r="X264" s="191"/>
      <c r="Y264" s="193"/>
      <c r="Z264" s="194">
        <v>0</v>
      </c>
      <c r="AA264" s="192"/>
      <c r="AB264" s="222" t="s">
        <v>2021</v>
      </c>
      <c r="AC264" s="223" t="s">
        <v>1722</v>
      </c>
      <c r="AD264" s="195">
        <v>0</v>
      </c>
      <c r="AE264" s="198">
        <v>0</v>
      </c>
      <c r="AF264" s="170"/>
      <c r="AG264" s="171"/>
      <c r="AH264" s="171"/>
      <c r="AI264" s="171"/>
      <c r="AJ264" s="171"/>
      <c r="AK264" s="171"/>
      <c r="AL264" s="171"/>
      <c r="AM264" s="171"/>
      <c r="AN264" s="171"/>
      <c r="AO264" s="171"/>
      <c r="AP264" s="171"/>
      <c r="AQ264" s="171"/>
      <c r="AR264" s="171"/>
      <c r="AS264" s="171"/>
      <c r="AT264" s="171"/>
      <c r="AU264" s="171"/>
      <c r="AV264" s="171"/>
      <c r="AW264" s="171"/>
      <c r="AX264" s="171"/>
      <c r="AY264" s="171"/>
      <c r="AZ264" s="171"/>
      <c r="BA264" s="171"/>
      <c r="BB264" s="171"/>
      <c r="BC264" s="171"/>
      <c r="BD264" s="171"/>
      <c r="BE264" s="171" t="str">
        <f>" " &amp; TEXT(AE264,"#0.00%") &amp; " "</f>
        <v xml:space="preserve"> 0.00% </v>
      </c>
      <c r="BF264" s="171"/>
      <c r="BG264" s="171"/>
      <c r="BH264" s="171"/>
      <c r="BI264" s="171"/>
      <c r="BJ264" s="171"/>
      <c r="BK264" s="171"/>
      <c r="BL264" s="171"/>
      <c r="BM264" s="171" t="str">
        <f>"     " &amp; "제휴•사용처관리" &amp; "(TBD_2)" &amp; " " &amp; IF(P264="","",TEXT(P264,"M/D-")) &amp; IF(Q264="","",TEXT(Q264,"M/D")) &amp; " "</f>
        <v xml:space="preserve">     제휴•사용처관리(TBD_2) 11/2-12/31 </v>
      </c>
      <c r="BN264" s="171"/>
      <c r="BO264" s="171"/>
      <c r="BP264" s="171"/>
      <c r="BQ264" s="171"/>
      <c r="BR264" s="171"/>
      <c r="BS264" s="171"/>
      <c r="BT264" s="171"/>
      <c r="BU264" s="171"/>
      <c r="BV264" s="171"/>
      <c r="BW264" s="171"/>
      <c r="BX264" s="171"/>
      <c r="BY264" s="171"/>
      <c r="BZ264" s="171"/>
      <c r="CA264" s="171"/>
      <c r="CB264" s="171"/>
      <c r="CC264" s="171"/>
      <c r="CD264" s="171"/>
      <c r="CE264" s="171"/>
      <c r="CF264" s="171"/>
      <c r="CG264" s="171"/>
      <c r="CH264" s="171"/>
    </row>
    <row r="265" spans="1:86" ht="12" customHeight="1" outlineLevel="4">
      <c r="A265" s="189"/>
      <c r="B265" s="189"/>
      <c r="C265" s="189">
        <v>5</v>
      </c>
      <c r="D265" s="190" t="s">
        <v>2038</v>
      </c>
      <c r="E265" s="172"/>
      <c r="F265" s="172"/>
      <c r="G265" s="172"/>
      <c r="H265" s="172"/>
      <c r="I265" s="172" t="s">
        <v>1924</v>
      </c>
      <c r="J265" s="172"/>
      <c r="K265" s="172"/>
      <c r="L265" s="172"/>
      <c r="M265" s="172"/>
      <c r="N265" s="172"/>
      <c r="O265" s="172"/>
      <c r="P265" s="230">
        <v>46328</v>
      </c>
      <c r="Q265" s="191">
        <v>46356</v>
      </c>
      <c r="R265" s="172"/>
      <c r="S265" s="192">
        <v>21</v>
      </c>
      <c r="T265" s="192">
        <v>0</v>
      </c>
      <c r="U265" s="192">
        <v>21</v>
      </c>
      <c r="V265" s="192">
        <v>0</v>
      </c>
      <c r="W265" s="191"/>
      <c r="X265" s="191"/>
      <c r="Y265" s="193"/>
      <c r="Z265" s="194">
        <v>0</v>
      </c>
      <c r="AA265" s="192"/>
      <c r="AB265" s="222" t="s">
        <v>2022</v>
      </c>
      <c r="AC265" s="223" t="s">
        <v>1722</v>
      </c>
      <c r="AD265" s="195">
        <v>0</v>
      </c>
      <c r="AE265" s="198">
        <v>0</v>
      </c>
      <c r="AF265" s="170"/>
      <c r="AG265" s="171"/>
      <c r="AH265" s="171"/>
      <c r="AI265" s="171"/>
      <c r="AJ265" s="171"/>
      <c r="AK265" s="171"/>
      <c r="AL265" s="171"/>
      <c r="AM265" s="171"/>
      <c r="AN265" s="171"/>
      <c r="AO265" s="171"/>
      <c r="AP265" s="171"/>
      <c r="AQ265" s="171"/>
      <c r="AR265" s="171"/>
      <c r="AS265" s="171"/>
      <c r="AT265" s="171"/>
      <c r="AU265" s="171"/>
      <c r="AV265" s="171"/>
      <c r="AW265" s="171"/>
      <c r="AX265" s="171"/>
      <c r="AY265" s="171"/>
      <c r="AZ265" s="171"/>
      <c r="BA265" s="171"/>
      <c r="BB265" s="171"/>
      <c r="BC265" s="171"/>
      <c r="BD265" s="171"/>
      <c r="BE265" s="171" t="str">
        <f>" " &amp; TEXT(AE265,"#0.00%") &amp; " "</f>
        <v xml:space="preserve"> 0.00% </v>
      </c>
      <c r="BF265" s="171"/>
      <c r="BG265" s="171"/>
      <c r="BH265" s="171"/>
      <c r="BI265" s="171" t="str">
        <f>"  " &amp; "상품관리" &amp; "(정진형)" &amp; " " &amp; IF(P265="","",TEXT(P265,"M/D-")) &amp; IF(Q265="","",TEXT(Q265,"M/D")) &amp; " "</f>
        <v xml:space="preserve">  상품관리(정진형) 11/2-11/30 </v>
      </c>
      <c r="BJ265" s="171"/>
      <c r="BK265" s="171"/>
      <c r="BL265" s="171"/>
      <c r="BM265" s="171"/>
      <c r="BN265" s="171"/>
      <c r="BO265" s="171"/>
      <c r="BP265" s="171"/>
      <c r="BQ265" s="171"/>
      <c r="BR265" s="171"/>
      <c r="BS265" s="171"/>
      <c r="BT265" s="171"/>
      <c r="BU265" s="171"/>
      <c r="BV265" s="171"/>
      <c r="BW265" s="171"/>
      <c r="BX265" s="171"/>
      <c r="BY265" s="171"/>
      <c r="BZ265" s="171"/>
      <c r="CA265" s="171"/>
      <c r="CB265" s="171"/>
      <c r="CC265" s="171"/>
      <c r="CD265" s="171"/>
      <c r="CE265" s="171"/>
      <c r="CF265" s="171"/>
      <c r="CG265" s="171"/>
      <c r="CH265" s="171"/>
    </row>
    <row r="266" spans="1:86" ht="12" customHeight="1" outlineLevel="4">
      <c r="A266" s="189"/>
      <c r="B266" s="189"/>
      <c r="C266" s="189">
        <v>5</v>
      </c>
      <c r="D266" s="190" t="s">
        <v>2039</v>
      </c>
      <c r="E266" s="172"/>
      <c r="F266" s="172"/>
      <c r="G266" s="172"/>
      <c r="H266" s="172"/>
      <c r="I266" s="172" t="s">
        <v>1925</v>
      </c>
      <c r="J266" s="172"/>
      <c r="K266" s="172"/>
      <c r="L266" s="172"/>
      <c r="M266" s="172"/>
      <c r="N266" s="172"/>
      <c r="O266" s="172"/>
      <c r="P266" s="230">
        <v>46328</v>
      </c>
      <c r="Q266" s="191">
        <v>46416</v>
      </c>
      <c r="R266" s="172"/>
      <c r="S266" s="192">
        <v>63</v>
      </c>
      <c r="T266" s="192">
        <v>0</v>
      </c>
      <c r="U266" s="192">
        <v>63</v>
      </c>
      <c r="V266" s="192">
        <v>0</v>
      </c>
      <c r="W266" s="191"/>
      <c r="X266" s="191"/>
      <c r="Y266" s="193"/>
      <c r="Z266" s="194">
        <v>0</v>
      </c>
      <c r="AA266" s="192"/>
      <c r="AB266" s="222" t="s">
        <v>2023</v>
      </c>
      <c r="AC266" s="223" t="s">
        <v>1722</v>
      </c>
      <c r="AD266" s="195">
        <v>0</v>
      </c>
      <c r="AE266" s="198">
        <v>0</v>
      </c>
      <c r="AF266" s="170"/>
      <c r="AG266" s="171"/>
      <c r="AH266" s="171"/>
      <c r="AI266" s="171"/>
      <c r="AJ266" s="171"/>
      <c r="AK266" s="171"/>
      <c r="AL266" s="171"/>
      <c r="AM266" s="171"/>
      <c r="AN266" s="171"/>
      <c r="AO266" s="171"/>
      <c r="AP266" s="171"/>
      <c r="AQ266" s="171"/>
      <c r="AR266" s="171"/>
      <c r="AS266" s="171"/>
      <c r="AT266" s="171"/>
      <c r="AU266" s="171"/>
      <c r="AV266" s="171"/>
      <c r="AW266" s="171"/>
      <c r="AX266" s="171"/>
      <c r="AY266" s="171"/>
      <c r="AZ266" s="171"/>
      <c r="BA266" s="171"/>
      <c r="BB266" s="171"/>
      <c r="BC266" s="171"/>
      <c r="BD266" s="171"/>
      <c r="BE266" s="171" t="str">
        <f>" " &amp; TEXT(AE266,"#0.00%") &amp; " "</f>
        <v xml:space="preserve"> 0.00% </v>
      </c>
      <c r="BF266" s="171"/>
      <c r="BG266" s="171"/>
      <c r="BH266" s="171"/>
      <c r="BI266" s="171"/>
      <c r="BJ266" s="171"/>
      <c r="BK266" s="171"/>
      <c r="BL266" s="171"/>
      <c r="BM266" s="171"/>
      <c r="BN266" s="171"/>
      <c r="BO266" s="171"/>
      <c r="BP266" s="171"/>
      <c r="BQ266" s="171" t="str">
        <f>"      " &amp; "제휴카드 관리" &amp; "(한주형)" &amp; " " &amp; IF(P266="","",TEXT(P266,"M/D-")) &amp; IF(Q266="","",TEXT(Q266,"M/D")) &amp; " "</f>
        <v xml:space="preserve">      제휴카드 관리(한주형) 11/2-1/29 </v>
      </c>
      <c r="BR266" s="171"/>
      <c r="BS266" s="171"/>
      <c r="BT266" s="171"/>
      <c r="BU266" s="171"/>
      <c r="BV266" s="171"/>
      <c r="BW266" s="171"/>
      <c r="BX266" s="171"/>
      <c r="BY266" s="171"/>
      <c r="BZ266" s="171"/>
      <c r="CA266" s="171"/>
      <c r="CB266" s="171"/>
      <c r="CC266" s="171"/>
      <c r="CD266" s="171"/>
      <c r="CE266" s="171"/>
      <c r="CF266" s="171"/>
      <c r="CG266" s="171"/>
      <c r="CH266" s="171"/>
    </row>
    <row r="267" spans="1:86" ht="12" customHeight="1" outlineLevel="4">
      <c r="A267" s="189"/>
      <c r="B267" s="189"/>
      <c r="C267" s="189">
        <v>5</v>
      </c>
      <c r="D267" s="190" t="s">
        <v>2040</v>
      </c>
      <c r="E267" s="172"/>
      <c r="F267" s="172"/>
      <c r="G267" s="172"/>
      <c r="H267" s="172"/>
      <c r="I267" s="172" t="s">
        <v>1926</v>
      </c>
      <c r="J267" s="172"/>
      <c r="K267" s="172"/>
      <c r="L267" s="172"/>
      <c r="M267" s="172"/>
      <c r="N267" s="172"/>
      <c r="O267" s="172"/>
      <c r="P267" s="230">
        <v>46328</v>
      </c>
      <c r="Q267" s="191">
        <v>46387</v>
      </c>
      <c r="R267" s="172"/>
      <c r="S267" s="192">
        <v>86</v>
      </c>
      <c r="T267" s="192">
        <v>0</v>
      </c>
      <c r="U267" s="192">
        <v>43</v>
      </c>
      <c r="V267" s="192">
        <v>0</v>
      </c>
      <c r="W267" s="191"/>
      <c r="X267" s="191"/>
      <c r="Y267" s="193"/>
      <c r="Z267" s="194">
        <v>0</v>
      </c>
      <c r="AA267" s="192"/>
      <c r="AB267" s="222" t="s">
        <v>2041</v>
      </c>
      <c r="AC267" s="223" t="s">
        <v>1722</v>
      </c>
      <c r="AD267" s="195">
        <v>0</v>
      </c>
      <c r="AE267" s="198">
        <v>0</v>
      </c>
      <c r="AF267" s="170"/>
      <c r="AG267" s="171"/>
      <c r="AH267" s="171"/>
      <c r="AI267" s="171"/>
      <c r="AJ267" s="171"/>
      <c r="AK267" s="171"/>
      <c r="AL267" s="171"/>
      <c r="AM267" s="171"/>
      <c r="AN267" s="171"/>
      <c r="AO267" s="171"/>
      <c r="AP267" s="171"/>
      <c r="AQ267" s="171"/>
      <c r="AR267" s="171"/>
      <c r="AS267" s="171"/>
      <c r="AT267" s="171"/>
      <c r="AU267" s="171"/>
      <c r="AV267" s="171"/>
      <c r="AW267" s="171"/>
      <c r="AX267" s="171"/>
      <c r="AY267" s="171"/>
      <c r="AZ267" s="171"/>
      <c r="BA267" s="171"/>
      <c r="BB267" s="171"/>
      <c r="BC267" s="171"/>
      <c r="BD267" s="171"/>
      <c r="BE267" s="171" t="str">
        <f>" " &amp; TEXT(AE267,"#0.00%") &amp; " "</f>
        <v xml:space="preserve"> 0.00% </v>
      </c>
      <c r="BF267" s="171"/>
      <c r="BG267" s="171"/>
      <c r="BH267" s="171"/>
      <c r="BI267" s="171"/>
      <c r="BJ267" s="171"/>
      <c r="BK267" s="171"/>
      <c r="BL267" s="171"/>
      <c r="BM267" s="171" t="str">
        <f>"     " &amp; "발행발송관리" &amp; "(정진형, 이승현)" &amp; " " &amp; IF(P267="","",TEXT(P267,"M/D-")) &amp; IF(Q267="","",TEXT(Q267,"M/D")) &amp; " "</f>
        <v xml:space="preserve">     발행발송관리(정진형, 이승현) 11/2-12/31 </v>
      </c>
      <c r="BN267" s="171"/>
      <c r="BO267" s="171"/>
      <c r="BP267" s="171"/>
      <c r="BQ267" s="171"/>
      <c r="BR267" s="171"/>
      <c r="BS267" s="171"/>
      <c r="BT267" s="171"/>
      <c r="BU267" s="171"/>
      <c r="BV267" s="171"/>
      <c r="BW267" s="171"/>
      <c r="BX267" s="171"/>
      <c r="BY267" s="171"/>
      <c r="BZ267" s="171"/>
      <c r="CA267" s="171"/>
      <c r="CB267" s="171"/>
      <c r="CC267" s="171"/>
      <c r="CD267" s="171"/>
      <c r="CE267" s="171"/>
      <c r="CF267" s="171"/>
      <c r="CG267" s="171"/>
      <c r="CH267" s="171"/>
    </row>
    <row r="268" spans="1:86" ht="12" customHeight="1" outlineLevel="4">
      <c r="A268" s="189"/>
      <c r="B268" s="189"/>
      <c r="C268" s="189">
        <v>5</v>
      </c>
      <c r="D268" s="190" t="s">
        <v>2042</v>
      </c>
      <c r="E268" s="172"/>
      <c r="F268" s="172"/>
      <c r="G268" s="172"/>
      <c r="H268" s="172"/>
      <c r="I268" s="172" t="s">
        <v>1927</v>
      </c>
      <c r="J268" s="172"/>
      <c r="K268" s="172"/>
      <c r="L268" s="172"/>
      <c r="M268" s="172"/>
      <c r="N268" s="172"/>
      <c r="O268" s="172"/>
      <c r="P268" s="230">
        <v>46328</v>
      </c>
      <c r="Q268" s="191">
        <v>46416</v>
      </c>
      <c r="R268" s="172"/>
      <c r="S268" s="192">
        <v>126</v>
      </c>
      <c r="T268" s="192">
        <v>0</v>
      </c>
      <c r="U268" s="192">
        <v>63</v>
      </c>
      <c r="V268" s="192">
        <v>0</v>
      </c>
      <c r="W268" s="191"/>
      <c r="X268" s="191"/>
      <c r="Y268" s="193"/>
      <c r="Z268" s="194">
        <v>0</v>
      </c>
      <c r="AA268" s="192"/>
      <c r="AB268" s="222" t="s">
        <v>2027</v>
      </c>
      <c r="AC268" s="223" t="s">
        <v>1722</v>
      </c>
      <c r="AD268" s="195">
        <v>0</v>
      </c>
      <c r="AE268" s="198">
        <v>0</v>
      </c>
      <c r="AF268" s="170"/>
      <c r="AG268" s="171"/>
      <c r="AH268" s="171"/>
      <c r="AI268" s="171"/>
      <c r="AJ268" s="171"/>
      <c r="AK268" s="171"/>
      <c r="AL268" s="171"/>
      <c r="AM268" s="171"/>
      <c r="AN268" s="171"/>
      <c r="AO268" s="171"/>
      <c r="AP268" s="171"/>
      <c r="AQ268" s="171"/>
      <c r="AR268" s="171"/>
      <c r="AS268" s="171"/>
      <c r="AT268" s="171"/>
      <c r="AU268" s="171"/>
      <c r="AV268" s="171"/>
      <c r="AW268" s="171"/>
      <c r="AX268" s="171"/>
      <c r="AY268" s="171"/>
      <c r="AZ268" s="171"/>
      <c r="BA268" s="171"/>
      <c r="BB268" s="171"/>
      <c r="BC268" s="171"/>
      <c r="BD268" s="171"/>
      <c r="BE268" s="171" t="str">
        <f>" " &amp; TEXT(AE268,"#0.00%") &amp; " "</f>
        <v xml:space="preserve"> 0.00% </v>
      </c>
      <c r="BF268" s="171"/>
      <c r="BG268" s="171"/>
      <c r="BH268" s="171"/>
      <c r="BI268" s="171"/>
      <c r="BJ268" s="171"/>
      <c r="BK268" s="171"/>
      <c r="BL268" s="171"/>
      <c r="BM268" s="171"/>
      <c r="BN268" s="171"/>
      <c r="BO268" s="171"/>
      <c r="BP268" s="171"/>
      <c r="BQ268" s="171" t="str">
        <f>"      " &amp; "마케팅 관리" &amp; "(이승현, 한주형)" &amp; " " &amp; IF(P268="","",TEXT(P268,"M/D-")) &amp; IF(Q268="","",TEXT(Q268,"M/D")) &amp; " "</f>
        <v xml:space="preserve">      마케팅 관리(이승현, 한주형) 11/2-1/29 </v>
      </c>
      <c r="BR268" s="171"/>
      <c r="BS268" s="171"/>
      <c r="BT268" s="171"/>
      <c r="BU268" s="171"/>
      <c r="BV268" s="171"/>
      <c r="BW268" s="171"/>
      <c r="BX268" s="171"/>
      <c r="BY268" s="171"/>
      <c r="BZ268" s="171"/>
      <c r="CA268" s="171"/>
      <c r="CB268" s="171"/>
      <c r="CC268" s="171"/>
      <c r="CD268" s="171"/>
      <c r="CE268" s="171"/>
      <c r="CF268" s="171"/>
      <c r="CG268" s="171"/>
      <c r="CH268" s="171"/>
    </row>
    <row r="269" spans="1:86" ht="12" customHeight="1" outlineLevel="4">
      <c r="A269" s="189"/>
      <c r="B269" s="189"/>
      <c r="C269" s="189">
        <v>5</v>
      </c>
      <c r="D269" s="190" t="s">
        <v>2043</v>
      </c>
      <c r="E269" s="172"/>
      <c r="F269" s="172"/>
      <c r="G269" s="172"/>
      <c r="H269" s="172"/>
      <c r="I269" s="172" t="s">
        <v>1928</v>
      </c>
      <c r="J269" s="172"/>
      <c r="K269" s="172"/>
      <c r="L269" s="172"/>
      <c r="M269" s="172"/>
      <c r="N269" s="172"/>
      <c r="O269" s="172"/>
      <c r="P269" s="230">
        <v>46296</v>
      </c>
      <c r="Q269" s="191">
        <v>46416</v>
      </c>
      <c r="R269" s="172"/>
      <c r="S269" s="192">
        <v>83</v>
      </c>
      <c r="T269" s="192">
        <v>0</v>
      </c>
      <c r="U269" s="192">
        <v>83</v>
      </c>
      <c r="V269" s="192">
        <v>0</v>
      </c>
      <c r="W269" s="191"/>
      <c r="X269" s="191"/>
      <c r="Y269" s="193"/>
      <c r="Z269" s="194">
        <v>0</v>
      </c>
      <c r="AA269" s="192"/>
      <c r="AB269" s="222" t="s">
        <v>2025</v>
      </c>
      <c r="AC269" s="223" t="s">
        <v>1722</v>
      </c>
      <c r="AD269" s="195">
        <v>0</v>
      </c>
      <c r="AE269" s="198">
        <v>0</v>
      </c>
      <c r="AF269" s="170"/>
      <c r="AG269" s="171"/>
      <c r="AH269" s="171"/>
      <c r="AI269" s="171"/>
      <c r="AJ269" s="171"/>
      <c r="AK269" s="171"/>
      <c r="AL269" s="171"/>
      <c r="AM269" s="171"/>
      <c r="AN269" s="171"/>
      <c r="AO269" s="171"/>
      <c r="AP269" s="171"/>
      <c r="AQ269" s="171"/>
      <c r="AR269" s="171"/>
      <c r="AS269" s="171"/>
      <c r="AT269" s="171"/>
      <c r="AU269" s="171"/>
      <c r="AV269" s="171"/>
      <c r="AW269" s="171"/>
      <c r="AX269" s="171"/>
      <c r="AY269" s="171"/>
      <c r="AZ269" s="171" t="str">
        <f>"    " &amp; TEXT(AE269,"#0.00%") &amp; " "</f>
        <v xml:space="preserve">    0.00% </v>
      </c>
      <c r="BA269" s="171"/>
      <c r="BB269" s="171"/>
      <c r="BC269" s="171"/>
      <c r="BD269" s="171"/>
      <c r="BE269" s="171"/>
      <c r="BF269" s="171"/>
      <c r="BG269" s="171"/>
      <c r="BH269" s="171"/>
      <c r="BI269" s="171"/>
      <c r="BJ269" s="171"/>
      <c r="BK269" s="171"/>
      <c r="BL269" s="171"/>
      <c r="BM269" s="171"/>
      <c r="BN269" s="171"/>
      <c r="BO269" s="171"/>
      <c r="BP269" s="171"/>
      <c r="BQ269" s="171" t="str">
        <f>"      " &amp; "주문/결제 취소 관리" &amp; "(김진향)" &amp; " " &amp; IF(P269="","",TEXT(P269,"M/D-")) &amp; IF(Q269="","",TEXT(Q269,"M/D")) &amp; " "</f>
        <v xml:space="preserve">      주문/결제 취소 관리(김진향) 10/1-1/29 </v>
      </c>
      <c r="BR269" s="171"/>
      <c r="BS269" s="171"/>
      <c r="BT269" s="171"/>
      <c r="BU269" s="171"/>
      <c r="BV269" s="171"/>
      <c r="BW269" s="171"/>
      <c r="BX269" s="171"/>
      <c r="BY269" s="171"/>
      <c r="BZ269" s="171"/>
      <c r="CA269" s="171"/>
      <c r="CB269" s="171"/>
      <c r="CC269" s="171"/>
      <c r="CD269" s="171"/>
      <c r="CE269" s="171"/>
      <c r="CF269" s="171"/>
      <c r="CG269" s="171"/>
      <c r="CH269" s="171"/>
    </row>
    <row r="270" spans="1:86" ht="12" customHeight="1" outlineLevel="4">
      <c r="A270" s="189"/>
      <c r="B270" s="189"/>
      <c r="C270" s="189">
        <v>5</v>
      </c>
      <c r="D270" s="190" t="s">
        <v>2044</v>
      </c>
      <c r="E270" s="172"/>
      <c r="F270" s="172"/>
      <c r="G270" s="172"/>
      <c r="H270" s="172"/>
      <c r="I270" s="172" t="s">
        <v>1843</v>
      </c>
      <c r="J270" s="172"/>
      <c r="K270" s="172"/>
      <c r="L270" s="172"/>
      <c r="M270" s="172"/>
      <c r="N270" s="172"/>
      <c r="O270" s="172"/>
      <c r="P270" s="230">
        <v>46357</v>
      </c>
      <c r="Q270" s="191">
        <v>46437</v>
      </c>
      <c r="R270" s="172"/>
      <c r="S270" s="192">
        <v>55</v>
      </c>
      <c r="T270" s="192">
        <v>0</v>
      </c>
      <c r="U270" s="192">
        <v>55</v>
      </c>
      <c r="V270" s="192">
        <v>0</v>
      </c>
      <c r="W270" s="191"/>
      <c r="X270" s="191"/>
      <c r="Y270" s="193"/>
      <c r="Z270" s="194">
        <v>0</v>
      </c>
      <c r="AA270" s="192"/>
      <c r="AB270" s="222" t="s">
        <v>2017</v>
      </c>
      <c r="AC270" s="223" t="s">
        <v>1722</v>
      </c>
      <c r="AD270" s="195">
        <v>0</v>
      </c>
      <c r="AE270" s="198">
        <v>0</v>
      </c>
      <c r="AF270" s="170"/>
      <c r="AG270" s="171"/>
      <c r="AH270" s="171"/>
      <c r="AI270" s="171"/>
      <c r="AJ270" s="171"/>
      <c r="AK270" s="171"/>
      <c r="AL270" s="171"/>
      <c r="AM270" s="171"/>
      <c r="AN270" s="171"/>
      <c r="AO270" s="171"/>
      <c r="AP270" s="171"/>
      <c r="AQ270" s="171"/>
      <c r="AR270" s="171"/>
      <c r="AS270" s="171"/>
      <c r="AT270" s="171"/>
      <c r="AU270" s="171"/>
      <c r="AV270" s="171"/>
      <c r="AW270" s="171"/>
      <c r="AX270" s="171"/>
      <c r="AY270" s="171"/>
      <c r="AZ270" s="171"/>
      <c r="BA270" s="171"/>
      <c r="BB270" s="171"/>
      <c r="BC270" s="171"/>
      <c r="BD270" s="171"/>
      <c r="BE270" s="171"/>
      <c r="BF270" s="171"/>
      <c r="BG270" s="171"/>
      <c r="BH270" s="171"/>
      <c r="BI270" s="171" t="str">
        <f>"  " &amp; TEXT(AE270,"#0.00%") &amp; " "</f>
        <v xml:space="preserve">  0.00% </v>
      </c>
      <c r="BJ270" s="171"/>
      <c r="BK270" s="171"/>
      <c r="BL270" s="171"/>
      <c r="BM270" s="171"/>
      <c r="BN270" s="171"/>
      <c r="BO270" s="171"/>
      <c r="BP270" s="171"/>
      <c r="BQ270" s="171"/>
      <c r="BR270" s="171"/>
      <c r="BS270" s="171"/>
      <c r="BT270" s="171" t="str">
        <f>"      " &amp; "정산" &amp; "(TBD_3)" &amp; " " &amp; IF(P270="","",TEXT(P270,"M/D-")) &amp; IF(Q270="","",TEXT(Q270,"M/D")) &amp; " "</f>
        <v xml:space="preserve">      정산(TBD_3) 12/1-2/19 </v>
      </c>
      <c r="BU270" s="171"/>
      <c r="BV270" s="171"/>
      <c r="BW270" s="171"/>
      <c r="BX270" s="171"/>
      <c r="BY270" s="171"/>
      <c r="BZ270" s="171"/>
      <c r="CA270" s="171"/>
      <c r="CB270" s="171"/>
      <c r="CC270" s="171"/>
      <c r="CD270" s="171"/>
      <c r="CE270" s="171"/>
      <c r="CF270" s="171"/>
      <c r="CG270" s="171"/>
      <c r="CH270" s="171"/>
    </row>
    <row r="271" spans="1:86" ht="12" customHeight="1" outlineLevel="4">
      <c r="A271" s="189"/>
      <c r="B271" s="189"/>
      <c r="C271" s="189">
        <v>5</v>
      </c>
      <c r="D271" s="190" t="s">
        <v>2045</v>
      </c>
      <c r="E271" s="172"/>
      <c r="F271" s="172"/>
      <c r="G271" s="172"/>
      <c r="H271" s="172"/>
      <c r="I271" s="172" t="s">
        <v>1860</v>
      </c>
      <c r="J271" s="172"/>
      <c r="K271" s="172"/>
      <c r="L271" s="172"/>
      <c r="M271" s="172"/>
      <c r="N271" s="172"/>
      <c r="O271" s="172"/>
      <c r="P271" s="230">
        <v>46402</v>
      </c>
      <c r="Q271" s="191">
        <v>46444</v>
      </c>
      <c r="R271" s="172"/>
      <c r="S271" s="192">
        <v>29</v>
      </c>
      <c r="T271" s="192">
        <v>0</v>
      </c>
      <c r="U271" s="192">
        <v>29</v>
      </c>
      <c r="V271" s="192">
        <v>0</v>
      </c>
      <c r="W271" s="191"/>
      <c r="X271" s="191"/>
      <c r="Y271" s="193"/>
      <c r="Z271" s="194">
        <v>0</v>
      </c>
      <c r="AA271" s="192"/>
      <c r="AB271" s="222" t="s">
        <v>2029</v>
      </c>
      <c r="AC271" s="223" t="s">
        <v>1722</v>
      </c>
      <c r="AD271" s="195">
        <v>0</v>
      </c>
      <c r="AE271" s="198">
        <v>0</v>
      </c>
      <c r="AF271" s="170"/>
      <c r="AG271" s="171"/>
      <c r="AH271" s="171"/>
      <c r="AI271" s="171"/>
      <c r="AJ271" s="171"/>
      <c r="AK271" s="171"/>
      <c r="AL271" s="171"/>
      <c r="AM271" s="171"/>
      <c r="AN271" s="171"/>
      <c r="AO271" s="171"/>
      <c r="AP271" s="171"/>
      <c r="AQ271" s="171"/>
      <c r="AR271" s="171"/>
      <c r="AS271" s="171"/>
      <c r="AT271" s="171"/>
      <c r="AU271" s="171"/>
      <c r="AV271" s="171"/>
      <c r="AW271" s="171"/>
      <c r="AX271" s="171"/>
      <c r="AY271" s="171"/>
      <c r="AZ271" s="171"/>
      <c r="BA271" s="171"/>
      <c r="BB271" s="171"/>
      <c r="BC271" s="171"/>
      <c r="BD271" s="171"/>
      <c r="BE271" s="171"/>
      <c r="BF271" s="171"/>
      <c r="BG271" s="171"/>
      <c r="BH271" s="171"/>
      <c r="BI271" s="171"/>
      <c r="BJ271" s="171"/>
      <c r="BK271" s="171"/>
      <c r="BL271" s="171"/>
      <c r="BM271" s="171"/>
      <c r="BN271" s="171"/>
      <c r="BO271" s="171" t="str">
        <f>"     " &amp; TEXT(AE271,"#0.00%") &amp; " "</f>
        <v xml:space="preserve">     0.00% </v>
      </c>
      <c r="BP271" s="171"/>
      <c r="BQ271" s="171"/>
      <c r="BR271" s="171"/>
      <c r="BS271" s="171"/>
      <c r="BT271" s="171"/>
      <c r="BU271" s="171" t="str">
        <f>"      " &amp; "통계" &amp; "(TBD_4)" &amp; " " &amp; IF(P271="","",TEXT(P271,"M/D-")) &amp; IF(Q271="","",TEXT(Q271,"M/D")) &amp; " "</f>
        <v xml:space="preserve">      통계(TBD_4) 1/15-2/26 </v>
      </c>
      <c r="BV271" s="171"/>
      <c r="BW271" s="171"/>
      <c r="BX271" s="171"/>
      <c r="BY271" s="171"/>
      <c r="BZ271" s="171"/>
      <c r="CA271" s="171"/>
      <c r="CB271" s="171"/>
      <c r="CC271" s="171"/>
      <c r="CD271" s="171"/>
      <c r="CE271" s="171"/>
      <c r="CF271" s="171"/>
      <c r="CG271" s="171"/>
      <c r="CH271" s="171"/>
    </row>
    <row r="272" spans="1:86" ht="12" customHeight="1" outlineLevel="4">
      <c r="A272" s="189"/>
      <c r="B272" s="189"/>
      <c r="C272" s="189">
        <v>5</v>
      </c>
      <c r="D272" s="190" t="s">
        <v>2046</v>
      </c>
      <c r="E272" s="172"/>
      <c r="F272" s="172"/>
      <c r="G272" s="172"/>
      <c r="H272" s="172"/>
      <c r="I272" s="172" t="s">
        <v>1862</v>
      </c>
      <c r="J272" s="172"/>
      <c r="K272" s="172"/>
      <c r="L272" s="172"/>
      <c r="M272" s="172"/>
      <c r="N272" s="172"/>
      <c r="O272" s="172"/>
      <c r="P272" s="230">
        <v>46402</v>
      </c>
      <c r="Q272" s="191">
        <v>46444</v>
      </c>
      <c r="R272" s="172"/>
      <c r="S272" s="192">
        <v>29</v>
      </c>
      <c r="T272" s="192">
        <v>0</v>
      </c>
      <c r="U272" s="192">
        <v>29</v>
      </c>
      <c r="V272" s="192">
        <v>0</v>
      </c>
      <c r="W272" s="191"/>
      <c r="X272" s="191"/>
      <c r="Y272" s="193"/>
      <c r="Z272" s="194">
        <v>0</v>
      </c>
      <c r="AA272" s="192"/>
      <c r="AB272" s="222" t="s">
        <v>2019</v>
      </c>
      <c r="AC272" s="223" t="s">
        <v>1722</v>
      </c>
      <c r="AD272" s="195">
        <v>0</v>
      </c>
      <c r="AE272" s="198">
        <v>0</v>
      </c>
      <c r="AF272" s="170"/>
      <c r="AG272" s="171"/>
      <c r="AH272" s="171"/>
      <c r="AI272" s="171"/>
      <c r="AJ272" s="171"/>
      <c r="AK272" s="171"/>
      <c r="AL272" s="171"/>
      <c r="AM272" s="171"/>
      <c r="AN272" s="171"/>
      <c r="AO272" s="171"/>
      <c r="AP272" s="171"/>
      <c r="AQ272" s="171"/>
      <c r="AR272" s="171"/>
      <c r="AS272" s="171"/>
      <c r="AT272" s="171"/>
      <c r="AU272" s="171"/>
      <c r="AV272" s="171"/>
      <c r="AW272" s="171"/>
      <c r="AX272" s="171"/>
      <c r="AY272" s="171"/>
      <c r="AZ272" s="171"/>
      <c r="BA272" s="171"/>
      <c r="BB272" s="171"/>
      <c r="BC272" s="171"/>
      <c r="BD272" s="171"/>
      <c r="BE272" s="171"/>
      <c r="BF272" s="171"/>
      <c r="BG272" s="171"/>
      <c r="BH272" s="171"/>
      <c r="BI272" s="171"/>
      <c r="BJ272" s="171"/>
      <c r="BK272" s="171"/>
      <c r="BL272" s="171"/>
      <c r="BM272" s="171"/>
      <c r="BN272" s="171"/>
      <c r="BO272" s="171" t="str">
        <f>"     " &amp; TEXT(AE272,"#0.00%") &amp; " "</f>
        <v xml:space="preserve">     0.00% </v>
      </c>
      <c r="BP272" s="171"/>
      <c r="BQ272" s="171"/>
      <c r="BR272" s="171"/>
      <c r="BS272" s="171"/>
      <c r="BT272" s="171"/>
      <c r="BU272" s="171" t="str">
        <f>"      " &amp; "고객센터" &amp; "(이인호)" &amp; " " &amp; IF(P272="","",TEXT(P272,"M/D-")) &amp; IF(Q272="","",TEXT(Q272,"M/D")) &amp; " "</f>
        <v xml:space="preserve">      고객센터(이인호) 1/15-2/26 </v>
      </c>
      <c r="BV272" s="171"/>
      <c r="BW272" s="171"/>
      <c r="BX272" s="171"/>
      <c r="BY272" s="171"/>
      <c r="BZ272" s="171"/>
      <c r="CA272" s="171"/>
      <c r="CB272" s="171"/>
      <c r="CC272" s="171"/>
      <c r="CD272" s="171"/>
      <c r="CE272" s="171"/>
      <c r="CF272" s="171"/>
      <c r="CG272" s="171"/>
      <c r="CH272" s="171"/>
    </row>
    <row r="273" spans="1:86" ht="12" customHeight="1" outlineLevel="4">
      <c r="A273" s="189"/>
      <c r="B273" s="189"/>
      <c r="C273" s="189">
        <v>5</v>
      </c>
      <c r="D273" s="190" t="s">
        <v>2047</v>
      </c>
      <c r="E273" s="172"/>
      <c r="F273" s="172"/>
      <c r="G273" s="172"/>
      <c r="H273" s="172"/>
      <c r="I273" s="172" t="s">
        <v>1929</v>
      </c>
      <c r="J273" s="172"/>
      <c r="K273" s="172"/>
      <c r="L273" s="172"/>
      <c r="M273" s="172"/>
      <c r="N273" s="172"/>
      <c r="O273" s="172"/>
      <c r="P273" s="230">
        <v>46328</v>
      </c>
      <c r="Q273" s="191">
        <v>46416</v>
      </c>
      <c r="R273" s="172"/>
      <c r="S273" s="192">
        <v>126</v>
      </c>
      <c r="T273" s="192">
        <v>0</v>
      </c>
      <c r="U273" s="192">
        <v>63</v>
      </c>
      <c r="V273" s="192">
        <v>0</v>
      </c>
      <c r="W273" s="191"/>
      <c r="X273" s="191"/>
      <c r="Y273" s="193"/>
      <c r="Z273" s="194">
        <v>0</v>
      </c>
      <c r="AA273" s="192"/>
      <c r="AB273" s="222" t="s">
        <v>2048</v>
      </c>
      <c r="AC273" s="223" t="s">
        <v>1722</v>
      </c>
      <c r="AD273" s="195">
        <v>0</v>
      </c>
      <c r="AE273" s="198">
        <v>0</v>
      </c>
      <c r="AF273" s="170"/>
      <c r="AG273" s="171"/>
      <c r="AH273" s="171"/>
      <c r="AI273" s="171"/>
      <c r="AJ273" s="171"/>
      <c r="AK273" s="171"/>
      <c r="AL273" s="171"/>
      <c r="AM273" s="171"/>
      <c r="AN273" s="171"/>
      <c r="AO273" s="171"/>
      <c r="AP273" s="171"/>
      <c r="AQ273" s="171"/>
      <c r="AR273" s="171"/>
      <c r="AS273" s="171"/>
      <c r="AT273" s="171"/>
      <c r="AU273" s="171"/>
      <c r="AV273" s="171"/>
      <c r="AW273" s="171"/>
      <c r="AX273" s="171"/>
      <c r="AY273" s="171"/>
      <c r="AZ273" s="171"/>
      <c r="BA273" s="171"/>
      <c r="BB273" s="171"/>
      <c r="BC273" s="171"/>
      <c r="BD273" s="171"/>
      <c r="BE273" s="171" t="str">
        <f>" " &amp; TEXT(AE273,"#0.00%") &amp; " "</f>
        <v xml:space="preserve"> 0.00% </v>
      </c>
      <c r="BF273" s="171"/>
      <c r="BG273" s="171"/>
      <c r="BH273" s="171"/>
      <c r="BI273" s="171"/>
      <c r="BJ273" s="171"/>
      <c r="BK273" s="171"/>
      <c r="BL273" s="171"/>
      <c r="BM273" s="171"/>
      <c r="BN273" s="171"/>
      <c r="BO273" s="171"/>
      <c r="BP273" s="171"/>
      <c r="BQ273" s="171" t="str">
        <f>"      " &amp; "전시 템플릿관리" &amp; "(정진형, TBD_2)" &amp; " " &amp; IF(P273="","",TEXT(P273,"M/D-")) &amp; IF(Q273="","",TEXT(Q273,"M/D")) &amp; " "</f>
        <v xml:space="preserve">      전시 템플릿관리(정진형, TBD_2) 11/2-1/29 </v>
      </c>
      <c r="BR273" s="171"/>
      <c r="BS273" s="171"/>
      <c r="BT273" s="171"/>
      <c r="BU273" s="171"/>
      <c r="BV273" s="171"/>
      <c r="BW273" s="171"/>
      <c r="BX273" s="171"/>
      <c r="BY273" s="171"/>
      <c r="BZ273" s="171"/>
      <c r="CA273" s="171"/>
      <c r="CB273" s="171"/>
      <c r="CC273" s="171"/>
      <c r="CD273" s="171"/>
      <c r="CE273" s="171"/>
      <c r="CF273" s="171"/>
      <c r="CG273" s="171"/>
      <c r="CH273" s="171"/>
    </row>
    <row r="274" spans="1:86" ht="12" customHeight="1" outlineLevel="4">
      <c r="A274" s="189"/>
      <c r="B274" s="189"/>
      <c r="C274" s="189">
        <v>5</v>
      </c>
      <c r="D274" s="190" t="s">
        <v>2049</v>
      </c>
      <c r="E274" s="172"/>
      <c r="F274" s="172"/>
      <c r="G274" s="172"/>
      <c r="H274" s="172"/>
      <c r="I274" s="172" t="s">
        <v>1930</v>
      </c>
      <c r="J274" s="172"/>
      <c r="K274" s="172"/>
      <c r="L274" s="172"/>
      <c r="M274" s="172"/>
      <c r="N274" s="172"/>
      <c r="O274" s="172"/>
      <c r="P274" s="191">
        <v>46391</v>
      </c>
      <c r="Q274" s="191">
        <v>46444</v>
      </c>
      <c r="R274" s="172"/>
      <c r="S274" s="192">
        <v>38</v>
      </c>
      <c r="T274" s="192">
        <v>0</v>
      </c>
      <c r="U274" s="192">
        <v>38</v>
      </c>
      <c r="V274" s="192">
        <v>0</v>
      </c>
      <c r="W274" s="191"/>
      <c r="X274" s="191"/>
      <c r="Y274" s="193"/>
      <c r="Z274" s="194">
        <v>0</v>
      </c>
      <c r="AA274" s="192"/>
      <c r="AB274" s="222" t="s">
        <v>2050</v>
      </c>
      <c r="AC274" s="223" t="s">
        <v>1722</v>
      </c>
      <c r="AD274" s="195">
        <v>0</v>
      </c>
      <c r="AE274" s="198">
        <v>0</v>
      </c>
      <c r="AF274" s="170"/>
      <c r="AG274" s="171"/>
      <c r="AH274" s="171"/>
      <c r="AI274" s="171"/>
      <c r="AJ274" s="171"/>
      <c r="AK274" s="171"/>
      <c r="AL274" s="171"/>
      <c r="AM274" s="171"/>
      <c r="AN274" s="171"/>
      <c r="AO274" s="171"/>
      <c r="AP274" s="171"/>
      <c r="AQ274" s="171"/>
      <c r="AR274" s="171"/>
      <c r="AS274" s="171"/>
      <c r="AT274" s="171"/>
      <c r="AU274" s="171"/>
      <c r="AV274" s="171"/>
      <c r="AW274" s="171"/>
      <c r="AX274" s="171"/>
      <c r="AY274" s="171"/>
      <c r="AZ274" s="171"/>
      <c r="BA274" s="171"/>
      <c r="BB274" s="171"/>
      <c r="BC274" s="171"/>
      <c r="BD274" s="171"/>
      <c r="BE274" s="171"/>
      <c r="BF274" s="171"/>
      <c r="BG274" s="171"/>
      <c r="BH274" s="171"/>
      <c r="BI274" s="171"/>
      <c r="BJ274" s="171"/>
      <c r="BK274" s="171"/>
      <c r="BL274" s="171"/>
      <c r="BM274" s="171"/>
      <c r="BN274" s="171" t="str">
        <f>" " &amp; TEXT(AE274,"#0.00%") &amp; " "</f>
        <v xml:space="preserve"> 0.00% </v>
      </c>
      <c r="BO274" s="171"/>
      <c r="BP274" s="171"/>
      <c r="BQ274" s="171"/>
      <c r="BR274" s="171"/>
      <c r="BS274" s="171"/>
      <c r="BT274" s="171"/>
      <c r="BU274" s="171" t="str">
        <f>"      " &amp; "시스템 관리" &amp; "(TBD_5)" &amp; " " &amp; IF(P274="","",TEXT(P274,"M/D-")) &amp; IF(Q274="","",TEXT(Q274,"M/D")) &amp; " "</f>
        <v xml:space="preserve">      시스템 관리(TBD_5) 1/4-2/26 </v>
      </c>
      <c r="BV274" s="171"/>
      <c r="BW274" s="171"/>
      <c r="BX274" s="171"/>
      <c r="BY274" s="171"/>
      <c r="BZ274" s="171"/>
      <c r="CA274" s="171"/>
      <c r="CB274" s="171"/>
      <c r="CC274" s="171"/>
      <c r="CD274" s="171"/>
      <c r="CE274" s="171"/>
      <c r="CF274" s="171"/>
      <c r="CG274" s="171"/>
      <c r="CH274" s="171"/>
    </row>
    <row r="275" spans="1:86" ht="12" customHeight="1" outlineLevel="4">
      <c r="A275" s="189"/>
      <c r="B275" s="189"/>
      <c r="C275" s="189">
        <v>5</v>
      </c>
      <c r="D275" s="190" t="s">
        <v>2051</v>
      </c>
      <c r="E275" s="172"/>
      <c r="F275" s="172"/>
      <c r="G275" s="172"/>
      <c r="H275" s="172"/>
      <c r="I275" s="172" t="s">
        <v>1931</v>
      </c>
      <c r="J275" s="172"/>
      <c r="K275" s="172"/>
      <c r="L275" s="172"/>
      <c r="M275" s="172"/>
      <c r="N275" s="172"/>
      <c r="O275" s="172"/>
      <c r="P275" s="191">
        <v>46391</v>
      </c>
      <c r="Q275" s="191">
        <v>46444</v>
      </c>
      <c r="R275" s="172"/>
      <c r="S275" s="192">
        <v>38</v>
      </c>
      <c r="T275" s="192">
        <v>0</v>
      </c>
      <c r="U275" s="192">
        <v>38</v>
      </c>
      <c r="V275" s="192">
        <v>0</v>
      </c>
      <c r="W275" s="191"/>
      <c r="X275" s="191"/>
      <c r="Y275" s="193"/>
      <c r="Z275" s="194">
        <v>0</v>
      </c>
      <c r="AA275" s="192"/>
      <c r="AB275" s="222" t="s">
        <v>2052</v>
      </c>
      <c r="AC275" s="223" t="s">
        <v>1722</v>
      </c>
      <c r="AD275" s="195">
        <v>0</v>
      </c>
      <c r="AE275" s="198">
        <v>0</v>
      </c>
      <c r="AF275" s="170"/>
      <c r="AG275" s="171"/>
      <c r="AH275" s="171"/>
      <c r="AI275" s="171"/>
      <c r="AJ275" s="171"/>
      <c r="AK275" s="171"/>
      <c r="AL275" s="171"/>
      <c r="AM275" s="171"/>
      <c r="AN275" s="171"/>
      <c r="AO275" s="171"/>
      <c r="AP275" s="171"/>
      <c r="AQ275" s="171"/>
      <c r="AR275" s="171"/>
      <c r="AS275" s="171"/>
      <c r="AT275" s="171"/>
      <c r="AU275" s="171"/>
      <c r="AV275" s="171"/>
      <c r="AW275" s="171"/>
      <c r="AX275" s="171"/>
      <c r="AY275" s="171"/>
      <c r="AZ275" s="171"/>
      <c r="BA275" s="171"/>
      <c r="BB275" s="171"/>
      <c r="BC275" s="171"/>
      <c r="BD275" s="171"/>
      <c r="BE275" s="171"/>
      <c r="BF275" s="171"/>
      <c r="BG275" s="171"/>
      <c r="BH275" s="171"/>
      <c r="BI275" s="171"/>
      <c r="BJ275" s="171"/>
      <c r="BK275" s="171"/>
      <c r="BL275" s="171"/>
      <c r="BM275" s="171"/>
      <c r="BN275" s="171" t="str">
        <f>" " &amp; TEXT(AE275,"#0.00%") &amp; " "</f>
        <v xml:space="preserve"> 0.00% </v>
      </c>
      <c r="BO275" s="171"/>
      <c r="BP275" s="171"/>
      <c r="BQ275" s="171"/>
      <c r="BR275" s="171"/>
      <c r="BS275" s="171"/>
      <c r="BT275" s="171"/>
      <c r="BU275" s="171" t="str">
        <f>"      " &amp; "운영관리" &amp; "(TBD_6)" &amp; " " &amp; IF(P275="","",TEXT(P275,"M/D-")) &amp; IF(Q275="","",TEXT(Q275,"M/D")) &amp; " "</f>
        <v xml:space="preserve">      운영관리(TBD_6) 1/4-2/26 </v>
      </c>
      <c r="BV275" s="171"/>
      <c r="BW275" s="171"/>
      <c r="BX275" s="171"/>
      <c r="BY275" s="171"/>
      <c r="BZ275" s="171"/>
      <c r="CA275" s="171"/>
      <c r="CB275" s="171"/>
      <c r="CC275" s="171"/>
      <c r="CD275" s="171"/>
      <c r="CE275" s="171"/>
      <c r="CF275" s="171"/>
      <c r="CG275" s="171"/>
      <c r="CH275" s="171"/>
    </row>
    <row r="276" spans="1:86" ht="12" customHeight="1" outlineLevel="4">
      <c r="A276" s="189"/>
      <c r="B276" s="189"/>
      <c r="C276" s="189">
        <v>5</v>
      </c>
      <c r="D276" s="190" t="s">
        <v>2074</v>
      </c>
      <c r="E276" s="172"/>
      <c r="F276" s="172"/>
      <c r="G276" s="172"/>
      <c r="H276" s="172"/>
      <c r="I276" s="172" t="s">
        <v>1854</v>
      </c>
      <c r="J276" s="172"/>
      <c r="K276" s="172"/>
      <c r="L276" s="172"/>
      <c r="M276" s="172"/>
      <c r="N276" s="172"/>
      <c r="O276" s="172"/>
      <c r="P276" s="191">
        <v>46391</v>
      </c>
      <c r="Q276" s="191">
        <v>46437</v>
      </c>
      <c r="R276" s="172"/>
      <c r="S276" s="192">
        <v>33</v>
      </c>
      <c r="T276" s="192">
        <v>0</v>
      </c>
      <c r="U276" s="192">
        <v>33</v>
      </c>
      <c r="V276" s="192">
        <v>0</v>
      </c>
      <c r="W276" s="191"/>
      <c r="X276" s="191"/>
      <c r="Y276" s="193"/>
      <c r="Z276" s="194">
        <v>0</v>
      </c>
      <c r="AA276" s="192"/>
      <c r="AB276" s="222" t="s">
        <v>2022</v>
      </c>
      <c r="AC276" s="244" t="s">
        <v>1722</v>
      </c>
      <c r="AD276" s="195">
        <v>0</v>
      </c>
      <c r="AE276" s="198">
        <v>0</v>
      </c>
      <c r="AF276" s="170"/>
      <c r="AG276" s="171"/>
      <c r="AH276" s="171"/>
      <c r="AI276" s="171"/>
      <c r="AJ276" s="171"/>
      <c r="AK276" s="171"/>
      <c r="AL276" s="171"/>
      <c r="AM276" s="171"/>
      <c r="AN276" s="171"/>
      <c r="AO276" s="171"/>
      <c r="AP276" s="171"/>
      <c r="AQ276" s="171"/>
      <c r="AR276" s="171"/>
      <c r="AS276" s="171"/>
      <c r="AT276" s="171"/>
      <c r="AU276" s="171"/>
      <c r="AV276" s="171"/>
      <c r="AW276" s="171"/>
      <c r="AX276" s="171"/>
      <c r="AY276" s="171"/>
      <c r="AZ276" s="171"/>
      <c r="BA276" s="171"/>
      <c r="BB276" s="171"/>
      <c r="BC276" s="171"/>
      <c r="BD276" s="171"/>
      <c r="BE276" s="171"/>
      <c r="BF276" s="171"/>
      <c r="BG276" s="171"/>
      <c r="BH276" s="171"/>
      <c r="BI276" s="171"/>
      <c r="BJ276" s="171"/>
      <c r="BK276" s="171"/>
      <c r="BL276" s="171"/>
      <c r="BM276" s="171"/>
      <c r="BN276" s="171" t="str">
        <f>" " &amp; TEXT(AE276,"#0.00%") &amp; " "</f>
        <v xml:space="preserve"> 0.00% </v>
      </c>
      <c r="BO276" s="171"/>
      <c r="BP276" s="171"/>
      <c r="BQ276" s="171"/>
      <c r="BR276" s="171"/>
      <c r="BS276" s="171"/>
      <c r="BT276" s="171" t="str">
        <f>"      " &amp; "파트너오피스(PO)" &amp; "(정진형)" &amp; " " &amp; IF(P276="","",TEXT(P276,"M/D-")) &amp; IF(Q276="","",TEXT(Q276,"M/D")) &amp; " "</f>
        <v xml:space="preserve">      파트너오피스(PO)(정진형) 1/4-2/19 </v>
      </c>
      <c r="BU276" s="171"/>
      <c r="BV276" s="171"/>
      <c r="BW276" s="171"/>
      <c r="BX276" s="171"/>
      <c r="BY276" s="171"/>
      <c r="BZ276" s="171"/>
      <c r="CA276" s="171"/>
      <c r="CB276" s="171"/>
      <c r="CC276" s="171"/>
      <c r="CD276" s="171"/>
      <c r="CE276" s="171"/>
      <c r="CF276" s="171"/>
      <c r="CG276" s="171"/>
      <c r="CH276" s="171"/>
    </row>
    <row r="277" spans="1:86" ht="12" customHeight="1" outlineLevel="4">
      <c r="A277" s="189"/>
      <c r="B277" s="189"/>
      <c r="C277" s="189">
        <v>5</v>
      </c>
      <c r="D277" s="190" t="s">
        <v>2075</v>
      </c>
      <c r="E277" s="172"/>
      <c r="F277" s="172"/>
      <c r="G277" s="172"/>
      <c r="H277" s="172"/>
      <c r="I277" s="172" t="s">
        <v>2072</v>
      </c>
      <c r="J277" s="172"/>
      <c r="K277" s="172"/>
      <c r="L277" s="172"/>
      <c r="M277" s="172"/>
      <c r="N277" s="172"/>
      <c r="O277" s="172"/>
      <c r="P277" s="191">
        <v>46391</v>
      </c>
      <c r="Q277" s="191">
        <v>46437</v>
      </c>
      <c r="R277" s="172"/>
      <c r="S277" s="192">
        <v>33</v>
      </c>
      <c r="T277" s="192">
        <v>0</v>
      </c>
      <c r="U277" s="192">
        <v>33</v>
      </c>
      <c r="V277" s="192">
        <v>0</v>
      </c>
      <c r="W277" s="191"/>
      <c r="X277" s="191"/>
      <c r="Y277" s="193"/>
      <c r="Z277" s="194">
        <v>0</v>
      </c>
      <c r="AA277" s="192"/>
      <c r="AB277" s="222" t="s">
        <v>2031</v>
      </c>
      <c r="AC277" s="244" t="s">
        <v>1722</v>
      </c>
      <c r="AD277" s="195">
        <v>0</v>
      </c>
      <c r="AE277" s="198">
        <v>0</v>
      </c>
      <c r="AF277" s="170"/>
      <c r="AG277" s="171"/>
      <c r="AH277" s="171"/>
      <c r="AI277" s="171"/>
      <c r="AJ277" s="171"/>
      <c r="AK277" s="171"/>
      <c r="AL277" s="171"/>
      <c r="AM277" s="171"/>
      <c r="AN277" s="171"/>
      <c r="AO277" s="171"/>
      <c r="AP277" s="171"/>
      <c r="AQ277" s="171"/>
      <c r="AR277" s="171"/>
      <c r="AS277" s="171"/>
      <c r="AT277" s="171"/>
      <c r="AU277" s="171"/>
      <c r="AV277" s="171"/>
      <c r="AW277" s="171"/>
      <c r="AX277" s="171"/>
      <c r="AY277" s="171"/>
      <c r="AZ277" s="171"/>
      <c r="BA277" s="171"/>
      <c r="BB277" s="171"/>
      <c r="BC277" s="171"/>
      <c r="BD277" s="171"/>
      <c r="BE277" s="171"/>
      <c r="BF277" s="171"/>
      <c r="BG277" s="171"/>
      <c r="BH277" s="171"/>
      <c r="BI277" s="171"/>
      <c r="BJ277" s="171"/>
      <c r="BK277" s="171"/>
      <c r="BL277" s="171"/>
      <c r="BM277" s="171"/>
      <c r="BN277" s="171" t="str">
        <f>" " &amp; TEXT(AE277,"#0.00%") &amp; " "</f>
        <v xml:space="preserve"> 0.00% </v>
      </c>
      <c r="BO277" s="171"/>
      <c r="BP277" s="171"/>
      <c r="BQ277" s="171"/>
      <c r="BR277" s="171"/>
      <c r="BS277" s="171"/>
      <c r="BT277" s="171" t="str">
        <f>"      " &amp; "리무진(PO-K)" &amp; "(이승현)" &amp; " " &amp; IF(P277="","",TEXT(P277,"M/D-")) &amp; IF(Q277="","",TEXT(Q277,"M/D")) &amp; " "</f>
        <v xml:space="preserve">      리무진(PO-K)(이승현) 1/4-2/19 </v>
      </c>
      <c r="BU277" s="171"/>
      <c r="BV277" s="171"/>
      <c r="BW277" s="171"/>
      <c r="BX277" s="171"/>
      <c r="BY277" s="171"/>
      <c r="BZ277" s="171"/>
      <c r="CA277" s="171"/>
      <c r="CB277" s="171"/>
      <c r="CC277" s="171"/>
      <c r="CD277" s="171"/>
      <c r="CE277" s="171"/>
      <c r="CF277" s="171"/>
      <c r="CG277" s="171"/>
      <c r="CH277" s="171"/>
    </row>
    <row r="278" spans="1:86" ht="12" customHeight="1" outlineLevel="3">
      <c r="A278" s="189"/>
      <c r="B278" s="189"/>
      <c r="C278" s="189">
        <v>4</v>
      </c>
      <c r="D278" s="190" t="s">
        <v>1970</v>
      </c>
      <c r="E278" s="172"/>
      <c r="F278" s="172"/>
      <c r="G278" s="172"/>
      <c r="H278" s="172" t="s">
        <v>2053</v>
      </c>
      <c r="I278" s="172"/>
      <c r="J278" s="172"/>
      <c r="K278" s="172"/>
      <c r="L278" s="172"/>
      <c r="M278" s="172"/>
      <c r="N278" s="172"/>
      <c r="O278" s="172"/>
      <c r="P278" s="230">
        <v>46296</v>
      </c>
      <c r="Q278" s="191">
        <v>46437</v>
      </c>
      <c r="R278" s="172"/>
      <c r="S278" s="192">
        <v>288</v>
      </c>
      <c r="T278" s="192">
        <v>0</v>
      </c>
      <c r="U278" s="192">
        <v>96</v>
      </c>
      <c r="V278" s="192">
        <v>0</v>
      </c>
      <c r="W278" s="191"/>
      <c r="X278" s="191"/>
      <c r="Y278" s="193"/>
      <c r="Z278" s="194">
        <v>0</v>
      </c>
      <c r="AA278" s="192"/>
      <c r="AB278" s="222" t="s">
        <v>2054</v>
      </c>
      <c r="AC278" s="223" t="s">
        <v>1722</v>
      </c>
      <c r="AD278" s="195">
        <v>0</v>
      </c>
      <c r="AE278" s="198">
        <v>0</v>
      </c>
      <c r="AF278" s="170"/>
      <c r="AG278" s="171"/>
      <c r="AH278" s="171"/>
      <c r="AI278" s="171"/>
      <c r="AJ278" s="171"/>
      <c r="AK278" s="171"/>
      <c r="AL278" s="171"/>
      <c r="AM278" s="171"/>
      <c r="AN278" s="171"/>
      <c r="AO278" s="171"/>
      <c r="AP278" s="171"/>
      <c r="AQ278" s="171"/>
      <c r="AR278" s="171"/>
      <c r="AS278" s="171"/>
      <c r="AT278" s="171"/>
      <c r="AU278" s="171"/>
      <c r="AV278" s="171"/>
      <c r="AW278" s="171"/>
      <c r="AX278" s="171"/>
      <c r="AY278" s="171"/>
      <c r="AZ278" s="171" t="str">
        <f>"    " &amp; TEXT(AE278,"#0.00%") &amp; " "</f>
        <v xml:space="preserve">    0.00% </v>
      </c>
      <c r="BA278" s="171"/>
      <c r="BB278" s="171"/>
      <c r="BC278" s="171"/>
      <c r="BD278" s="171"/>
      <c r="BE278" s="171"/>
      <c r="BF278" s="171"/>
      <c r="BG278" s="171"/>
      <c r="BH278" s="171"/>
      <c r="BI278" s="171"/>
      <c r="BJ278" s="171"/>
      <c r="BK278" s="171"/>
      <c r="BL278" s="171"/>
      <c r="BM278" s="171"/>
      <c r="BN278" s="171"/>
      <c r="BO278" s="171"/>
      <c r="BP278" s="171"/>
      <c r="BQ278" s="171"/>
      <c r="BR278" s="171"/>
      <c r="BS278" s="171"/>
      <c r="BT278" s="171" t="str">
        <f>"      " &amp; "인터페이스 개발(외부API, 표준/신규 API, InApp, 인프라)" &amp; "(정진형, 이승현, TBD_6)" &amp; " " &amp; IF(P278="","",TEXT(P278,"M/D-")) &amp; IF(Q278="","",TEXT(Q278,"M/D")) &amp; " "</f>
        <v xml:space="preserve">      인터페이스 개발(외부API, 표준/신규 API, InApp, 인프라)(정진형, 이승현, TBD_6) 10/1-2/19 </v>
      </c>
      <c r="BU278" s="171"/>
      <c r="BV278" s="171"/>
      <c r="BW278" s="171"/>
      <c r="BX278" s="171"/>
      <c r="BY278" s="171"/>
      <c r="BZ278" s="171"/>
      <c r="CA278" s="171"/>
      <c r="CB278" s="171"/>
      <c r="CC278" s="171"/>
      <c r="CD278" s="171"/>
      <c r="CE278" s="171"/>
      <c r="CF278" s="171"/>
      <c r="CG278" s="171"/>
      <c r="CH278" s="171"/>
    </row>
    <row r="279" spans="1:86" ht="12" customHeight="1" outlineLevel="3">
      <c r="A279" s="189"/>
      <c r="B279" s="189"/>
      <c r="C279" s="189">
        <v>4</v>
      </c>
      <c r="D279" s="190" t="s">
        <v>1971</v>
      </c>
      <c r="E279" s="172"/>
      <c r="F279" s="172"/>
      <c r="G279" s="172"/>
      <c r="H279" s="172" t="s">
        <v>2055</v>
      </c>
      <c r="I279" s="172"/>
      <c r="J279" s="172"/>
      <c r="K279" s="172"/>
      <c r="L279" s="172"/>
      <c r="M279" s="172"/>
      <c r="N279" s="172"/>
      <c r="O279" s="172"/>
      <c r="P279" s="191">
        <v>46391</v>
      </c>
      <c r="Q279" s="191">
        <v>46444</v>
      </c>
      <c r="R279" s="172"/>
      <c r="S279" s="192">
        <v>38</v>
      </c>
      <c r="T279" s="192">
        <v>0</v>
      </c>
      <c r="U279" s="192">
        <v>38</v>
      </c>
      <c r="V279" s="192">
        <v>0</v>
      </c>
      <c r="W279" s="191"/>
      <c r="X279" s="191"/>
      <c r="Y279" s="193"/>
      <c r="Z279" s="194">
        <v>0</v>
      </c>
      <c r="AA279" s="192"/>
      <c r="AB279" s="222" t="s">
        <v>2050</v>
      </c>
      <c r="AC279" s="223" t="s">
        <v>1722</v>
      </c>
      <c r="AD279" s="195">
        <v>0</v>
      </c>
      <c r="AE279" s="198">
        <v>0</v>
      </c>
      <c r="AF279" s="170"/>
      <c r="AG279" s="171"/>
      <c r="AH279" s="171"/>
      <c r="AI279" s="171"/>
      <c r="AJ279" s="171"/>
      <c r="AK279" s="171"/>
      <c r="AL279" s="171"/>
      <c r="AM279" s="171"/>
      <c r="AN279" s="171"/>
      <c r="AO279" s="171"/>
      <c r="AP279" s="171"/>
      <c r="AQ279" s="171"/>
      <c r="AR279" s="171"/>
      <c r="AS279" s="171"/>
      <c r="AT279" s="171"/>
      <c r="AU279" s="171"/>
      <c r="AV279" s="171"/>
      <c r="AW279" s="171"/>
      <c r="AX279" s="171"/>
      <c r="AY279" s="171"/>
      <c r="AZ279" s="171"/>
      <c r="BA279" s="171"/>
      <c r="BB279" s="171"/>
      <c r="BC279" s="171"/>
      <c r="BD279" s="171"/>
      <c r="BE279" s="171"/>
      <c r="BF279" s="171"/>
      <c r="BG279" s="171"/>
      <c r="BH279" s="171"/>
      <c r="BI279" s="171"/>
      <c r="BJ279" s="171"/>
      <c r="BK279" s="171"/>
      <c r="BL279" s="171"/>
      <c r="BM279" s="171"/>
      <c r="BN279" s="171" t="str">
        <f>" " &amp; TEXT(AE279,"#0.00%") &amp; " "</f>
        <v xml:space="preserve"> 0.00% </v>
      </c>
      <c r="BO279" s="171"/>
      <c r="BP279" s="171"/>
      <c r="BQ279" s="171"/>
      <c r="BR279" s="171"/>
      <c r="BS279" s="171"/>
      <c r="BT279" s="171"/>
      <c r="BU279" s="171" t="str">
        <f>"      " &amp; "Kafka 메시징/큐 관리 개발 " &amp; "(TBD_5)" &amp; " " &amp; IF(P279="","",TEXT(P279,"M/D-")) &amp; IF(Q279="","",TEXT(Q279,"M/D")) &amp; " "</f>
        <v xml:space="preserve">      Kafka 메시징/큐 관리 개발 (TBD_5) 1/4-2/26 </v>
      </c>
      <c r="BV279" s="171"/>
      <c r="BW279" s="171"/>
      <c r="BX279" s="171"/>
      <c r="BY279" s="171"/>
      <c r="BZ279" s="171"/>
      <c r="CA279" s="171"/>
      <c r="CB279" s="171"/>
      <c r="CC279" s="171"/>
      <c r="CD279" s="171"/>
      <c r="CE279" s="171"/>
      <c r="CF279" s="171"/>
      <c r="CG279" s="171"/>
      <c r="CH279" s="171"/>
    </row>
    <row r="280" spans="1:86" ht="12" customHeight="1" outlineLevel="3">
      <c r="A280" s="189"/>
      <c r="B280" s="189" t="s">
        <v>1387</v>
      </c>
      <c r="C280" s="189">
        <v>4</v>
      </c>
      <c r="D280" s="248" t="s">
        <v>2056</v>
      </c>
      <c r="E280" s="172"/>
      <c r="F280" s="172"/>
      <c r="G280" s="172"/>
      <c r="H280" s="249" t="s">
        <v>2057</v>
      </c>
      <c r="I280" s="172"/>
      <c r="J280" s="172"/>
      <c r="K280" s="172"/>
      <c r="L280" s="172"/>
      <c r="M280" s="172"/>
      <c r="N280" s="172"/>
      <c r="O280" s="172"/>
      <c r="P280" s="191">
        <v>46391</v>
      </c>
      <c r="Q280" s="191">
        <v>46444</v>
      </c>
      <c r="R280" s="172"/>
      <c r="S280" s="192">
        <v>38</v>
      </c>
      <c r="T280" s="192">
        <v>0</v>
      </c>
      <c r="U280" s="192">
        <v>38</v>
      </c>
      <c r="V280" s="192">
        <v>0</v>
      </c>
      <c r="W280" s="191"/>
      <c r="X280" s="191"/>
      <c r="Y280" s="193">
        <v>0</v>
      </c>
      <c r="Z280" s="194">
        <v>0</v>
      </c>
      <c r="AA280" s="192"/>
      <c r="AB280" s="222"/>
      <c r="AC280" s="223"/>
      <c r="AD280" s="195">
        <v>0</v>
      </c>
      <c r="AE280" s="197">
        <v>0</v>
      </c>
      <c r="AF280" s="170"/>
      <c r="AG280" s="171"/>
      <c r="AH280" s="171"/>
      <c r="AI280" s="171"/>
      <c r="AJ280" s="171"/>
      <c r="AK280" s="171"/>
      <c r="AL280" s="171"/>
      <c r="AM280" s="171"/>
      <c r="AN280" s="171"/>
      <c r="AO280" s="171"/>
      <c r="AP280" s="171"/>
      <c r="AQ280" s="171"/>
      <c r="AR280" s="171"/>
      <c r="AS280" s="171"/>
      <c r="AT280" s="171"/>
      <c r="AU280" s="171"/>
      <c r="AV280" s="171"/>
      <c r="AW280" s="171"/>
      <c r="AX280" s="171"/>
      <c r="AY280" s="171"/>
      <c r="AZ280" s="171"/>
      <c r="BA280" s="171"/>
      <c r="BB280" s="171"/>
      <c r="BC280" s="171"/>
      <c r="BD280" s="171"/>
      <c r="BE280" s="171"/>
      <c r="BF280" s="171"/>
      <c r="BG280" s="171"/>
      <c r="BH280" s="171"/>
      <c r="BI280" s="171"/>
      <c r="BJ280" s="171"/>
      <c r="BK280" s="171"/>
      <c r="BL280" s="171"/>
      <c r="BM280" s="171"/>
      <c r="BN280" s="171" t="str">
        <f>" " &amp; TEXT(AE280,"#0.00%") &amp; " "</f>
        <v xml:space="preserve"> 0.00% </v>
      </c>
      <c r="BO280" s="171"/>
      <c r="BP280" s="171"/>
      <c r="BQ280" s="171"/>
      <c r="BR280" s="171"/>
      <c r="BS280" s="171"/>
      <c r="BT280" s="171"/>
      <c r="BU280" s="171" t="str">
        <f>"      " &amp; "배치 프로그램 개발" &amp; " " &amp; IF(P280="","",TEXT(P280,"M/D-")) &amp; IF(Q280="","",TEXT(Q280,"M/D")) &amp; " "</f>
        <v xml:space="preserve">      배치 프로그램 개발 1/4-2/26 </v>
      </c>
      <c r="BV280" s="171"/>
      <c r="BW280" s="171"/>
      <c r="BX280" s="171"/>
      <c r="BY280" s="171"/>
      <c r="BZ280" s="171"/>
      <c r="CA280" s="171"/>
      <c r="CB280" s="171"/>
      <c r="CC280" s="171"/>
      <c r="CD280" s="171"/>
      <c r="CE280" s="171"/>
      <c r="CF280" s="171"/>
      <c r="CG280" s="171"/>
      <c r="CH280" s="171"/>
    </row>
    <row r="281" spans="1:86" ht="12" customHeight="1" outlineLevel="4">
      <c r="A281" s="189"/>
      <c r="B281" s="189"/>
      <c r="C281" s="189">
        <v>5</v>
      </c>
      <c r="D281" s="190" t="s">
        <v>2058</v>
      </c>
      <c r="E281" s="172"/>
      <c r="F281" s="172"/>
      <c r="G281" s="172"/>
      <c r="H281" s="172"/>
      <c r="I281" s="172" t="s">
        <v>2059</v>
      </c>
      <c r="J281" s="172"/>
      <c r="K281" s="172"/>
      <c r="L281" s="172"/>
      <c r="M281" s="172"/>
      <c r="N281" s="172"/>
      <c r="O281" s="172"/>
      <c r="P281" s="191">
        <v>46391</v>
      </c>
      <c r="Q281" s="191">
        <v>46444</v>
      </c>
      <c r="R281" s="172"/>
      <c r="S281" s="192">
        <v>38</v>
      </c>
      <c r="T281" s="192">
        <v>0</v>
      </c>
      <c r="U281" s="192">
        <v>38</v>
      </c>
      <c r="V281" s="192">
        <v>0</v>
      </c>
      <c r="W281" s="191"/>
      <c r="X281" s="191"/>
      <c r="Y281" s="193"/>
      <c r="Z281" s="194">
        <v>0</v>
      </c>
      <c r="AA281" s="192"/>
      <c r="AB281" s="222" t="s">
        <v>2029</v>
      </c>
      <c r="AC281" s="223" t="s">
        <v>1722</v>
      </c>
      <c r="AD281" s="195">
        <v>0</v>
      </c>
      <c r="AE281" s="198">
        <v>0</v>
      </c>
      <c r="AF281" s="170"/>
      <c r="AG281" s="171"/>
      <c r="AH281" s="171"/>
      <c r="AI281" s="171"/>
      <c r="AJ281" s="171"/>
      <c r="AK281" s="171"/>
      <c r="AL281" s="171"/>
      <c r="AM281" s="171"/>
      <c r="AN281" s="171"/>
      <c r="AO281" s="171"/>
      <c r="AP281" s="171"/>
      <c r="AQ281" s="171"/>
      <c r="AR281" s="171"/>
      <c r="AS281" s="171"/>
      <c r="AT281" s="171"/>
      <c r="AU281" s="171"/>
      <c r="AV281" s="171"/>
      <c r="AW281" s="171"/>
      <c r="AX281" s="171"/>
      <c r="AY281" s="171"/>
      <c r="AZ281" s="171"/>
      <c r="BA281" s="171"/>
      <c r="BB281" s="171"/>
      <c r="BC281" s="171"/>
      <c r="BD281" s="171"/>
      <c r="BE281" s="171"/>
      <c r="BF281" s="171"/>
      <c r="BG281" s="171"/>
      <c r="BH281" s="171"/>
      <c r="BI281" s="171"/>
      <c r="BJ281" s="171"/>
      <c r="BK281" s="171"/>
      <c r="BL281" s="171"/>
      <c r="BM281" s="171"/>
      <c r="BN281" s="171" t="str">
        <f>" " &amp; TEXT(AE281,"#0.00%") &amp; " "</f>
        <v xml:space="preserve"> 0.00% </v>
      </c>
      <c r="BO281" s="171"/>
      <c r="BP281" s="171"/>
      <c r="BQ281" s="171"/>
      <c r="BR281" s="171"/>
      <c r="BS281" s="171"/>
      <c r="BT281" s="171"/>
      <c r="BU281" s="171" t="str">
        <f>"      " &amp; "배치/스케줄러 개발" &amp; "(TBD_4)" &amp; " " &amp; IF(P281="","",TEXT(P281,"M/D-")) &amp; IF(Q281="","",TEXT(Q281,"M/D")) &amp; " "</f>
        <v xml:space="preserve">      배치/스케줄러 개발(TBD_4) 1/4-2/26 </v>
      </c>
      <c r="BV281" s="171"/>
      <c r="BW281" s="171"/>
      <c r="BX281" s="171"/>
      <c r="BY281" s="171"/>
      <c r="BZ281" s="171"/>
      <c r="CA281" s="171"/>
      <c r="CB281" s="171"/>
      <c r="CC281" s="171"/>
      <c r="CD281" s="171"/>
      <c r="CE281" s="171"/>
      <c r="CF281" s="171"/>
      <c r="CG281" s="171"/>
      <c r="CH281" s="171"/>
    </row>
    <row r="282" spans="1:86" ht="23.25" outlineLevel="3">
      <c r="A282" s="189"/>
      <c r="B282" s="189"/>
      <c r="C282" s="189">
        <v>4</v>
      </c>
      <c r="D282" s="190" t="s">
        <v>2060</v>
      </c>
      <c r="E282" s="172"/>
      <c r="F282" s="172"/>
      <c r="G282" s="172"/>
      <c r="H282" s="172" t="s">
        <v>1675</v>
      </c>
      <c r="I282" s="172"/>
      <c r="J282" s="172"/>
      <c r="K282" s="172"/>
      <c r="L282" s="172"/>
      <c r="M282" s="172"/>
      <c r="N282" s="172"/>
      <c r="O282" s="172"/>
      <c r="P282" s="230">
        <v>46296</v>
      </c>
      <c r="Q282" s="230">
        <v>46326</v>
      </c>
      <c r="R282" s="172"/>
      <c r="S282" s="192">
        <v>40</v>
      </c>
      <c r="T282" s="192">
        <v>0</v>
      </c>
      <c r="U282" s="192">
        <v>20</v>
      </c>
      <c r="V282" s="192">
        <v>0</v>
      </c>
      <c r="W282" s="191"/>
      <c r="X282" s="191"/>
      <c r="Y282" s="193"/>
      <c r="Z282" s="194">
        <v>0</v>
      </c>
      <c r="AA282" s="192"/>
      <c r="AB282" s="222" t="s">
        <v>1774</v>
      </c>
      <c r="AC282" s="228" t="s">
        <v>1723</v>
      </c>
      <c r="AD282" s="195">
        <v>0</v>
      </c>
      <c r="AE282" s="198">
        <v>0</v>
      </c>
      <c r="AF282" s="170"/>
      <c r="AG282" s="171"/>
      <c r="AH282" s="171"/>
      <c r="AI282" s="171"/>
      <c r="AJ282" s="171"/>
      <c r="AK282" s="171"/>
      <c r="AL282" s="171"/>
      <c r="AM282" s="171"/>
      <c r="AN282" s="171"/>
      <c r="AO282" s="171"/>
      <c r="AP282" s="171"/>
      <c r="AQ282" s="171"/>
      <c r="AR282" s="171"/>
      <c r="AS282" s="171"/>
      <c r="AT282" s="171"/>
      <c r="AU282" s="171"/>
      <c r="AV282" s="171"/>
      <c r="AW282" s="171"/>
      <c r="AX282" s="171"/>
      <c r="AY282" s="171"/>
      <c r="AZ282" s="171" t="str">
        <f>"    " &amp; TEXT(AE282,"#0.00%") &amp; " "</f>
        <v xml:space="preserve">    0.00% </v>
      </c>
      <c r="BA282" s="171"/>
      <c r="BB282" s="171"/>
      <c r="BC282" s="171"/>
      <c r="BD282" s="171"/>
      <c r="BE282" s="171" t="str">
        <f>"" &amp; "단위테스트계획 수립" &amp; "(BO/FO 개발PL, 기획)" &amp; " " &amp; IF(P282="","",TEXT(P282,"M/D-")) &amp; IF(Q282="","",TEXT(Q282,"M/D")) &amp; " "</f>
        <v xml:space="preserve">단위테스트계획 수립(BO/FO 개발PL, 기획) 10/1-10/31 </v>
      </c>
      <c r="BF282" s="171"/>
      <c r="BG282" s="171"/>
      <c r="BH282" s="171"/>
      <c r="BI282" s="171"/>
      <c r="BJ282" s="171"/>
      <c r="BK282" s="171"/>
      <c r="BL282" s="171"/>
      <c r="BM282" s="171"/>
      <c r="BN282" s="171"/>
      <c r="BO282" s="171"/>
      <c r="BP282" s="171"/>
      <c r="BQ282" s="171"/>
      <c r="BR282" s="171"/>
      <c r="BS282" s="171"/>
      <c r="BT282" s="171"/>
      <c r="BU282" s="171"/>
      <c r="BV282" s="171"/>
      <c r="BW282" s="171"/>
      <c r="BX282" s="171"/>
      <c r="BY282" s="171"/>
      <c r="BZ282" s="171"/>
      <c r="CA282" s="171"/>
      <c r="CB282" s="171"/>
      <c r="CC282" s="171"/>
      <c r="CD282" s="171"/>
      <c r="CE282" s="171"/>
      <c r="CF282" s="171"/>
      <c r="CG282" s="171"/>
      <c r="CH282" s="171"/>
    </row>
    <row r="283" spans="1:86" ht="12" customHeight="1" outlineLevel="3">
      <c r="A283" s="189"/>
      <c r="B283" s="189"/>
      <c r="C283" s="189">
        <v>4</v>
      </c>
      <c r="D283" s="190" t="s">
        <v>2061</v>
      </c>
      <c r="E283" s="172"/>
      <c r="F283" s="172"/>
      <c r="G283" s="172"/>
      <c r="H283" s="172" t="s">
        <v>1676</v>
      </c>
      <c r="I283" s="172"/>
      <c r="J283" s="172"/>
      <c r="K283" s="172"/>
      <c r="L283" s="172"/>
      <c r="M283" s="172"/>
      <c r="N283" s="172"/>
      <c r="O283" s="172"/>
      <c r="P283" s="230">
        <v>46327</v>
      </c>
      <c r="Q283" s="230">
        <v>46418</v>
      </c>
      <c r="R283" s="172"/>
      <c r="S283" s="192">
        <v>63</v>
      </c>
      <c r="T283" s="192">
        <v>0</v>
      </c>
      <c r="U283" s="192">
        <v>63</v>
      </c>
      <c r="V283" s="192">
        <v>0</v>
      </c>
      <c r="W283" s="191"/>
      <c r="X283" s="191"/>
      <c r="Y283" s="193"/>
      <c r="Z283" s="194">
        <v>0</v>
      </c>
      <c r="AA283" s="192"/>
      <c r="AB283" s="222" t="s">
        <v>1775</v>
      </c>
      <c r="AC283" s="223" t="s">
        <v>1724</v>
      </c>
      <c r="AD283" s="195">
        <v>0</v>
      </c>
      <c r="AE283" s="198">
        <v>0</v>
      </c>
      <c r="AF283" s="170"/>
      <c r="AG283" s="171"/>
      <c r="AH283" s="171"/>
      <c r="AI283" s="171"/>
      <c r="AJ283" s="171"/>
      <c r="AK283" s="171"/>
      <c r="AL283" s="171"/>
      <c r="AM283" s="171"/>
      <c r="AN283" s="171"/>
      <c r="AO283" s="171"/>
      <c r="AP283" s="171"/>
      <c r="AQ283" s="171"/>
      <c r="AR283" s="171"/>
      <c r="AS283" s="171"/>
      <c r="AT283" s="171"/>
      <c r="AU283" s="171"/>
      <c r="AV283" s="171"/>
      <c r="AW283" s="171"/>
      <c r="AX283" s="171"/>
      <c r="AY283" s="171"/>
      <c r="AZ283" s="171"/>
      <c r="BA283" s="171"/>
      <c r="BB283" s="171"/>
      <c r="BC283" s="171"/>
      <c r="BD283" s="171"/>
      <c r="BE283" s="171" t="str">
        <f>"" &amp; TEXT(AE283,"#0.00%") &amp; " "</f>
        <v xml:space="preserve">0.00% </v>
      </c>
      <c r="BF283" s="171"/>
      <c r="BG283" s="171"/>
      <c r="BH283" s="171"/>
      <c r="BI283" s="171"/>
      <c r="BJ283" s="171"/>
      <c r="BK283" s="171"/>
      <c r="BL283" s="171"/>
      <c r="BM283" s="171"/>
      <c r="BN283" s="171"/>
      <c r="BO283" s="171"/>
      <c r="BP283" s="171"/>
      <c r="BQ283" s="171"/>
      <c r="BR283" s="171" t="str">
        <f>" " &amp; "단위테스트 수행" &amp; "(BO/FO 개발PL)" &amp; " " &amp; IF(P283="","",TEXT(P283,"M/D-")) &amp; IF(Q283="","",TEXT(Q283,"M/D")) &amp; " "</f>
        <v xml:space="preserve"> 단위테스트 수행(BO/FO 개발PL) 11/1-1/31 </v>
      </c>
      <c r="BS283" s="171"/>
      <c r="BT283" s="171"/>
      <c r="BU283" s="171"/>
      <c r="BV283" s="171"/>
      <c r="BW283" s="171"/>
      <c r="BX283" s="171"/>
      <c r="BY283" s="171"/>
      <c r="BZ283" s="171"/>
      <c r="CA283" s="171"/>
      <c r="CB283" s="171"/>
      <c r="CC283" s="171"/>
      <c r="CD283" s="171"/>
      <c r="CE283" s="171"/>
      <c r="CF283" s="171"/>
      <c r="CG283" s="171"/>
      <c r="CH283" s="171"/>
    </row>
    <row r="284" spans="1:86" ht="12" customHeight="1" outlineLevel="2">
      <c r="A284" s="189"/>
      <c r="B284" s="189" t="s">
        <v>1387</v>
      </c>
      <c r="C284" s="189">
        <v>3</v>
      </c>
      <c r="D284" s="190" t="s">
        <v>1850</v>
      </c>
      <c r="E284" s="172"/>
      <c r="F284" s="172"/>
      <c r="G284" s="172" t="s">
        <v>1677</v>
      </c>
      <c r="H284" s="172"/>
      <c r="I284" s="172"/>
      <c r="J284" s="172"/>
      <c r="K284" s="172"/>
      <c r="L284" s="172"/>
      <c r="M284" s="172"/>
      <c r="N284" s="172"/>
      <c r="O284" s="172"/>
      <c r="P284" s="191">
        <v>46388</v>
      </c>
      <c r="Q284" s="191">
        <v>46418</v>
      </c>
      <c r="R284" s="172"/>
      <c r="S284" s="192">
        <v>40</v>
      </c>
      <c r="T284" s="192">
        <v>0</v>
      </c>
      <c r="U284" s="192">
        <v>20</v>
      </c>
      <c r="V284" s="192">
        <v>0</v>
      </c>
      <c r="W284" s="191"/>
      <c r="X284" s="191"/>
      <c r="Y284" s="193">
        <v>0</v>
      </c>
      <c r="Z284" s="194">
        <v>0</v>
      </c>
      <c r="AA284" s="192"/>
      <c r="AB284" s="189"/>
      <c r="AC284" s="172"/>
      <c r="AD284" s="195">
        <v>0</v>
      </c>
      <c r="AE284" s="197">
        <v>0</v>
      </c>
      <c r="AF284" s="170"/>
      <c r="AG284" s="171"/>
      <c r="AH284" s="171"/>
      <c r="AI284" s="171"/>
      <c r="AJ284" s="171"/>
      <c r="AK284" s="171"/>
      <c r="AL284" s="171"/>
      <c r="AM284" s="171"/>
      <c r="AN284" s="171"/>
      <c r="AO284" s="171"/>
      <c r="AP284" s="171"/>
      <c r="AQ284" s="171"/>
      <c r="AR284" s="171"/>
      <c r="AS284" s="171"/>
      <c r="AT284" s="171"/>
      <c r="AU284" s="171"/>
      <c r="AV284" s="171"/>
      <c r="AW284" s="171"/>
      <c r="AX284" s="171"/>
      <c r="AY284" s="171"/>
      <c r="AZ284" s="171"/>
      <c r="BA284" s="171"/>
      <c r="BB284" s="171"/>
      <c r="BC284" s="171"/>
      <c r="BD284" s="171"/>
      <c r="BE284" s="171"/>
      <c r="BF284" s="171"/>
      <c r="BG284" s="171"/>
      <c r="BH284" s="171"/>
      <c r="BI284" s="171"/>
      <c r="BJ284" s="171"/>
      <c r="BK284" s="171"/>
      <c r="BL284" s="171"/>
      <c r="BM284" s="171" t="str">
        <f>"     " &amp; TEXT(AE284,"#0.00%") &amp; " "</f>
        <v xml:space="preserve">     0.00% </v>
      </c>
      <c r="BN284" s="171"/>
      <c r="BO284" s="171"/>
      <c r="BP284" s="171"/>
      <c r="BQ284" s="171"/>
      <c r="BR284" s="171" t="str">
        <f>" " &amp; "테스트 계획" &amp; " " &amp; IF(P284="","",TEXT(P284,"M/D-")) &amp; IF(Q284="","",TEXT(Q284,"M/D")) &amp; " "</f>
        <v xml:space="preserve"> 테스트 계획 1/1-1/31 </v>
      </c>
      <c r="BS284" s="171"/>
      <c r="BT284" s="171"/>
      <c r="BU284" s="171"/>
      <c r="BV284" s="171"/>
      <c r="BW284" s="171"/>
      <c r="BX284" s="171"/>
      <c r="BY284" s="171"/>
      <c r="BZ284" s="171"/>
      <c r="CA284" s="171"/>
      <c r="CB284" s="171"/>
      <c r="CC284" s="171"/>
      <c r="CD284" s="171"/>
      <c r="CE284" s="171"/>
      <c r="CF284" s="171"/>
      <c r="CG284" s="171"/>
      <c r="CH284" s="171"/>
    </row>
    <row r="285" spans="1:86" ht="12" customHeight="1" outlineLevel="3">
      <c r="A285" s="189"/>
      <c r="B285" s="189"/>
      <c r="C285" s="189">
        <v>4</v>
      </c>
      <c r="D285" s="190" t="s">
        <v>1851</v>
      </c>
      <c r="E285" s="172"/>
      <c r="F285" s="172"/>
      <c r="G285" s="172"/>
      <c r="H285" s="172" t="s">
        <v>1678</v>
      </c>
      <c r="I285" s="172"/>
      <c r="J285" s="172"/>
      <c r="K285" s="172"/>
      <c r="L285" s="172"/>
      <c r="M285" s="172"/>
      <c r="N285" s="172"/>
      <c r="O285" s="172"/>
      <c r="P285" s="230">
        <v>46388</v>
      </c>
      <c r="Q285" s="230">
        <v>46418</v>
      </c>
      <c r="R285" s="172"/>
      <c r="S285" s="192">
        <v>20</v>
      </c>
      <c r="T285" s="192">
        <v>0</v>
      </c>
      <c r="U285" s="192">
        <v>20</v>
      </c>
      <c r="V285" s="192">
        <v>0</v>
      </c>
      <c r="W285" s="191"/>
      <c r="X285" s="191"/>
      <c r="Y285" s="193"/>
      <c r="Z285" s="194">
        <v>0</v>
      </c>
      <c r="AA285" s="192"/>
      <c r="AB285" s="222" t="s">
        <v>1775</v>
      </c>
      <c r="AC285" s="223" t="s">
        <v>1776</v>
      </c>
      <c r="AD285" s="195">
        <v>0</v>
      </c>
      <c r="AE285" s="198">
        <v>0</v>
      </c>
      <c r="AF285" s="170"/>
      <c r="AG285" s="171"/>
      <c r="AH285" s="171"/>
      <c r="AI285" s="171"/>
      <c r="AJ285" s="171"/>
      <c r="AK285" s="171"/>
      <c r="AL285" s="171"/>
      <c r="AM285" s="171"/>
      <c r="AN285" s="171"/>
      <c r="AO285" s="171"/>
      <c r="AP285" s="171"/>
      <c r="AQ285" s="171"/>
      <c r="AR285" s="171"/>
      <c r="AS285" s="171"/>
      <c r="AT285" s="171"/>
      <c r="AU285" s="171"/>
      <c r="AV285" s="171"/>
      <c r="AW285" s="171"/>
      <c r="AX285" s="171"/>
      <c r="AY285" s="171"/>
      <c r="AZ285" s="171"/>
      <c r="BA285" s="171"/>
      <c r="BB285" s="171"/>
      <c r="BC285" s="171"/>
      <c r="BD285" s="171"/>
      <c r="BE285" s="171"/>
      <c r="BF285" s="171"/>
      <c r="BG285" s="171"/>
      <c r="BH285" s="171"/>
      <c r="BI285" s="171"/>
      <c r="BJ285" s="171"/>
      <c r="BK285" s="171"/>
      <c r="BL285" s="171"/>
      <c r="BM285" s="171" t="str">
        <f>"     " &amp; TEXT(AE285,"#0.00%") &amp; " "</f>
        <v xml:space="preserve">     0.00% </v>
      </c>
      <c r="BN285" s="171"/>
      <c r="BO285" s="171"/>
      <c r="BP285" s="171"/>
      <c r="BQ285" s="171"/>
      <c r="BR285" s="171" t="str">
        <f>" " &amp; "통합테스트 계획 수립" &amp; "(BO/FO 개발PL)" &amp; " " &amp; IF(P285="","",TEXT(P285,"M/D-")) &amp; IF(Q285="","",TEXT(Q285,"M/D")) &amp; " "</f>
        <v xml:space="preserve"> 통합테스트 계획 수립(BO/FO 개발PL) 1/1-1/31 </v>
      </c>
      <c r="BS285" s="171"/>
      <c r="BT285" s="171"/>
      <c r="BU285" s="171"/>
      <c r="BV285" s="171"/>
      <c r="BW285" s="171"/>
      <c r="BX285" s="171"/>
      <c r="BY285" s="171"/>
      <c r="BZ285" s="171"/>
      <c r="CA285" s="171"/>
      <c r="CB285" s="171"/>
      <c r="CC285" s="171"/>
      <c r="CD285" s="171"/>
      <c r="CE285" s="171"/>
      <c r="CF285" s="171"/>
      <c r="CG285" s="171"/>
      <c r="CH285" s="171"/>
    </row>
    <row r="286" spans="1:86" ht="12" customHeight="1" outlineLevel="3">
      <c r="A286" s="189"/>
      <c r="B286" s="189"/>
      <c r="C286" s="189">
        <v>4</v>
      </c>
      <c r="D286" s="190" t="s">
        <v>1852</v>
      </c>
      <c r="E286" s="172"/>
      <c r="F286" s="172"/>
      <c r="G286" s="172"/>
      <c r="H286" s="172" t="s">
        <v>1679</v>
      </c>
      <c r="I286" s="172"/>
      <c r="J286" s="172"/>
      <c r="K286" s="172"/>
      <c r="L286" s="172"/>
      <c r="M286" s="172"/>
      <c r="N286" s="172"/>
      <c r="O286" s="172"/>
      <c r="P286" s="230">
        <v>46388</v>
      </c>
      <c r="Q286" s="230">
        <v>46418</v>
      </c>
      <c r="R286" s="172"/>
      <c r="S286" s="192">
        <v>20</v>
      </c>
      <c r="T286" s="192">
        <v>0</v>
      </c>
      <c r="U286" s="192">
        <v>20</v>
      </c>
      <c r="V286" s="192">
        <v>0</v>
      </c>
      <c r="W286" s="191"/>
      <c r="X286" s="191"/>
      <c r="Y286" s="193"/>
      <c r="Z286" s="194">
        <v>0</v>
      </c>
      <c r="AA286" s="192"/>
      <c r="AB286" s="222" t="s">
        <v>1775</v>
      </c>
      <c r="AC286" s="223" t="s">
        <v>1725</v>
      </c>
      <c r="AD286" s="195">
        <v>0</v>
      </c>
      <c r="AE286" s="198">
        <v>0</v>
      </c>
      <c r="AF286" s="170"/>
      <c r="AG286" s="171"/>
      <c r="AH286" s="171"/>
      <c r="AI286" s="171"/>
      <c r="AJ286" s="171"/>
      <c r="AK286" s="171"/>
      <c r="AL286" s="171"/>
      <c r="AM286" s="171"/>
      <c r="AN286" s="171"/>
      <c r="AO286" s="171"/>
      <c r="AP286" s="171"/>
      <c r="AQ286" s="171"/>
      <c r="AR286" s="171"/>
      <c r="AS286" s="171"/>
      <c r="AT286" s="171"/>
      <c r="AU286" s="171"/>
      <c r="AV286" s="171"/>
      <c r="AW286" s="171"/>
      <c r="AX286" s="171"/>
      <c r="AY286" s="171"/>
      <c r="AZ286" s="171"/>
      <c r="BA286" s="171"/>
      <c r="BB286" s="171"/>
      <c r="BC286" s="171"/>
      <c r="BD286" s="171"/>
      <c r="BE286" s="171"/>
      <c r="BF286" s="171"/>
      <c r="BG286" s="171"/>
      <c r="BH286" s="171"/>
      <c r="BI286" s="171"/>
      <c r="BJ286" s="171"/>
      <c r="BK286" s="171"/>
      <c r="BL286" s="171"/>
      <c r="BM286" s="171" t="str">
        <f>"     " &amp; TEXT(AE286,"#0.00%") &amp; " "</f>
        <v xml:space="preserve">     0.00% </v>
      </c>
      <c r="BN286" s="171"/>
      <c r="BO286" s="171"/>
      <c r="BP286" s="171"/>
      <c r="BQ286" s="171"/>
      <c r="BR286" s="171" t="str">
        <f>" " &amp; "웹/소스코드 취약점검사 계획 수립" &amp; "(BO/FO 개발PL)" &amp; " " &amp; IF(P286="","",TEXT(P286,"M/D-")) &amp; IF(Q286="","",TEXT(Q286,"M/D")) &amp; " "</f>
        <v xml:space="preserve"> 웹/소스코드 취약점검사 계획 수립(BO/FO 개발PL) 1/1-1/31 </v>
      </c>
      <c r="BS286" s="171"/>
      <c r="BT286" s="171"/>
      <c r="BU286" s="171"/>
      <c r="BV286" s="171"/>
      <c r="BW286" s="171"/>
      <c r="BX286" s="171"/>
      <c r="BY286" s="171"/>
      <c r="BZ286" s="171"/>
      <c r="CA286" s="171"/>
      <c r="CB286" s="171"/>
      <c r="CC286" s="171"/>
      <c r="CD286" s="171"/>
      <c r="CE286" s="171"/>
      <c r="CF286" s="171"/>
      <c r="CG286" s="171"/>
      <c r="CH286" s="171"/>
    </row>
    <row r="287" spans="1:86" ht="12" customHeight="1" outlineLevel="1">
      <c r="A287" s="189"/>
      <c r="B287" s="189" t="s">
        <v>1387</v>
      </c>
      <c r="C287" s="189">
        <v>2</v>
      </c>
      <c r="D287" s="190" t="s">
        <v>1821</v>
      </c>
      <c r="E287" s="172"/>
      <c r="F287" s="172" t="s">
        <v>1680</v>
      </c>
      <c r="G287" s="172"/>
      <c r="H287" s="172"/>
      <c r="I287" s="172"/>
      <c r="J287" s="172"/>
      <c r="K287" s="172"/>
      <c r="L287" s="172"/>
      <c r="M287" s="172"/>
      <c r="N287" s="172"/>
      <c r="O287" s="172"/>
      <c r="P287" s="191">
        <v>46419</v>
      </c>
      <c r="Q287" s="191">
        <v>46477</v>
      </c>
      <c r="R287" s="172"/>
      <c r="S287" s="192">
        <v>129</v>
      </c>
      <c r="T287" s="192">
        <v>0</v>
      </c>
      <c r="U287" s="192">
        <v>40</v>
      </c>
      <c r="V287" s="192">
        <v>0</v>
      </c>
      <c r="W287" s="191"/>
      <c r="X287" s="191"/>
      <c r="Y287" s="193">
        <v>0</v>
      </c>
      <c r="Z287" s="194">
        <v>0</v>
      </c>
      <c r="AA287" s="192"/>
      <c r="AB287" s="189"/>
      <c r="AC287" s="172"/>
      <c r="AD287" s="195">
        <v>0</v>
      </c>
      <c r="AE287" s="197">
        <v>0</v>
      </c>
      <c r="AF287" s="170"/>
      <c r="AG287" s="171"/>
      <c r="AH287" s="171"/>
      <c r="AI287" s="171"/>
      <c r="AJ287" s="171"/>
      <c r="AK287" s="171"/>
      <c r="AL287" s="171"/>
      <c r="AM287" s="171"/>
      <c r="AN287" s="171"/>
      <c r="AO287" s="171"/>
      <c r="AP287" s="171"/>
      <c r="AQ287" s="171"/>
      <c r="AR287" s="171"/>
      <c r="AS287" s="171"/>
      <c r="AT287" s="171"/>
      <c r="AU287" s="171"/>
      <c r="AV287" s="171"/>
      <c r="AW287" s="171"/>
      <c r="AX287" s="171"/>
      <c r="AY287" s="171"/>
      <c r="AZ287" s="171"/>
      <c r="BA287" s="171"/>
      <c r="BB287" s="171"/>
      <c r="BC287" s="171"/>
      <c r="BD287" s="171"/>
      <c r="BE287" s="171"/>
      <c r="BF287" s="171"/>
      <c r="BG287" s="171"/>
      <c r="BH287" s="171"/>
      <c r="BI287" s="171"/>
      <c r="BJ287" s="171"/>
      <c r="BK287" s="171"/>
      <c r="BL287" s="171"/>
      <c r="BM287" s="171"/>
      <c r="BN287" s="171"/>
      <c r="BO287" s="171"/>
      <c r="BP287" s="171"/>
      <c r="BQ287" s="171"/>
      <c r="BR287" s="171" t="str">
        <f>" " &amp; TEXT(AE287,"#0.00%") &amp; " "</f>
        <v xml:space="preserve"> 0.00% </v>
      </c>
      <c r="BS287" s="171"/>
      <c r="BT287" s="171"/>
      <c r="BU287" s="171"/>
      <c r="BV287" s="171"/>
      <c r="BW287" s="171"/>
      <c r="BX287" s="171"/>
      <c r="BY287" s="171"/>
      <c r="BZ287" s="171" t="str">
        <f>"    " &amp; "테스트" &amp; " " &amp; IF(P287="","",TEXT(P287,"M/D-")) &amp; IF(Q287="","",TEXT(Q287,"M/D")) &amp; " "</f>
        <v xml:space="preserve">    테스트 2/1-3/31 </v>
      </c>
      <c r="CA287" s="171"/>
      <c r="CB287" s="171"/>
      <c r="CC287" s="171"/>
      <c r="CD287" s="171"/>
      <c r="CE287" s="171"/>
      <c r="CF287" s="171"/>
      <c r="CG287" s="171"/>
      <c r="CH287" s="171"/>
    </row>
    <row r="288" spans="1:86" ht="12" customHeight="1" outlineLevel="2">
      <c r="A288" s="189"/>
      <c r="B288" s="189" t="s">
        <v>1387</v>
      </c>
      <c r="C288" s="189">
        <v>3</v>
      </c>
      <c r="D288" s="190" t="s">
        <v>1822</v>
      </c>
      <c r="E288" s="172"/>
      <c r="F288" s="172"/>
      <c r="G288" s="172" t="s">
        <v>1680</v>
      </c>
      <c r="H288" s="172"/>
      <c r="I288" s="172"/>
      <c r="J288" s="172"/>
      <c r="K288" s="172"/>
      <c r="L288" s="172"/>
      <c r="M288" s="172"/>
      <c r="N288" s="172"/>
      <c r="O288" s="172"/>
      <c r="P288" s="191">
        <v>46419</v>
      </c>
      <c r="Q288" s="191">
        <v>46477</v>
      </c>
      <c r="R288" s="172"/>
      <c r="S288" s="192">
        <v>89</v>
      </c>
      <c r="T288" s="192">
        <v>0</v>
      </c>
      <c r="U288" s="192">
        <v>40</v>
      </c>
      <c r="V288" s="192">
        <v>0</v>
      </c>
      <c r="W288" s="191"/>
      <c r="X288" s="191"/>
      <c r="Y288" s="193">
        <v>0</v>
      </c>
      <c r="Z288" s="194">
        <v>0</v>
      </c>
      <c r="AA288" s="192"/>
      <c r="AB288" s="189"/>
      <c r="AC288" s="172"/>
      <c r="AD288" s="195">
        <v>0</v>
      </c>
      <c r="AE288" s="197">
        <v>0</v>
      </c>
      <c r="AF288" s="170"/>
      <c r="AG288" s="171"/>
      <c r="AH288" s="171"/>
      <c r="AI288" s="171"/>
      <c r="AJ288" s="171"/>
      <c r="AK288" s="171"/>
      <c r="AL288" s="171"/>
      <c r="AM288" s="171"/>
      <c r="AN288" s="171"/>
      <c r="AO288" s="171"/>
      <c r="AP288" s="171"/>
      <c r="AQ288" s="171"/>
      <c r="AR288" s="171"/>
      <c r="AS288" s="171"/>
      <c r="AT288" s="171"/>
      <c r="AU288" s="171"/>
      <c r="AV288" s="171"/>
      <c r="AW288" s="171"/>
      <c r="AX288" s="171"/>
      <c r="AY288" s="171"/>
      <c r="AZ288" s="171"/>
      <c r="BA288" s="171"/>
      <c r="BB288" s="171"/>
      <c r="BC288" s="171"/>
      <c r="BD288" s="171"/>
      <c r="BE288" s="171"/>
      <c r="BF288" s="171"/>
      <c r="BG288" s="171"/>
      <c r="BH288" s="171"/>
      <c r="BI288" s="171"/>
      <c r="BJ288" s="171"/>
      <c r="BK288" s="171"/>
      <c r="BL288" s="171"/>
      <c r="BM288" s="171"/>
      <c r="BN288" s="171"/>
      <c r="BO288" s="171"/>
      <c r="BP288" s="171"/>
      <c r="BQ288" s="171"/>
      <c r="BR288" s="171" t="str">
        <f>" " &amp; TEXT(AE288,"#0.00%") &amp; " "</f>
        <v xml:space="preserve"> 0.00% </v>
      </c>
      <c r="BS288" s="171"/>
      <c r="BT288" s="171"/>
      <c r="BU288" s="171"/>
      <c r="BV288" s="171"/>
      <c r="BW288" s="171"/>
      <c r="BX288" s="171"/>
      <c r="BY288" s="171"/>
      <c r="BZ288" s="171" t="str">
        <f>"    " &amp; "테스트" &amp; " " &amp; IF(P288="","",TEXT(P288,"M/D-")) &amp; IF(Q288="","",TEXT(Q288,"M/D")) &amp; " "</f>
        <v xml:space="preserve">    테스트 2/1-3/31 </v>
      </c>
      <c r="CA288" s="171"/>
      <c r="CB288" s="171"/>
      <c r="CC288" s="171"/>
      <c r="CD288" s="171"/>
      <c r="CE288" s="171"/>
      <c r="CF288" s="171"/>
      <c r="CG288" s="171"/>
      <c r="CH288" s="171"/>
    </row>
    <row r="289" spans="1:86" ht="12" customHeight="1" outlineLevel="3">
      <c r="A289" s="189"/>
      <c r="B289" s="189"/>
      <c r="C289" s="189">
        <v>4</v>
      </c>
      <c r="D289" s="190" t="s">
        <v>1823</v>
      </c>
      <c r="E289" s="172"/>
      <c r="F289" s="172"/>
      <c r="G289" s="172"/>
      <c r="H289" s="172" t="s">
        <v>1681</v>
      </c>
      <c r="I289" s="172"/>
      <c r="J289" s="172"/>
      <c r="K289" s="172"/>
      <c r="L289" s="172"/>
      <c r="M289" s="172"/>
      <c r="N289" s="172"/>
      <c r="O289" s="172"/>
      <c r="P289" s="230">
        <v>46419</v>
      </c>
      <c r="Q289" s="230">
        <v>46465</v>
      </c>
      <c r="R289" s="172"/>
      <c r="S289" s="192">
        <v>32</v>
      </c>
      <c r="T289" s="192">
        <v>0</v>
      </c>
      <c r="U289" s="192">
        <v>32</v>
      </c>
      <c r="V289" s="192">
        <v>0</v>
      </c>
      <c r="W289" s="191"/>
      <c r="X289" s="191"/>
      <c r="Y289" s="193"/>
      <c r="Z289" s="194">
        <v>0</v>
      </c>
      <c r="AA289" s="192"/>
      <c r="AB289" s="222" t="s">
        <v>1775</v>
      </c>
      <c r="AC289" s="223" t="s">
        <v>1726</v>
      </c>
      <c r="AD289" s="195">
        <v>0</v>
      </c>
      <c r="AE289" s="198">
        <v>0</v>
      </c>
      <c r="AF289" s="170"/>
      <c r="AG289" s="171"/>
      <c r="AH289" s="171"/>
      <c r="AI289" s="171"/>
      <c r="AJ289" s="171"/>
      <c r="AK289" s="171"/>
      <c r="AL289" s="171"/>
      <c r="AM289" s="171"/>
      <c r="AN289" s="171"/>
      <c r="AO289" s="171"/>
      <c r="AP289" s="171"/>
      <c r="AQ289" s="171"/>
      <c r="AR289" s="171"/>
      <c r="AS289" s="171"/>
      <c r="AT289" s="171"/>
      <c r="AU289" s="171"/>
      <c r="AV289" s="171"/>
      <c r="AW289" s="171"/>
      <c r="AX289" s="171"/>
      <c r="AY289" s="171"/>
      <c r="AZ289" s="171"/>
      <c r="BA289" s="171"/>
      <c r="BB289" s="171"/>
      <c r="BC289" s="171"/>
      <c r="BD289" s="171"/>
      <c r="BE289" s="171"/>
      <c r="BF289" s="171"/>
      <c r="BG289" s="171"/>
      <c r="BH289" s="171"/>
      <c r="BI289" s="171"/>
      <c r="BJ289" s="171"/>
      <c r="BK289" s="171"/>
      <c r="BL289" s="171"/>
      <c r="BM289" s="171"/>
      <c r="BN289" s="171"/>
      <c r="BO289" s="171"/>
      <c r="BP289" s="171"/>
      <c r="BQ289" s="171"/>
      <c r="BR289" s="171" t="str">
        <f>" " &amp; TEXT(AE289,"#0.00%") &amp; " "</f>
        <v xml:space="preserve"> 0.00% </v>
      </c>
      <c r="BS289" s="171"/>
      <c r="BT289" s="171"/>
      <c r="BU289" s="171"/>
      <c r="BV289" s="171"/>
      <c r="BW289" s="171"/>
      <c r="BX289" s="171" t="str">
        <f>"      " &amp; "통합테스트 수행" &amp; "(BO/FO 개발PL)" &amp; " " &amp; IF(P289="","",TEXT(P289,"M/D-")) &amp; IF(Q289="","",TEXT(Q289,"M/D")) &amp; " "</f>
        <v xml:space="preserve">      통합테스트 수행(BO/FO 개발PL) 2/1-3/19 </v>
      </c>
      <c r="BY289" s="171"/>
      <c r="BZ289" s="171"/>
      <c r="CA289" s="171"/>
      <c r="CB289" s="171"/>
      <c r="CC289" s="171"/>
      <c r="CD289" s="171"/>
      <c r="CE289" s="171"/>
      <c r="CF289" s="171"/>
      <c r="CG289" s="171"/>
      <c r="CH289" s="171"/>
    </row>
    <row r="290" spans="1:86" ht="12" customHeight="1" outlineLevel="3">
      <c r="A290" s="189"/>
      <c r="B290" s="189"/>
      <c r="C290" s="189">
        <v>4</v>
      </c>
      <c r="D290" s="190" t="s">
        <v>1824</v>
      </c>
      <c r="E290" s="172"/>
      <c r="F290" s="172"/>
      <c r="G290" s="172"/>
      <c r="H290" s="172" t="s">
        <v>1682</v>
      </c>
      <c r="I290" s="172"/>
      <c r="J290" s="172"/>
      <c r="K290" s="172"/>
      <c r="L290" s="172"/>
      <c r="M290" s="172"/>
      <c r="N290" s="172"/>
      <c r="O290" s="172"/>
      <c r="P290" s="230">
        <v>46421</v>
      </c>
      <c r="Q290" s="230">
        <v>46444</v>
      </c>
      <c r="R290" s="172"/>
      <c r="S290" s="192">
        <v>16</v>
      </c>
      <c r="T290" s="192">
        <v>0</v>
      </c>
      <c r="U290" s="192">
        <v>16</v>
      </c>
      <c r="V290" s="192">
        <v>0</v>
      </c>
      <c r="W290" s="191"/>
      <c r="X290" s="191"/>
      <c r="Y290" s="193"/>
      <c r="Z290" s="194">
        <v>0</v>
      </c>
      <c r="AA290" s="192"/>
      <c r="AB290" s="222" t="s">
        <v>1775</v>
      </c>
      <c r="AC290" s="223" t="s">
        <v>1727</v>
      </c>
      <c r="AD290" s="195">
        <v>0</v>
      </c>
      <c r="AE290" s="198">
        <v>0</v>
      </c>
      <c r="AF290" s="170"/>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t="str">
        <f>"   " &amp; TEXT(AE290,"#0.00%") &amp; " "</f>
        <v xml:space="preserve">   0.00% </v>
      </c>
      <c r="BS290" s="171"/>
      <c r="BT290" s="171"/>
      <c r="BU290" s="171" t="str">
        <f>"      " &amp; "보안성심의 수행" &amp; "(BO/FO 개발PL)" &amp; " " &amp; IF(P290="","",TEXT(P290,"M/D-")) &amp; IF(Q290="","",TEXT(Q290,"M/D")) &amp; " "</f>
        <v xml:space="preserve">      보안성심의 수행(BO/FO 개발PL) 2/3-2/26 </v>
      </c>
      <c r="BV290" s="171"/>
      <c r="BW290" s="171"/>
      <c r="BX290" s="171"/>
      <c r="BY290" s="171"/>
      <c r="BZ290" s="171"/>
      <c r="CA290" s="171"/>
      <c r="CB290" s="171"/>
      <c r="CC290" s="171"/>
      <c r="CD290" s="171"/>
      <c r="CE290" s="171"/>
      <c r="CF290" s="171"/>
      <c r="CG290" s="171"/>
      <c r="CH290" s="171"/>
    </row>
    <row r="291" spans="1:86" ht="12" customHeight="1" outlineLevel="3">
      <c r="A291" s="189"/>
      <c r="B291" s="189"/>
      <c r="C291" s="189">
        <v>4</v>
      </c>
      <c r="D291" s="190" t="s">
        <v>1825</v>
      </c>
      <c r="E291" s="172"/>
      <c r="F291" s="172"/>
      <c r="G291" s="172"/>
      <c r="H291" s="172" t="s">
        <v>1683</v>
      </c>
      <c r="I291" s="172"/>
      <c r="J291" s="172"/>
      <c r="K291" s="172"/>
      <c r="L291" s="172"/>
      <c r="M291" s="172"/>
      <c r="N291" s="172"/>
      <c r="O291" s="172"/>
      <c r="P291" s="230">
        <v>46421</v>
      </c>
      <c r="Q291" s="230">
        <v>46428</v>
      </c>
      <c r="R291" s="172"/>
      <c r="S291" s="192">
        <v>4</v>
      </c>
      <c r="T291" s="192">
        <v>0</v>
      </c>
      <c r="U291" s="192">
        <v>4</v>
      </c>
      <c r="V291" s="192">
        <v>0</v>
      </c>
      <c r="W291" s="191"/>
      <c r="X291" s="191"/>
      <c r="Y291" s="193"/>
      <c r="Z291" s="194">
        <v>0</v>
      </c>
      <c r="AA291" s="192"/>
      <c r="AB291" s="222" t="s">
        <v>1728</v>
      </c>
      <c r="AC291" s="223" t="s">
        <v>1729</v>
      </c>
      <c r="AD291" s="195">
        <v>0</v>
      </c>
      <c r="AE291" s="198">
        <v>0</v>
      </c>
      <c r="AF291" s="170"/>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t="str">
        <f>"   " &amp; TEXT(AE291,"#0.00%") &amp; " " &amp; "성능테스트 계획 수립" &amp; "(TA)" &amp; " " &amp; IF(P291="","",TEXT(P291,"M/D-")) &amp; IF(Q291="","",TEXT(Q291,"M/D")) &amp; " "</f>
        <v xml:space="preserve">   0.00% 성능테스트 계획 수립(TA) 2/3-2/10 </v>
      </c>
      <c r="BS291" s="171"/>
      <c r="BT291" s="171"/>
      <c r="BU291" s="171"/>
      <c r="BV291" s="171"/>
      <c r="BW291" s="171"/>
      <c r="BX291" s="171"/>
      <c r="BY291" s="171"/>
      <c r="BZ291" s="171"/>
      <c r="CA291" s="171"/>
      <c r="CB291" s="171"/>
      <c r="CC291" s="171"/>
      <c r="CD291" s="171"/>
      <c r="CE291" s="171"/>
      <c r="CF291" s="171"/>
      <c r="CG291" s="171"/>
      <c r="CH291" s="171"/>
    </row>
    <row r="292" spans="1:86" ht="12" customHeight="1" outlineLevel="3">
      <c r="A292" s="189"/>
      <c r="B292" s="189"/>
      <c r="C292" s="189">
        <v>4</v>
      </c>
      <c r="D292" s="190" t="s">
        <v>1826</v>
      </c>
      <c r="E292" s="172"/>
      <c r="F292" s="172"/>
      <c r="G292" s="172"/>
      <c r="H292" s="172" t="s">
        <v>1684</v>
      </c>
      <c r="I292" s="172"/>
      <c r="J292" s="172"/>
      <c r="K292" s="172"/>
      <c r="L292" s="172"/>
      <c r="M292" s="172"/>
      <c r="N292" s="172"/>
      <c r="O292" s="172"/>
      <c r="P292" s="230">
        <v>46440</v>
      </c>
      <c r="Q292" s="230">
        <v>46458</v>
      </c>
      <c r="R292" s="172"/>
      <c r="S292" s="192">
        <v>14</v>
      </c>
      <c r="T292" s="192">
        <v>0</v>
      </c>
      <c r="U292" s="192">
        <v>14</v>
      </c>
      <c r="V292" s="192">
        <v>0</v>
      </c>
      <c r="W292" s="191"/>
      <c r="X292" s="191"/>
      <c r="Y292" s="193"/>
      <c r="Z292" s="194">
        <v>0</v>
      </c>
      <c r="AA292" s="192"/>
      <c r="AB292" s="222" t="s">
        <v>1728</v>
      </c>
      <c r="AC292" s="223" t="s">
        <v>1730</v>
      </c>
      <c r="AD292" s="195">
        <v>0</v>
      </c>
      <c r="AE292" s="198">
        <v>0</v>
      </c>
      <c r="AF292" s="170"/>
      <c r="AG292" s="171"/>
      <c r="AH292" s="171"/>
      <c r="AI292" s="171"/>
      <c r="AJ292" s="171"/>
      <c r="AK292" s="171"/>
      <c r="AL292" s="171"/>
      <c r="AM292" s="171"/>
      <c r="AN292" s="171"/>
      <c r="AO292" s="171"/>
      <c r="AP292" s="171"/>
      <c r="AQ292" s="171"/>
      <c r="AR292" s="171"/>
      <c r="AS292" s="171"/>
      <c r="AT292" s="171"/>
      <c r="AU292" s="171"/>
      <c r="AV292" s="171"/>
      <c r="AW292" s="171"/>
      <c r="AX292" s="171"/>
      <c r="AY292" s="171"/>
      <c r="AZ292" s="171"/>
      <c r="BA292" s="171"/>
      <c r="BB292" s="171"/>
      <c r="BC292" s="171"/>
      <c r="BD292" s="171"/>
      <c r="BE292" s="171"/>
      <c r="BF292" s="171"/>
      <c r="BG292" s="171"/>
      <c r="BH292" s="171"/>
      <c r="BI292" s="171"/>
      <c r="BJ292" s="171"/>
      <c r="BK292" s="171"/>
      <c r="BL292" s="171"/>
      <c r="BM292" s="171"/>
      <c r="BN292" s="171"/>
      <c r="BO292" s="171"/>
      <c r="BP292" s="171"/>
      <c r="BQ292" s="171"/>
      <c r="BR292" s="171"/>
      <c r="BS292" s="171"/>
      <c r="BT292" s="171"/>
      <c r="BU292" s="171" t="str">
        <f>" " &amp; TEXT(AE292,"#0.00%") &amp; " " &amp; "성능테스트 수행" &amp; "(TA)" &amp; " " &amp; IF(P292="","",TEXT(P292,"M/D-")) &amp; IF(Q292="","",TEXT(Q292,"M/D")) &amp; " "</f>
        <v xml:space="preserve"> 0.00% 성능테스트 수행(TA) 2/22-3/12 </v>
      </c>
      <c r="BV292" s="171"/>
      <c r="BW292" s="171"/>
      <c r="BX292" s="171"/>
      <c r="BY292" s="171"/>
      <c r="BZ292" s="171"/>
      <c r="CA292" s="171"/>
      <c r="CB292" s="171"/>
      <c r="CC292" s="171"/>
      <c r="CD292" s="171"/>
      <c r="CE292" s="171"/>
      <c r="CF292" s="171"/>
      <c r="CG292" s="171"/>
      <c r="CH292" s="171"/>
    </row>
    <row r="293" spans="1:86" ht="12" customHeight="1" outlineLevel="3">
      <c r="A293" s="189"/>
      <c r="B293" s="189"/>
      <c r="C293" s="189">
        <v>4</v>
      </c>
      <c r="D293" s="190" t="s">
        <v>1827</v>
      </c>
      <c r="E293" s="172"/>
      <c r="F293" s="172"/>
      <c r="G293" s="172"/>
      <c r="H293" s="172" t="s">
        <v>1685</v>
      </c>
      <c r="I293" s="172"/>
      <c r="J293" s="172"/>
      <c r="K293" s="172"/>
      <c r="L293" s="172"/>
      <c r="M293" s="172"/>
      <c r="N293" s="172"/>
      <c r="O293" s="172"/>
      <c r="P293" s="230">
        <v>46454</v>
      </c>
      <c r="Q293" s="230">
        <v>46465</v>
      </c>
      <c r="R293" s="172"/>
      <c r="S293" s="192">
        <v>10</v>
      </c>
      <c r="T293" s="192">
        <v>0</v>
      </c>
      <c r="U293" s="192">
        <v>10</v>
      </c>
      <c r="V293" s="192">
        <v>0</v>
      </c>
      <c r="W293" s="191"/>
      <c r="X293" s="191"/>
      <c r="Y293" s="193"/>
      <c r="Z293" s="194">
        <v>0</v>
      </c>
      <c r="AA293" s="192"/>
      <c r="AB293" s="222" t="s">
        <v>1775</v>
      </c>
      <c r="AC293" s="223" t="s">
        <v>1731</v>
      </c>
      <c r="AD293" s="195">
        <v>0</v>
      </c>
      <c r="AE293" s="198">
        <v>0</v>
      </c>
      <c r="AF293" s="170"/>
      <c r="AG293" s="171"/>
      <c r="AH293" s="171"/>
      <c r="AI293" s="171"/>
      <c r="AJ293" s="171"/>
      <c r="AK293" s="171"/>
      <c r="AL293" s="171"/>
      <c r="AM293" s="171"/>
      <c r="AN293" s="171"/>
      <c r="AO293" s="171"/>
      <c r="AP293" s="171"/>
      <c r="AQ293" s="171"/>
      <c r="AR293" s="171"/>
      <c r="AS293" s="171"/>
      <c r="AT293" s="171"/>
      <c r="AU293" s="171"/>
      <c r="AV293" s="171"/>
      <c r="AW293" s="171"/>
      <c r="AX293" s="171"/>
      <c r="AY293" s="171"/>
      <c r="AZ293" s="171"/>
      <c r="BA293" s="171"/>
      <c r="BB293" s="171"/>
      <c r="BC293" s="171"/>
      <c r="BD293" s="171"/>
      <c r="BE293" s="171"/>
      <c r="BF293" s="171"/>
      <c r="BG293" s="171"/>
      <c r="BH293" s="171"/>
      <c r="BI293" s="171"/>
      <c r="BJ293" s="171"/>
      <c r="BK293" s="171"/>
      <c r="BL293" s="171"/>
      <c r="BM293" s="171"/>
      <c r="BN293" s="171"/>
      <c r="BO293" s="171"/>
      <c r="BP293" s="171"/>
      <c r="BQ293" s="171"/>
      <c r="BR293" s="171"/>
      <c r="BS293" s="171"/>
      <c r="BT293" s="171"/>
      <c r="BU293" s="171"/>
      <c r="BV293" s="171"/>
      <c r="BW293" s="171" t="str">
        <f>" " &amp; TEXT(AE293,"#0.00%") &amp; " " &amp; "사용자 승인 테스트 수행" &amp; "(BO/FO 개발PL)" &amp; " " &amp; IF(P293="","",TEXT(P293,"M/D-")) &amp; IF(Q293="","",TEXT(Q293,"M/D")) &amp; " "</f>
        <v xml:space="preserve"> 0.00% 사용자 승인 테스트 수행(BO/FO 개발PL) 3/8-3/19 </v>
      </c>
      <c r="BX293" s="171"/>
      <c r="BY293" s="171"/>
      <c r="BZ293" s="171"/>
      <c r="CA293" s="171"/>
      <c r="CB293" s="171"/>
      <c r="CC293" s="171"/>
      <c r="CD293" s="171"/>
      <c r="CE293" s="171"/>
      <c r="CF293" s="171"/>
      <c r="CG293" s="171"/>
      <c r="CH293" s="171"/>
    </row>
    <row r="294" spans="1:86" ht="12" customHeight="1" outlineLevel="3">
      <c r="A294" s="189"/>
      <c r="B294" s="189"/>
      <c r="C294" s="189">
        <v>4</v>
      </c>
      <c r="D294" s="190" t="s">
        <v>1828</v>
      </c>
      <c r="E294" s="172"/>
      <c r="F294" s="172"/>
      <c r="G294" s="172"/>
      <c r="H294" s="172" t="s">
        <v>1686</v>
      </c>
      <c r="I294" s="172"/>
      <c r="J294" s="172"/>
      <c r="K294" s="172"/>
      <c r="L294" s="172"/>
      <c r="M294" s="172"/>
      <c r="N294" s="172"/>
      <c r="O294" s="172"/>
      <c r="P294" s="230">
        <v>46461</v>
      </c>
      <c r="Q294" s="230">
        <v>46477</v>
      </c>
      <c r="R294" s="172"/>
      <c r="S294" s="192">
        <v>13</v>
      </c>
      <c r="T294" s="192">
        <v>0</v>
      </c>
      <c r="U294" s="192">
        <v>13</v>
      </c>
      <c r="V294" s="192">
        <v>0</v>
      </c>
      <c r="W294" s="191"/>
      <c r="X294" s="191"/>
      <c r="Y294" s="193"/>
      <c r="Z294" s="194">
        <v>0</v>
      </c>
      <c r="AA294" s="192"/>
      <c r="AB294" s="222" t="s">
        <v>1698</v>
      </c>
      <c r="AC294" s="223" t="s">
        <v>1708</v>
      </c>
      <c r="AD294" s="195">
        <v>0</v>
      </c>
      <c r="AE294" s="198">
        <v>0</v>
      </c>
      <c r="AF294" s="170"/>
      <c r="AG294" s="171"/>
      <c r="AH294" s="171"/>
      <c r="AI294" s="171"/>
      <c r="AJ294" s="171"/>
      <c r="AK294" s="171"/>
      <c r="AL294" s="171"/>
      <c r="AM294" s="171"/>
      <c r="AN294" s="171"/>
      <c r="AO294" s="171"/>
      <c r="AP294" s="171"/>
      <c r="AQ294" s="171"/>
      <c r="AR294" s="171"/>
      <c r="AS294" s="171"/>
      <c r="AT294" s="171"/>
      <c r="AU294" s="171"/>
      <c r="AV294" s="171"/>
      <c r="AW294" s="171"/>
      <c r="AX294" s="171"/>
      <c r="AY294" s="171"/>
      <c r="AZ294" s="171"/>
      <c r="BA294" s="171"/>
      <c r="BB294" s="171"/>
      <c r="BC294" s="171"/>
      <c r="BD294" s="171"/>
      <c r="BE294" s="171"/>
      <c r="BF294" s="171"/>
      <c r="BG294" s="171"/>
      <c r="BH294" s="171"/>
      <c r="BI294" s="171"/>
      <c r="BJ294" s="171"/>
      <c r="BK294" s="171"/>
      <c r="BL294" s="171"/>
      <c r="BM294" s="171"/>
      <c r="BN294" s="171"/>
      <c r="BO294" s="171"/>
      <c r="BP294" s="171"/>
      <c r="BQ294" s="171"/>
      <c r="BR294" s="171"/>
      <c r="BS294" s="171"/>
      <c r="BT294" s="171"/>
      <c r="BU294" s="171"/>
      <c r="BV294" s="171"/>
      <c r="BW294" s="171"/>
      <c r="BX294" s="171" t="str">
        <f>" " &amp; TEXT(AE294,"#0.00%") &amp; " " &amp; "품질보증 활동" &amp; "(QA)" &amp; " " &amp; IF(P294="","",TEXT(P294,"M/D-")) &amp; IF(Q294="","",TEXT(Q294,"M/D")) &amp; " "</f>
        <v xml:space="preserve"> 0.00% 품질보증 활동(QA) 3/15-3/31 </v>
      </c>
      <c r="BY294" s="171"/>
      <c r="BZ294" s="171"/>
      <c r="CA294" s="171"/>
      <c r="CB294" s="171"/>
      <c r="CC294" s="171"/>
      <c r="CD294" s="171"/>
      <c r="CE294" s="171"/>
      <c r="CF294" s="171"/>
      <c r="CG294" s="171"/>
      <c r="CH294" s="171"/>
    </row>
    <row r="295" spans="1:86" ht="12" customHeight="1" outlineLevel="2">
      <c r="A295" s="189"/>
      <c r="B295" s="189" t="s">
        <v>1387</v>
      </c>
      <c r="C295" s="189">
        <v>3</v>
      </c>
      <c r="D295" s="190" t="s">
        <v>1829</v>
      </c>
      <c r="E295" s="172"/>
      <c r="F295" s="172"/>
      <c r="G295" s="172" t="s">
        <v>1687</v>
      </c>
      <c r="H295" s="172"/>
      <c r="I295" s="172"/>
      <c r="J295" s="172"/>
      <c r="K295" s="172"/>
      <c r="L295" s="172"/>
      <c r="M295" s="172"/>
      <c r="N295" s="172"/>
      <c r="O295" s="172"/>
      <c r="P295" s="191">
        <v>46419</v>
      </c>
      <c r="Q295" s="191">
        <v>46477</v>
      </c>
      <c r="R295" s="172"/>
      <c r="S295" s="192">
        <v>40</v>
      </c>
      <c r="T295" s="192">
        <v>0</v>
      </c>
      <c r="U295" s="192">
        <v>40</v>
      </c>
      <c r="V295" s="192">
        <v>0</v>
      </c>
      <c r="W295" s="191"/>
      <c r="X295" s="191"/>
      <c r="Y295" s="193">
        <v>0</v>
      </c>
      <c r="Z295" s="194">
        <v>0</v>
      </c>
      <c r="AA295" s="192"/>
      <c r="AB295" s="189"/>
      <c r="AC295" s="172"/>
      <c r="AD295" s="195">
        <v>0</v>
      </c>
      <c r="AE295" s="197">
        <v>0</v>
      </c>
      <c r="AF295" s="170"/>
      <c r="AG295" s="171"/>
      <c r="AH295" s="171"/>
      <c r="AI295" s="171"/>
      <c r="AJ295" s="171"/>
      <c r="AK295" s="171"/>
      <c r="AL295" s="171"/>
      <c r="AM295" s="171"/>
      <c r="AN295" s="171"/>
      <c r="AO295" s="171"/>
      <c r="AP295" s="171"/>
      <c r="AQ295" s="171"/>
      <c r="AR295" s="171"/>
      <c r="AS295" s="171"/>
      <c r="AT295" s="171"/>
      <c r="AU295" s="171"/>
      <c r="AV295" s="171"/>
      <c r="AW295" s="171"/>
      <c r="AX295" s="171"/>
      <c r="AY295" s="171"/>
      <c r="AZ295" s="171"/>
      <c r="BA295" s="171"/>
      <c r="BB295" s="171"/>
      <c r="BC295" s="171"/>
      <c r="BD295" s="171"/>
      <c r="BE295" s="171"/>
      <c r="BF295" s="171"/>
      <c r="BG295" s="171"/>
      <c r="BH295" s="171"/>
      <c r="BI295" s="171"/>
      <c r="BJ295" s="171"/>
      <c r="BK295" s="171"/>
      <c r="BL295" s="171"/>
      <c r="BM295" s="171"/>
      <c r="BN295" s="171"/>
      <c r="BO295" s="171"/>
      <c r="BP295" s="171"/>
      <c r="BQ295" s="171"/>
      <c r="BR295" s="171" t="str">
        <f>" " &amp; TEXT(AE295,"#0.00%") &amp; " "</f>
        <v xml:space="preserve"> 0.00% </v>
      </c>
      <c r="BS295" s="171"/>
      <c r="BT295" s="171"/>
      <c r="BU295" s="171"/>
      <c r="BV295" s="171"/>
      <c r="BW295" s="171"/>
      <c r="BX295" s="171"/>
      <c r="BY295" s="171"/>
      <c r="BZ295" s="171" t="str">
        <f>"    " &amp; "데이타이전" &amp; " " &amp; IF(P295="","",TEXT(P295,"M/D-")) &amp; IF(Q295="","",TEXT(Q295,"M/D")) &amp; " "</f>
        <v xml:space="preserve">    데이타이전 2/1-3/31 </v>
      </c>
      <c r="CA295" s="171"/>
      <c r="CB295" s="171"/>
      <c r="CC295" s="171"/>
      <c r="CD295" s="171"/>
      <c r="CE295" s="171"/>
      <c r="CF295" s="171"/>
      <c r="CG295" s="171"/>
      <c r="CH295" s="171"/>
    </row>
    <row r="296" spans="1:86" ht="12" customHeight="1" outlineLevel="3">
      <c r="A296" s="189"/>
      <c r="B296" s="189"/>
      <c r="C296" s="189">
        <v>4</v>
      </c>
      <c r="D296" s="190" t="s">
        <v>1830</v>
      </c>
      <c r="E296" s="172"/>
      <c r="F296" s="172"/>
      <c r="G296" s="172"/>
      <c r="H296" s="172" t="s">
        <v>1688</v>
      </c>
      <c r="I296" s="172"/>
      <c r="J296" s="172"/>
      <c r="K296" s="172"/>
      <c r="L296" s="172"/>
      <c r="M296" s="172"/>
      <c r="N296" s="172"/>
      <c r="O296" s="172"/>
      <c r="P296" s="230">
        <v>46419</v>
      </c>
      <c r="Q296" s="230">
        <v>46437</v>
      </c>
      <c r="R296" s="172"/>
      <c r="S296" s="192">
        <v>13</v>
      </c>
      <c r="T296" s="192">
        <v>0</v>
      </c>
      <c r="U296" s="192">
        <v>13</v>
      </c>
      <c r="V296" s="192">
        <v>0</v>
      </c>
      <c r="W296" s="191"/>
      <c r="X296" s="191"/>
      <c r="Y296" s="193"/>
      <c r="Z296" s="194">
        <v>0</v>
      </c>
      <c r="AA296" s="192"/>
      <c r="AB296" s="222" t="s">
        <v>1721</v>
      </c>
      <c r="AC296" s="223" t="s">
        <v>1771</v>
      </c>
      <c r="AD296" s="195">
        <v>0</v>
      </c>
      <c r="AE296" s="198">
        <v>0</v>
      </c>
      <c r="AF296" s="170"/>
      <c r="AG296" s="171"/>
      <c r="AH296" s="171"/>
      <c r="AI296" s="171"/>
      <c r="AJ296" s="171"/>
      <c r="AK296" s="171"/>
      <c r="AL296" s="171"/>
      <c r="AM296" s="171"/>
      <c r="AN296" s="171"/>
      <c r="AO296" s="171"/>
      <c r="AP296" s="171"/>
      <c r="AQ296" s="171"/>
      <c r="AR296" s="171"/>
      <c r="AS296" s="171"/>
      <c r="AT296" s="171"/>
      <c r="AU296" s="171"/>
      <c r="AV296" s="171"/>
      <c r="AW296" s="171"/>
      <c r="AX296" s="171"/>
      <c r="AY296" s="171"/>
      <c r="AZ296" s="171"/>
      <c r="BA296" s="171"/>
      <c r="BB296" s="171"/>
      <c r="BC296" s="171"/>
      <c r="BD296" s="171"/>
      <c r="BE296" s="171"/>
      <c r="BF296" s="171"/>
      <c r="BG296" s="171"/>
      <c r="BH296" s="171"/>
      <c r="BI296" s="171"/>
      <c r="BJ296" s="171"/>
      <c r="BK296" s="171"/>
      <c r="BL296" s="171"/>
      <c r="BM296" s="171"/>
      <c r="BN296" s="171"/>
      <c r="BO296" s="171"/>
      <c r="BP296" s="171"/>
      <c r="BQ296" s="171"/>
      <c r="BR296" s="171" t="str">
        <f>" " &amp; TEXT(AE296,"#0.00%") &amp; " " &amp; "데이터 이전 계획 조정" &amp; "(DBA)" &amp; " " &amp; IF(P296="","",TEXT(P296,"M/D-")) &amp; IF(Q296="","",TEXT(Q296,"M/D")) &amp; " "</f>
        <v xml:space="preserve"> 0.00% 데이터 이전 계획 조정(DBA) 2/1-2/19 </v>
      </c>
      <c r="BS296" s="171"/>
      <c r="BT296" s="171"/>
      <c r="BU296" s="171"/>
      <c r="BV296" s="171"/>
      <c r="BW296" s="171"/>
      <c r="BX296" s="171"/>
      <c r="BY296" s="171"/>
      <c r="BZ296" s="171"/>
      <c r="CA296" s="171"/>
      <c r="CB296" s="171"/>
      <c r="CC296" s="171"/>
      <c r="CD296" s="171"/>
      <c r="CE296" s="171"/>
      <c r="CF296" s="171"/>
      <c r="CG296" s="171"/>
      <c r="CH296" s="171"/>
    </row>
    <row r="297" spans="1:86" ht="12" customHeight="1" outlineLevel="3">
      <c r="A297" s="189"/>
      <c r="B297" s="189"/>
      <c r="C297" s="189">
        <v>4</v>
      </c>
      <c r="D297" s="190" t="s">
        <v>1831</v>
      </c>
      <c r="E297" s="172"/>
      <c r="F297" s="172"/>
      <c r="G297" s="172"/>
      <c r="H297" s="172" t="s">
        <v>1689</v>
      </c>
      <c r="I297" s="172"/>
      <c r="J297" s="172"/>
      <c r="K297" s="172"/>
      <c r="L297" s="172"/>
      <c r="M297" s="172"/>
      <c r="N297" s="172"/>
      <c r="O297" s="172"/>
      <c r="P297" s="230">
        <v>46440</v>
      </c>
      <c r="Q297" s="230">
        <v>46477</v>
      </c>
      <c r="R297" s="172"/>
      <c r="S297" s="192">
        <v>27</v>
      </c>
      <c r="T297" s="192">
        <v>0</v>
      </c>
      <c r="U297" s="192">
        <v>27</v>
      </c>
      <c r="V297" s="192">
        <v>0</v>
      </c>
      <c r="W297" s="191"/>
      <c r="X297" s="191"/>
      <c r="Y297" s="193"/>
      <c r="Z297" s="194">
        <v>0</v>
      </c>
      <c r="AA297" s="192"/>
      <c r="AB297" s="222" t="s">
        <v>1721</v>
      </c>
      <c r="AC297" s="223" t="s">
        <v>1777</v>
      </c>
      <c r="AD297" s="195">
        <v>0</v>
      </c>
      <c r="AE297" s="198">
        <v>0</v>
      </c>
      <c r="AF297" s="170"/>
      <c r="AG297" s="171"/>
      <c r="AH297" s="171"/>
      <c r="AI297" s="171"/>
      <c r="AJ297" s="171"/>
      <c r="AK297" s="171"/>
      <c r="AL297" s="171"/>
      <c r="AM297" s="171"/>
      <c r="AN297" s="171"/>
      <c r="AO297" s="171"/>
      <c r="AP297" s="171"/>
      <c r="AQ297" s="171"/>
      <c r="AR297" s="171"/>
      <c r="AS297" s="171"/>
      <c r="AT297" s="171"/>
      <c r="AU297" s="171"/>
      <c r="AV297" s="171"/>
      <c r="AW297" s="171"/>
      <c r="AX297" s="171"/>
      <c r="AY297" s="171"/>
      <c r="AZ297" s="171"/>
      <c r="BA297" s="171"/>
      <c r="BB297" s="171"/>
      <c r="BC297" s="171"/>
      <c r="BD297" s="171"/>
      <c r="BE297" s="171"/>
      <c r="BF297" s="171"/>
      <c r="BG297" s="171"/>
      <c r="BH297" s="171"/>
      <c r="BI297" s="171"/>
      <c r="BJ297" s="171"/>
      <c r="BK297" s="171"/>
      <c r="BL297" s="171"/>
      <c r="BM297" s="171"/>
      <c r="BN297" s="171"/>
      <c r="BO297" s="171"/>
      <c r="BP297" s="171"/>
      <c r="BQ297" s="171"/>
      <c r="BR297" s="171"/>
      <c r="BS297" s="171"/>
      <c r="BT297" s="171"/>
      <c r="BU297" s="171" t="str">
        <f>" " &amp; TEXT(AE297,"#0.00%") &amp; " "</f>
        <v xml:space="preserve"> 0.00% </v>
      </c>
      <c r="BV297" s="171"/>
      <c r="BW297" s="171"/>
      <c r="BX297" s="171"/>
      <c r="BY297" s="171"/>
      <c r="BZ297" s="171" t="str">
        <f>"    " &amp; "데이터 이전 수행" &amp; "(DBA)" &amp; " " &amp; IF(P297="","",TEXT(P297,"M/D-")) &amp; IF(Q297="","",TEXT(Q297,"M/D")) &amp; " "</f>
        <v xml:space="preserve">    데이터 이전 수행(DBA) 2/22-3/31 </v>
      </c>
      <c r="CA297" s="171"/>
      <c r="CB297" s="171"/>
      <c r="CC297" s="171"/>
      <c r="CD297" s="171"/>
      <c r="CE297" s="171"/>
      <c r="CF297" s="171"/>
      <c r="CG297" s="171"/>
      <c r="CH297" s="171"/>
    </row>
    <row r="298" spans="1:86" ht="12" customHeight="1" outlineLevel="1">
      <c r="A298" s="189"/>
      <c r="B298" s="189" t="s">
        <v>1387</v>
      </c>
      <c r="C298" s="189">
        <v>2</v>
      </c>
      <c r="D298" s="190" t="s">
        <v>1832</v>
      </c>
      <c r="E298" s="172"/>
      <c r="F298" s="172" t="s">
        <v>1690</v>
      </c>
      <c r="G298" s="172"/>
      <c r="H298" s="172"/>
      <c r="I298" s="172"/>
      <c r="J298" s="172"/>
      <c r="K298" s="172"/>
      <c r="L298" s="172"/>
      <c r="M298" s="172"/>
      <c r="N298" s="172"/>
      <c r="O298" s="172"/>
      <c r="P298" s="191">
        <v>46440</v>
      </c>
      <c r="Q298" s="191">
        <v>46477</v>
      </c>
      <c r="R298" s="172"/>
      <c r="S298" s="192">
        <v>31</v>
      </c>
      <c r="T298" s="192">
        <v>0</v>
      </c>
      <c r="U298" s="192">
        <v>27</v>
      </c>
      <c r="V298" s="192">
        <v>0</v>
      </c>
      <c r="W298" s="191"/>
      <c r="X298" s="191"/>
      <c r="Y298" s="193">
        <v>0</v>
      </c>
      <c r="Z298" s="194">
        <v>0</v>
      </c>
      <c r="AA298" s="192"/>
      <c r="AB298" s="189"/>
      <c r="AC298" s="172"/>
      <c r="AD298" s="195">
        <v>0</v>
      </c>
      <c r="AE298" s="197">
        <v>0</v>
      </c>
      <c r="AF298" s="170"/>
      <c r="AG298" s="171"/>
      <c r="AH298" s="171"/>
      <c r="AI298" s="171"/>
      <c r="AJ298" s="171"/>
      <c r="AK298" s="171"/>
      <c r="AL298" s="171"/>
      <c r="AM298" s="171"/>
      <c r="AN298" s="171"/>
      <c r="AO298" s="171"/>
      <c r="AP298" s="171"/>
      <c r="AQ298" s="171"/>
      <c r="AR298" s="171"/>
      <c r="AS298" s="171"/>
      <c r="AT298" s="171"/>
      <c r="AU298" s="171"/>
      <c r="AV298" s="171"/>
      <c r="AW298" s="171"/>
      <c r="AX298" s="171"/>
      <c r="AY298" s="171"/>
      <c r="AZ298" s="171"/>
      <c r="BA298" s="171"/>
      <c r="BB298" s="171"/>
      <c r="BC298" s="171"/>
      <c r="BD298" s="171"/>
      <c r="BE298" s="171"/>
      <c r="BF298" s="171"/>
      <c r="BG298" s="171"/>
      <c r="BH298" s="171"/>
      <c r="BI298" s="171"/>
      <c r="BJ298" s="171"/>
      <c r="BK298" s="171"/>
      <c r="BL298" s="171"/>
      <c r="BM298" s="171"/>
      <c r="BN298" s="171"/>
      <c r="BO298" s="171"/>
      <c r="BP298" s="171"/>
      <c r="BQ298" s="171"/>
      <c r="BR298" s="171"/>
      <c r="BS298" s="171"/>
      <c r="BT298" s="171"/>
      <c r="BU298" s="171" t="str">
        <f>" " &amp; TEXT(AE298,"#0.00%") &amp; " "</f>
        <v xml:space="preserve"> 0.00% </v>
      </c>
      <c r="BV298" s="171"/>
      <c r="BW298" s="171"/>
      <c r="BX298" s="171"/>
      <c r="BY298" s="171"/>
      <c r="BZ298" s="171" t="str">
        <f>"    " &amp; "오픈" &amp; " " &amp; IF(P298="","",TEXT(P298,"M/D-")) &amp; IF(Q298="","",TEXT(Q298,"M/D")) &amp; " "</f>
        <v xml:space="preserve">    오픈 2/22-3/31 </v>
      </c>
      <c r="CA298" s="171"/>
      <c r="CB298" s="171"/>
      <c r="CC298" s="171"/>
      <c r="CD298" s="171"/>
      <c r="CE298" s="171"/>
      <c r="CF298" s="171"/>
      <c r="CG298" s="171"/>
      <c r="CH298" s="171"/>
    </row>
    <row r="299" spans="1:86" ht="12" customHeight="1" outlineLevel="2">
      <c r="A299" s="189"/>
      <c r="B299" s="189"/>
      <c r="C299" s="189">
        <v>3</v>
      </c>
      <c r="D299" s="190" t="s">
        <v>1833</v>
      </c>
      <c r="E299" s="172"/>
      <c r="F299" s="172"/>
      <c r="G299" s="172" t="s">
        <v>1692</v>
      </c>
      <c r="H299" s="172"/>
      <c r="I299" s="172"/>
      <c r="J299" s="172"/>
      <c r="K299" s="172"/>
      <c r="L299" s="172"/>
      <c r="M299" s="172"/>
      <c r="N299" s="172"/>
      <c r="O299" s="172"/>
      <c r="P299" s="230">
        <v>46440</v>
      </c>
      <c r="Q299" s="230">
        <v>46477</v>
      </c>
      <c r="R299" s="172"/>
      <c r="S299" s="192">
        <v>27</v>
      </c>
      <c r="T299" s="192">
        <v>0</v>
      </c>
      <c r="U299" s="192">
        <v>27</v>
      </c>
      <c r="V299" s="192">
        <v>0</v>
      </c>
      <c r="W299" s="191"/>
      <c r="X299" s="191"/>
      <c r="Y299" s="193"/>
      <c r="Z299" s="194">
        <v>0</v>
      </c>
      <c r="AA299" s="192"/>
      <c r="AB299" s="189" t="s">
        <v>1699</v>
      </c>
      <c r="AC299" s="172"/>
      <c r="AD299" s="195">
        <v>0</v>
      </c>
      <c r="AE299" s="198">
        <v>0</v>
      </c>
      <c r="AF299" s="170"/>
      <c r="AG299" s="171"/>
      <c r="AH299" s="171"/>
      <c r="AI299" s="171"/>
      <c r="AJ299" s="171"/>
      <c r="AK299" s="171"/>
      <c r="AL299" s="171"/>
      <c r="AM299" s="171"/>
      <c r="AN299" s="171"/>
      <c r="AO299" s="171"/>
      <c r="AP299" s="171"/>
      <c r="AQ299" s="171"/>
      <c r="AR299" s="171"/>
      <c r="AS299" s="171"/>
      <c r="AT299" s="171"/>
      <c r="AU299" s="171"/>
      <c r="AV299" s="171"/>
      <c r="AW299" s="171"/>
      <c r="AX299" s="171"/>
      <c r="AY299" s="171"/>
      <c r="AZ299" s="171"/>
      <c r="BA299" s="171"/>
      <c r="BB299" s="171"/>
      <c r="BC299" s="171"/>
      <c r="BD299" s="171"/>
      <c r="BE299" s="171"/>
      <c r="BF299" s="171"/>
      <c r="BG299" s="171"/>
      <c r="BH299" s="171"/>
      <c r="BI299" s="171"/>
      <c r="BJ299" s="171"/>
      <c r="BK299" s="171"/>
      <c r="BL299" s="171"/>
      <c r="BM299" s="171"/>
      <c r="BN299" s="171"/>
      <c r="BO299" s="171"/>
      <c r="BP299" s="171"/>
      <c r="BQ299" s="171"/>
      <c r="BR299" s="171"/>
      <c r="BS299" s="171"/>
      <c r="BT299" s="171"/>
      <c r="BU299" s="171" t="str">
        <f>" " &amp; TEXT(AE299,"#0.00%") &amp; " "</f>
        <v xml:space="preserve"> 0.00% </v>
      </c>
      <c r="BV299" s="171"/>
      <c r="BW299" s="171"/>
      <c r="BX299" s="171"/>
      <c r="BY299" s="171"/>
      <c r="BZ299" s="171" t="str">
        <f>"    " &amp; "시스템 오픈 계획 수립" &amp; "(PMO)" &amp; " " &amp; IF(P299="","",TEXT(P299,"M/D-")) &amp; IF(Q299="","",TEXT(Q299,"M/D")) &amp; " "</f>
        <v xml:space="preserve">    시스템 오픈 계획 수립(PMO) 2/22-3/31 </v>
      </c>
      <c r="CA299" s="171"/>
      <c r="CB299" s="171"/>
      <c r="CC299" s="171"/>
      <c r="CD299" s="171"/>
      <c r="CE299" s="171"/>
      <c r="CF299" s="171"/>
      <c r="CG299" s="171"/>
      <c r="CH299" s="171"/>
    </row>
    <row r="300" spans="1:86" ht="12" customHeight="1" outlineLevel="2">
      <c r="A300" s="189"/>
      <c r="B300" s="189"/>
      <c r="C300" s="189">
        <v>3</v>
      </c>
      <c r="D300" s="190" t="s">
        <v>1834</v>
      </c>
      <c r="E300" s="172"/>
      <c r="F300" s="172"/>
      <c r="G300" s="172" t="s">
        <v>1691</v>
      </c>
      <c r="H300" s="172"/>
      <c r="I300" s="172"/>
      <c r="J300" s="172"/>
      <c r="K300" s="172"/>
      <c r="L300" s="172"/>
      <c r="M300" s="172"/>
      <c r="N300" s="172"/>
      <c r="O300" s="172"/>
      <c r="P300" s="230">
        <v>46475</v>
      </c>
      <c r="Q300" s="230">
        <v>46475</v>
      </c>
      <c r="R300" s="172"/>
      <c r="S300" s="192">
        <v>1</v>
      </c>
      <c r="T300" s="192">
        <v>0</v>
      </c>
      <c r="U300" s="192">
        <v>1</v>
      </c>
      <c r="V300" s="192">
        <v>0</v>
      </c>
      <c r="W300" s="191"/>
      <c r="X300" s="191"/>
      <c r="Y300" s="193"/>
      <c r="Z300" s="194">
        <v>0</v>
      </c>
      <c r="AA300" s="192"/>
      <c r="AB300" s="189" t="s">
        <v>1699</v>
      </c>
      <c r="AC300" s="172"/>
      <c r="AD300" s="195">
        <v>0</v>
      </c>
      <c r="AE300" s="198">
        <v>0</v>
      </c>
      <c r="AF300" s="170"/>
      <c r="AG300" s="171"/>
      <c r="AH300" s="171"/>
      <c r="AI300" s="171"/>
      <c r="AJ300" s="171"/>
      <c r="AK300" s="171"/>
      <c r="AL300" s="171"/>
      <c r="AM300" s="171"/>
      <c r="AN300" s="171"/>
      <c r="AO300" s="171"/>
      <c r="AP300" s="171"/>
      <c r="AQ300" s="171"/>
      <c r="AR300" s="171"/>
      <c r="AS300" s="171"/>
      <c r="AT300" s="171"/>
      <c r="AU300" s="171"/>
      <c r="AV300" s="171"/>
      <c r="AW300" s="171"/>
      <c r="AX300" s="171"/>
      <c r="AY300" s="171"/>
      <c r="AZ300" s="171"/>
      <c r="BA300" s="171"/>
      <c r="BB300" s="171"/>
      <c r="BC300" s="171"/>
      <c r="BD300" s="171"/>
      <c r="BE300" s="171"/>
      <c r="BF300" s="171"/>
      <c r="BG300" s="171"/>
      <c r="BH300" s="171"/>
      <c r="BI300" s="171"/>
      <c r="BJ300" s="171"/>
      <c r="BK300" s="171"/>
      <c r="BL300" s="171"/>
      <c r="BM300" s="171"/>
      <c r="BN300" s="171"/>
      <c r="BO300" s="171"/>
      <c r="BP300" s="171"/>
      <c r="BQ300" s="171"/>
      <c r="BR300" s="171"/>
      <c r="BS300" s="171"/>
      <c r="BT300" s="171"/>
      <c r="BU300" s="171"/>
      <c r="BV300" s="171"/>
      <c r="BW300" s="171"/>
      <c r="BX300" s="171"/>
      <c r="BY300" s="171"/>
      <c r="BZ300" s="171" t="str">
        <f>" " &amp; TEXT(AE300,"#0.00%") &amp; " " &amp; "시스템 오픈" &amp; "(PMO)" &amp; " " &amp; IF(P300="","",TEXT(P300,"M/D-")) &amp; IF(Q300="","",TEXT(Q300,"M/D")) &amp; " "</f>
        <v xml:space="preserve"> 0.00% 시스템 오픈(PMO) 3/29-3/29 </v>
      </c>
      <c r="CA300" s="171"/>
      <c r="CB300" s="171"/>
      <c r="CC300" s="171"/>
      <c r="CD300" s="171"/>
      <c r="CE300" s="171"/>
      <c r="CF300" s="171"/>
      <c r="CG300" s="171"/>
      <c r="CH300" s="171"/>
    </row>
    <row r="301" spans="1:86" ht="12" customHeight="1" outlineLevel="2">
      <c r="A301" s="189"/>
      <c r="B301" s="189"/>
      <c r="C301" s="189">
        <v>3</v>
      </c>
      <c r="D301" s="190" t="s">
        <v>1835</v>
      </c>
      <c r="E301" s="172"/>
      <c r="F301" s="172"/>
      <c r="G301" s="172" t="s">
        <v>1693</v>
      </c>
      <c r="H301" s="172"/>
      <c r="I301" s="172"/>
      <c r="J301" s="172"/>
      <c r="K301" s="172"/>
      <c r="L301" s="172"/>
      <c r="M301" s="172"/>
      <c r="N301" s="172"/>
      <c r="O301" s="172"/>
      <c r="P301" s="230">
        <v>46475</v>
      </c>
      <c r="Q301" s="230">
        <v>46477</v>
      </c>
      <c r="R301" s="172"/>
      <c r="S301" s="192">
        <v>3</v>
      </c>
      <c r="T301" s="192">
        <v>0</v>
      </c>
      <c r="U301" s="192">
        <v>3</v>
      </c>
      <c r="V301" s="192">
        <v>0</v>
      </c>
      <c r="W301" s="191"/>
      <c r="X301" s="191"/>
      <c r="Y301" s="193"/>
      <c r="Z301" s="194">
        <v>0</v>
      </c>
      <c r="AA301" s="192"/>
      <c r="AB301" s="189" t="s">
        <v>1699</v>
      </c>
      <c r="AC301" s="172"/>
      <c r="AD301" s="195">
        <v>0</v>
      </c>
      <c r="AE301" s="198">
        <v>0</v>
      </c>
      <c r="AF301" s="170"/>
      <c r="AG301" s="171"/>
      <c r="AH301" s="171"/>
      <c r="AI301" s="171"/>
      <c r="AJ301" s="171"/>
      <c r="AK301" s="171"/>
      <c r="AL301" s="171"/>
      <c r="AM301" s="171"/>
      <c r="AN301" s="171"/>
      <c r="AO301" s="171"/>
      <c r="AP301" s="171"/>
      <c r="AQ301" s="171"/>
      <c r="AR301" s="171"/>
      <c r="AS301" s="171"/>
      <c r="AT301" s="171"/>
      <c r="AU301" s="171"/>
      <c r="AV301" s="171"/>
      <c r="AW301" s="171"/>
      <c r="AX301" s="171"/>
      <c r="AY301" s="171"/>
      <c r="AZ301" s="171"/>
      <c r="BA301" s="171"/>
      <c r="BB301" s="171"/>
      <c r="BC301" s="171"/>
      <c r="BD301" s="171"/>
      <c r="BE301" s="171"/>
      <c r="BF301" s="171"/>
      <c r="BG301" s="171"/>
      <c r="BH301" s="171"/>
      <c r="BI301" s="171"/>
      <c r="BJ301" s="171"/>
      <c r="BK301" s="171"/>
      <c r="BL301" s="171"/>
      <c r="BM301" s="171"/>
      <c r="BN301" s="171"/>
      <c r="BO301" s="171"/>
      <c r="BP301" s="171"/>
      <c r="BQ301" s="171"/>
      <c r="BR301" s="171"/>
      <c r="BS301" s="171"/>
      <c r="BT301" s="171"/>
      <c r="BU301" s="171"/>
      <c r="BV301" s="171"/>
      <c r="BW301" s="171"/>
      <c r="BX301" s="171"/>
      <c r="BY301" s="171"/>
      <c r="BZ301" s="171" t="str">
        <f>" " &amp; TEXT(AE301,"#0.00%") &amp; " " &amp; "시스템 오픈 결과 작성" &amp; "(PMO)" &amp; " " &amp; IF(P301="","",TEXT(P301,"M/D-")) &amp; IF(Q301="","",TEXT(Q301,"M/D")) &amp; " "</f>
        <v xml:space="preserve"> 0.00% 시스템 오픈 결과 작성(PMO) 3/29-3/31 </v>
      </c>
      <c r="CA301" s="171"/>
      <c r="CB301" s="171"/>
      <c r="CC301" s="171"/>
      <c r="CD301" s="171"/>
      <c r="CE301" s="171"/>
      <c r="CF301" s="171"/>
      <c r="CG301" s="171"/>
      <c r="CH301" s="171"/>
    </row>
    <row r="302" spans="1:86" ht="12" customHeight="1" outlineLevel="1">
      <c r="A302" s="189"/>
      <c r="B302" s="189" t="s">
        <v>1387</v>
      </c>
      <c r="C302" s="189">
        <v>2</v>
      </c>
      <c r="D302" s="190" t="s">
        <v>1836</v>
      </c>
      <c r="E302" s="172"/>
      <c r="F302" s="172" t="s">
        <v>1694</v>
      </c>
      <c r="G302" s="172"/>
      <c r="H302" s="172"/>
      <c r="I302" s="172"/>
      <c r="J302" s="172"/>
      <c r="K302" s="172"/>
      <c r="L302" s="172"/>
      <c r="M302" s="172"/>
      <c r="N302" s="172"/>
      <c r="O302" s="172"/>
      <c r="P302" s="191">
        <v>46478</v>
      </c>
      <c r="Q302" s="191">
        <v>46527</v>
      </c>
      <c r="R302" s="172"/>
      <c r="S302" s="192">
        <v>78</v>
      </c>
      <c r="T302" s="192">
        <v>0</v>
      </c>
      <c r="U302" s="192">
        <v>34</v>
      </c>
      <c r="V302" s="192">
        <v>0</v>
      </c>
      <c r="W302" s="191"/>
      <c r="X302" s="191"/>
      <c r="Y302" s="193">
        <v>0</v>
      </c>
      <c r="Z302" s="194">
        <v>0</v>
      </c>
      <c r="AA302" s="192"/>
      <c r="AB302" s="189"/>
      <c r="AC302" s="172"/>
      <c r="AD302" s="195">
        <v>0</v>
      </c>
      <c r="AE302" s="197">
        <v>0</v>
      </c>
      <c r="AF302" s="170"/>
      <c r="AG302" s="171"/>
      <c r="AH302" s="171"/>
      <c r="AI302" s="171"/>
      <c r="AJ302" s="171"/>
      <c r="AK302" s="171"/>
      <c r="AL302" s="171"/>
      <c r="AM302" s="171"/>
      <c r="AN302" s="171"/>
      <c r="AO302" s="171"/>
      <c r="AP302" s="171"/>
      <c r="AQ302" s="171"/>
      <c r="AR302" s="171"/>
      <c r="AS302" s="171"/>
      <c r="AT302" s="171"/>
      <c r="AU302" s="171"/>
      <c r="AV302" s="171"/>
      <c r="AW302" s="171"/>
      <c r="AX302" s="171"/>
      <c r="AY302" s="171"/>
      <c r="AZ302" s="171"/>
      <c r="BA302" s="171"/>
      <c r="BB302" s="171"/>
      <c r="BC302" s="171"/>
      <c r="BD302" s="171"/>
      <c r="BE302" s="171"/>
      <c r="BF302" s="171"/>
      <c r="BG302" s="171"/>
      <c r="BH302" s="171"/>
      <c r="BI302" s="171"/>
      <c r="BJ302" s="171"/>
      <c r="BK302" s="171"/>
      <c r="BL302" s="171"/>
      <c r="BM302" s="171"/>
      <c r="BN302" s="171"/>
      <c r="BO302" s="171"/>
      <c r="BP302" s="171"/>
      <c r="BQ302" s="171"/>
      <c r="BR302" s="171"/>
      <c r="BS302" s="171"/>
      <c r="BT302" s="171"/>
      <c r="BU302" s="171"/>
      <c r="BV302" s="171"/>
      <c r="BW302" s="171"/>
      <c r="BX302" s="171"/>
      <c r="BY302" s="171"/>
      <c r="BZ302" s="171" t="str">
        <f>"    " &amp; TEXT(AE302,"#0.00%") &amp; " "</f>
        <v xml:space="preserve">    0.00% </v>
      </c>
      <c r="CA302" s="171"/>
      <c r="CB302" s="171"/>
      <c r="CC302" s="171"/>
      <c r="CD302" s="171"/>
      <c r="CE302" s="171"/>
      <c r="CF302" s="171"/>
      <c r="CG302" s="171" t="str">
        <f>"     " &amp; "안정화" &amp; " " &amp; IF(P302="","",TEXT(P302,"M/D-")) &amp; IF(Q302="","",TEXT(Q302,"M/D")) &amp; " "</f>
        <v xml:space="preserve">     안정화 4/1-5/20 </v>
      </c>
      <c r="CH302" s="171"/>
    </row>
    <row r="303" spans="1:86" ht="12" customHeight="1" outlineLevel="2">
      <c r="A303" s="189"/>
      <c r="B303" s="189"/>
      <c r="C303" s="189">
        <v>3</v>
      </c>
      <c r="D303" s="190" t="s">
        <v>1837</v>
      </c>
      <c r="E303" s="172"/>
      <c r="F303" s="172"/>
      <c r="G303" s="172" t="s">
        <v>1695</v>
      </c>
      <c r="H303" s="172"/>
      <c r="I303" s="172"/>
      <c r="J303" s="172"/>
      <c r="K303" s="172"/>
      <c r="L303" s="172"/>
      <c r="M303" s="172"/>
      <c r="N303" s="172"/>
      <c r="O303" s="172"/>
      <c r="P303" s="230">
        <v>46478</v>
      </c>
      <c r="Q303" s="230">
        <v>46507</v>
      </c>
      <c r="R303" s="172"/>
      <c r="S303" s="192">
        <v>22</v>
      </c>
      <c r="T303" s="192">
        <v>0</v>
      </c>
      <c r="U303" s="192">
        <v>22</v>
      </c>
      <c r="V303" s="192">
        <v>0</v>
      </c>
      <c r="W303" s="191"/>
      <c r="X303" s="191"/>
      <c r="Y303" s="193"/>
      <c r="Z303" s="194">
        <v>0</v>
      </c>
      <c r="AA303" s="192"/>
      <c r="AB303" s="222" t="s">
        <v>1714</v>
      </c>
      <c r="AC303" s="223" t="s">
        <v>1732</v>
      </c>
      <c r="AD303" s="195">
        <v>0</v>
      </c>
      <c r="AE303" s="198">
        <v>0</v>
      </c>
      <c r="AF303" s="170"/>
      <c r="AG303" s="171"/>
      <c r="AH303" s="171"/>
      <c r="AI303" s="171"/>
      <c r="AJ303" s="171"/>
      <c r="AK303" s="171"/>
      <c r="AL303" s="171"/>
      <c r="AM303" s="171"/>
      <c r="AN303" s="171"/>
      <c r="AO303" s="171"/>
      <c r="AP303" s="171"/>
      <c r="AQ303" s="171"/>
      <c r="AR303" s="171"/>
      <c r="AS303" s="171"/>
      <c r="AT303" s="171"/>
      <c r="AU303" s="171"/>
      <c r="AV303" s="171"/>
      <c r="AW303" s="171"/>
      <c r="AX303" s="171"/>
      <c r="AY303" s="171"/>
      <c r="AZ303" s="171"/>
      <c r="BA303" s="171"/>
      <c r="BB303" s="171"/>
      <c r="BC303" s="171"/>
      <c r="BD303" s="171"/>
      <c r="BE303" s="171"/>
      <c r="BF303" s="171"/>
      <c r="BG303" s="171"/>
      <c r="BH303" s="171"/>
      <c r="BI303" s="171"/>
      <c r="BJ303" s="171"/>
      <c r="BK303" s="171"/>
      <c r="BL303" s="171"/>
      <c r="BM303" s="171"/>
      <c r="BN303" s="171"/>
      <c r="BO303" s="171"/>
      <c r="BP303" s="171"/>
      <c r="BQ303" s="171"/>
      <c r="BR303" s="171"/>
      <c r="BS303" s="171"/>
      <c r="BT303" s="171"/>
      <c r="BU303" s="171"/>
      <c r="BV303" s="171"/>
      <c r="BW303" s="171"/>
      <c r="BX303" s="171"/>
      <c r="BY303" s="171"/>
      <c r="BZ303" s="171" t="str">
        <f>"    " &amp; TEXT(AE303,"#0.00%") &amp; " "</f>
        <v xml:space="preserve">    0.00% </v>
      </c>
      <c r="CA303" s="171"/>
      <c r="CB303" s="171"/>
      <c r="CC303" s="171"/>
      <c r="CD303" s="171" t="str">
        <f>"      " &amp; "장애처리 계획 수립" &amp; "(AA)" &amp; " " &amp; IF(P303="","",TEXT(P303,"M/D-")) &amp; IF(Q303="","",TEXT(Q303,"M/D")) &amp; " "</f>
        <v xml:space="preserve">      장애처리 계획 수립(AA) 4/1-4/30 </v>
      </c>
      <c r="CE303" s="171"/>
      <c r="CF303" s="171"/>
      <c r="CG303" s="171"/>
      <c r="CH303" s="171"/>
    </row>
    <row r="304" spans="1:86" ht="12" customHeight="1" outlineLevel="2">
      <c r="A304" s="189"/>
      <c r="B304" s="189"/>
      <c r="C304" s="189">
        <v>3</v>
      </c>
      <c r="D304" s="190" t="s">
        <v>1838</v>
      </c>
      <c r="E304" s="172"/>
      <c r="F304" s="172"/>
      <c r="G304" s="172" t="s">
        <v>1696</v>
      </c>
      <c r="H304" s="172"/>
      <c r="I304" s="172"/>
      <c r="J304" s="172"/>
      <c r="K304" s="172"/>
      <c r="L304" s="172"/>
      <c r="M304" s="172"/>
      <c r="N304" s="172"/>
      <c r="O304" s="172"/>
      <c r="P304" s="230">
        <v>46478</v>
      </c>
      <c r="Q304" s="230">
        <v>46507</v>
      </c>
      <c r="R304" s="172"/>
      <c r="S304" s="192">
        <v>22</v>
      </c>
      <c r="T304" s="192">
        <v>0</v>
      </c>
      <c r="U304" s="192">
        <v>22</v>
      </c>
      <c r="V304" s="192">
        <v>0</v>
      </c>
      <c r="W304" s="191"/>
      <c r="X304" s="191"/>
      <c r="Y304" s="193"/>
      <c r="Z304" s="194">
        <v>0</v>
      </c>
      <c r="AA304" s="192"/>
      <c r="AB304" s="222" t="s">
        <v>1775</v>
      </c>
      <c r="AC304" s="223" t="s">
        <v>1778</v>
      </c>
      <c r="AD304" s="195">
        <v>0</v>
      </c>
      <c r="AE304" s="198">
        <v>0</v>
      </c>
      <c r="AF304" s="170"/>
      <c r="AG304" s="171"/>
      <c r="AH304" s="171"/>
      <c r="AI304" s="171"/>
      <c r="AJ304" s="171"/>
      <c r="AK304" s="171"/>
      <c r="AL304" s="171"/>
      <c r="AM304" s="171"/>
      <c r="AN304" s="171"/>
      <c r="AO304" s="171"/>
      <c r="AP304" s="171"/>
      <c r="AQ304" s="171"/>
      <c r="AR304" s="171"/>
      <c r="AS304" s="171"/>
      <c r="AT304" s="171"/>
      <c r="AU304" s="171"/>
      <c r="AV304" s="171"/>
      <c r="AW304" s="171"/>
      <c r="AX304" s="171"/>
      <c r="AY304" s="171"/>
      <c r="AZ304" s="171"/>
      <c r="BA304" s="171"/>
      <c r="BB304" s="171"/>
      <c r="BC304" s="171"/>
      <c r="BD304" s="171"/>
      <c r="BE304" s="171"/>
      <c r="BF304" s="171"/>
      <c r="BG304" s="171"/>
      <c r="BH304" s="171"/>
      <c r="BI304" s="171"/>
      <c r="BJ304" s="171"/>
      <c r="BK304" s="171"/>
      <c r="BL304" s="171"/>
      <c r="BM304" s="171"/>
      <c r="BN304" s="171"/>
      <c r="BO304" s="171"/>
      <c r="BP304" s="171"/>
      <c r="BQ304" s="171"/>
      <c r="BR304" s="171"/>
      <c r="BS304" s="171"/>
      <c r="BT304" s="171"/>
      <c r="BU304" s="171"/>
      <c r="BV304" s="171"/>
      <c r="BW304" s="171"/>
      <c r="BX304" s="171"/>
      <c r="BY304" s="171"/>
      <c r="BZ304" s="171" t="str">
        <f>"    " &amp; TEXT(AE304,"#0.00%") &amp; " "</f>
        <v xml:space="preserve">    0.00% </v>
      </c>
      <c r="CA304" s="171"/>
      <c r="CB304" s="171"/>
      <c r="CC304" s="171"/>
      <c r="CD304" s="171" t="str">
        <f>"      " &amp; "기술이전 계획 수립" &amp; "(BO/FO 개발PL)" &amp; " " &amp; IF(P304="","",TEXT(P304,"M/D-")) &amp; IF(Q304="","",TEXT(Q304,"M/D")) &amp; " "</f>
        <v xml:space="preserve">      기술이전 계획 수립(BO/FO 개발PL) 4/1-4/30 </v>
      </c>
      <c r="CE304" s="171"/>
      <c r="CF304" s="171"/>
      <c r="CG304" s="171"/>
      <c r="CH304" s="171"/>
    </row>
    <row r="305" spans="1:86" ht="12" customHeight="1" outlineLevel="2">
      <c r="A305" s="189"/>
      <c r="B305" s="189"/>
      <c r="C305" s="189">
        <v>3</v>
      </c>
      <c r="D305" s="190" t="s">
        <v>1839</v>
      </c>
      <c r="E305" s="172"/>
      <c r="F305" s="172"/>
      <c r="G305" s="172" t="s">
        <v>1696</v>
      </c>
      <c r="H305" s="172"/>
      <c r="I305" s="172"/>
      <c r="J305" s="172"/>
      <c r="K305" s="172"/>
      <c r="L305" s="172"/>
      <c r="M305" s="172"/>
      <c r="N305" s="172"/>
      <c r="O305" s="172"/>
      <c r="P305" s="230">
        <v>46478</v>
      </c>
      <c r="Q305" s="230">
        <v>46507</v>
      </c>
      <c r="R305" s="172"/>
      <c r="S305" s="192">
        <v>22</v>
      </c>
      <c r="T305" s="192">
        <v>0</v>
      </c>
      <c r="U305" s="192">
        <v>22</v>
      </c>
      <c r="V305" s="192">
        <v>0</v>
      </c>
      <c r="W305" s="191"/>
      <c r="X305" s="191"/>
      <c r="Y305" s="193"/>
      <c r="Z305" s="194">
        <v>0</v>
      </c>
      <c r="AA305" s="192"/>
      <c r="AB305" s="222" t="s">
        <v>1775</v>
      </c>
      <c r="AC305" s="223" t="s">
        <v>1779</v>
      </c>
      <c r="AD305" s="195">
        <v>0</v>
      </c>
      <c r="AE305" s="198">
        <v>0</v>
      </c>
      <c r="AF305" s="170"/>
      <c r="AG305" s="171"/>
      <c r="AH305" s="171"/>
      <c r="AI305" s="171"/>
      <c r="AJ305" s="171"/>
      <c r="AK305" s="171"/>
      <c r="AL305" s="171"/>
      <c r="AM305" s="171"/>
      <c r="AN305" s="171"/>
      <c r="AO305" s="171"/>
      <c r="AP305" s="171"/>
      <c r="AQ305" s="171"/>
      <c r="AR305" s="171"/>
      <c r="AS305" s="171"/>
      <c r="AT305" s="171"/>
      <c r="AU305" s="171"/>
      <c r="AV305" s="171"/>
      <c r="AW305" s="171"/>
      <c r="AX305" s="171"/>
      <c r="AY305" s="171"/>
      <c r="AZ305" s="171"/>
      <c r="BA305" s="171"/>
      <c r="BB305" s="171"/>
      <c r="BC305" s="171"/>
      <c r="BD305" s="171"/>
      <c r="BE305" s="171"/>
      <c r="BF305" s="171"/>
      <c r="BG305" s="171"/>
      <c r="BH305" s="171"/>
      <c r="BI305" s="171"/>
      <c r="BJ305" s="171"/>
      <c r="BK305" s="171"/>
      <c r="BL305" s="171"/>
      <c r="BM305" s="171"/>
      <c r="BN305" s="171"/>
      <c r="BO305" s="171"/>
      <c r="BP305" s="171"/>
      <c r="BQ305" s="171"/>
      <c r="BR305" s="171"/>
      <c r="BS305" s="171"/>
      <c r="BT305" s="171"/>
      <c r="BU305" s="171"/>
      <c r="BV305" s="171"/>
      <c r="BW305" s="171"/>
      <c r="BX305" s="171"/>
      <c r="BY305" s="171"/>
      <c r="BZ305" s="171" t="str">
        <f>"    " &amp; TEXT(AE305,"#0.00%") &amp; " "</f>
        <v xml:space="preserve">    0.00% </v>
      </c>
      <c r="CA305" s="171"/>
      <c r="CB305" s="171"/>
      <c r="CC305" s="171"/>
      <c r="CD305" s="171" t="str">
        <f>"      " &amp; "기술이전 계획 수립" &amp; "(BO/FO 개발PL)" &amp; " " &amp; IF(P305="","",TEXT(P305,"M/D-")) &amp; IF(Q305="","",TEXT(Q305,"M/D")) &amp; " "</f>
        <v xml:space="preserve">      기술이전 계획 수립(BO/FO 개발PL) 4/1-4/30 </v>
      </c>
      <c r="CE305" s="171"/>
      <c r="CF305" s="171"/>
      <c r="CG305" s="171"/>
      <c r="CH305" s="171"/>
    </row>
    <row r="306" spans="1:86" ht="12" customHeight="1" outlineLevel="2">
      <c r="A306" s="189"/>
      <c r="B306" s="189"/>
      <c r="C306" s="189">
        <v>3</v>
      </c>
      <c r="D306" s="190" t="s">
        <v>1840</v>
      </c>
      <c r="E306" s="172"/>
      <c r="F306" s="172"/>
      <c r="G306" s="172" t="s">
        <v>1697</v>
      </c>
      <c r="H306" s="172"/>
      <c r="I306" s="172"/>
      <c r="J306" s="172"/>
      <c r="K306" s="172"/>
      <c r="L306" s="172"/>
      <c r="M306" s="172"/>
      <c r="N306" s="172"/>
      <c r="O306" s="172"/>
      <c r="P306" s="230">
        <v>46509</v>
      </c>
      <c r="Q306" s="230">
        <v>46527</v>
      </c>
      <c r="R306" s="172"/>
      <c r="S306" s="192">
        <v>12</v>
      </c>
      <c r="T306" s="192">
        <v>0</v>
      </c>
      <c r="U306" s="192">
        <v>12</v>
      </c>
      <c r="V306" s="192">
        <v>0</v>
      </c>
      <c r="W306" s="191"/>
      <c r="X306" s="191"/>
      <c r="Y306" s="193"/>
      <c r="Z306" s="194">
        <v>0</v>
      </c>
      <c r="AA306" s="192"/>
      <c r="AB306" s="222" t="s">
        <v>1775</v>
      </c>
      <c r="AC306" s="223" t="s">
        <v>1733</v>
      </c>
      <c r="AD306" s="195">
        <v>0</v>
      </c>
      <c r="AE306" s="198">
        <v>0</v>
      </c>
      <c r="AF306" s="170"/>
      <c r="AG306" s="171"/>
      <c r="AH306" s="171"/>
      <c r="AI306" s="171"/>
      <c r="AJ306" s="171"/>
      <c r="AK306" s="171"/>
      <c r="AL306" s="171"/>
      <c r="AM306" s="171"/>
      <c r="AN306" s="171"/>
      <c r="AO306" s="171"/>
      <c r="AP306" s="171"/>
      <c r="AQ306" s="171"/>
      <c r="AR306" s="171"/>
      <c r="AS306" s="171"/>
      <c r="AT306" s="171"/>
      <c r="AU306" s="171"/>
      <c r="AV306" s="171"/>
      <c r="AW306" s="171"/>
      <c r="AX306" s="171"/>
      <c r="AY306" s="171"/>
      <c r="AZ306" s="171"/>
      <c r="BA306" s="171"/>
      <c r="BB306" s="171"/>
      <c r="BC306" s="171"/>
      <c r="BD306" s="171"/>
      <c r="BE306" s="171"/>
      <c r="BF306" s="171"/>
      <c r="BG306" s="171"/>
      <c r="BH306" s="171"/>
      <c r="BI306" s="171"/>
      <c r="BJ306" s="171"/>
      <c r="BK306" s="171"/>
      <c r="BL306" s="171"/>
      <c r="BM306" s="171"/>
      <c r="BN306" s="171"/>
      <c r="BO306" s="171"/>
      <c r="BP306" s="171"/>
      <c r="BQ306" s="171"/>
      <c r="BR306" s="171"/>
      <c r="BS306" s="171"/>
      <c r="BT306" s="171"/>
      <c r="BU306" s="171"/>
      <c r="BV306" s="171"/>
      <c r="BW306" s="171"/>
      <c r="BX306" s="171"/>
      <c r="BY306" s="171"/>
      <c r="BZ306" s="171"/>
      <c r="CA306" s="171"/>
      <c r="CB306" s="171"/>
      <c r="CC306" s="171"/>
      <c r="CD306" s="171"/>
      <c r="CE306" s="171" t="str">
        <f>"" &amp; TEXT(AE306,"#0.00%") &amp; " " &amp; "하자보수 계획 수립" &amp; "(BO/FO 개발PL)" &amp; " " &amp; IF(P306="","",TEXT(P306,"M/D-")) &amp; IF(Q306="","",TEXT(Q306,"M/D")) &amp; " "</f>
        <v xml:space="preserve">0.00% 하자보수 계획 수립(BO/FO 개발PL) 5/2-5/20 </v>
      </c>
      <c r="CF306" s="171"/>
      <c r="CG306" s="171"/>
      <c r="CH306" s="171"/>
    </row>
    <row r="307" spans="1:86" ht="12" customHeight="1">
      <c r="A307" s="202"/>
      <c r="B307" s="202"/>
      <c r="C307" s="202"/>
      <c r="D307" s="203"/>
      <c r="E307" s="204"/>
      <c r="F307" s="204"/>
      <c r="G307" s="204"/>
      <c r="H307" s="204"/>
      <c r="I307" s="204"/>
      <c r="J307" s="204"/>
      <c r="K307" s="204"/>
      <c r="L307" s="204"/>
      <c r="M307" s="204"/>
      <c r="N307" s="204"/>
      <c r="O307" s="204"/>
      <c r="P307" s="205"/>
      <c r="Q307" s="205"/>
      <c r="R307" s="204"/>
      <c r="S307" s="206"/>
      <c r="T307" s="206"/>
      <c r="U307" s="206"/>
      <c r="V307" s="206"/>
      <c r="W307" s="205"/>
      <c r="X307" s="205"/>
      <c r="Y307" s="207"/>
      <c r="Z307" s="208"/>
      <c r="AA307" s="206"/>
      <c r="AB307" s="204"/>
      <c r="AC307" s="204"/>
      <c r="AD307" s="209"/>
      <c r="AE307" s="210"/>
      <c r="AF307" s="102"/>
      <c r="AG307" s="102"/>
      <c r="AH307" s="102"/>
      <c r="AI307" s="102"/>
      <c r="AJ307" s="102"/>
      <c r="AK307" s="102"/>
      <c r="AL307" s="102"/>
      <c r="AM307" s="102"/>
      <c r="AN307" s="102"/>
      <c r="AO307" s="102"/>
      <c r="AP307" s="102"/>
      <c r="AQ307" s="102"/>
      <c r="AR307" s="102"/>
      <c r="AS307" s="102"/>
      <c r="AT307" s="102"/>
      <c r="AU307" s="102"/>
      <c r="AV307" s="102"/>
      <c r="AW307" s="102"/>
      <c r="AX307" s="102"/>
      <c r="AY307" s="102"/>
      <c r="AZ307" s="102"/>
      <c r="BA307" s="102"/>
      <c r="BB307" s="102"/>
      <c r="BC307" s="102"/>
      <c r="BD307" s="102"/>
      <c r="BE307" s="102"/>
      <c r="BF307" s="102"/>
      <c r="BG307" s="102"/>
      <c r="BH307" s="102"/>
      <c r="BI307" s="102"/>
      <c r="BJ307" s="102"/>
      <c r="BK307" s="102"/>
      <c r="BL307" s="102"/>
      <c r="BM307" s="102"/>
      <c r="BN307" s="102"/>
      <c r="BO307" s="102"/>
      <c r="BP307" s="102"/>
      <c r="BQ307" s="102"/>
      <c r="BR307" s="102"/>
      <c r="BS307" s="102"/>
      <c r="BT307" s="102"/>
      <c r="BU307" s="102"/>
      <c r="BV307" s="102"/>
      <c r="BW307" s="102"/>
      <c r="BX307" s="102"/>
      <c r="BY307" s="102"/>
      <c r="BZ307" s="102"/>
      <c r="CA307" s="102"/>
      <c r="CB307" s="102"/>
      <c r="CC307" s="102"/>
      <c r="CD307" s="102"/>
      <c r="CE307" s="102"/>
      <c r="CF307" s="102"/>
      <c r="CG307" s="102"/>
      <c r="CH307" s="102"/>
    </row>
  </sheetData>
  <sheetProtection formatCells="0" formatColumns="0" formatRows="0" insertColumns="0" insertRows="0" insertHyperlinks="0" deleteColumns="0" deleteRows="0" sort="0" autoFilter="0" pivotTables="0"/>
  <dataConsolidate/>
  <mergeCells count="50">
    <mergeCell ref="AJ3:AM3"/>
    <mergeCell ref="AJ2:AM2"/>
    <mergeCell ref="AN3:AQ3"/>
    <mergeCell ref="AN2:AQ2"/>
    <mergeCell ref="U3:U4"/>
    <mergeCell ref="V3:V4"/>
    <mergeCell ref="W3:W4"/>
    <mergeCell ref="AE3:AE4"/>
    <mergeCell ref="AF2:AI2"/>
    <mergeCell ref="AF3:AI3"/>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 ref="AR2:AU2"/>
    <mergeCell ref="AV3:AY3"/>
    <mergeCell ref="AV2:AY2"/>
    <mergeCell ref="AZ3:BC3"/>
    <mergeCell ref="AZ2:BC2"/>
    <mergeCell ref="AR3:AU3"/>
    <mergeCell ref="BD3:BG3"/>
    <mergeCell ref="BD2:BG2"/>
    <mergeCell ref="BH3:BK3"/>
    <mergeCell ref="BH2:BK2"/>
    <mergeCell ref="BL3:BO3"/>
    <mergeCell ref="BL2:BO2"/>
    <mergeCell ref="CB3:CE3"/>
    <mergeCell ref="CB2:CE2"/>
    <mergeCell ref="CF3:CI3"/>
    <mergeCell ref="CF2:CI2"/>
    <mergeCell ref="BP3:BS3"/>
    <mergeCell ref="BP2:BS2"/>
    <mergeCell ref="BT3:BW3"/>
    <mergeCell ref="BT2:BW2"/>
    <mergeCell ref="BX3:CA3"/>
    <mergeCell ref="BX2:CA2"/>
  </mergeCells>
  <phoneticPr fontId="1" type="noConversion"/>
  <conditionalFormatting sqref="D5:AD306">
    <cfRule type="expression" dxfId="0" priority="1">
      <formula>($B5="G")</formula>
    </cfRule>
  </conditionalFormatting>
  <hyperlinks>
    <hyperlink ref="AF1:BJ1" r:id="rId1" display="https://xlworks.net/xlgantt-project-scheduler/" xr:uid="{B4427E65-8031-485F-9912-132359D76462}"/>
  </hyperlinks>
  <pageMargins left="0.19685039370078741" right="0.23622047244094491" top="0.43307086614173229" bottom="0.23622047244094491" header="0.23622047244094491" footer="0.19685039370078741"/>
  <pageSetup paperSize="9" scale="1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25"/>
  <cols>
    <col min="1" max="1" width="40.625" style="57" customWidth="1"/>
    <col min="2" max="2" width="13.187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1560</v>
      </c>
      <c r="B1" s="2"/>
      <c r="C1" s="2"/>
      <c r="D1" s="2"/>
      <c r="E1" s="2"/>
      <c r="F1" s="2"/>
      <c r="G1" s="2"/>
      <c r="H1" s="2"/>
      <c r="I1" s="2"/>
      <c r="J1" s="2"/>
      <c r="K1" s="2"/>
      <c r="L1" s="300"/>
      <c r="M1" s="301"/>
      <c r="N1" s="301"/>
      <c r="O1" s="3"/>
      <c r="P1" s="3"/>
      <c r="Q1" s="3"/>
    </row>
    <row r="2" spans="1:17" s="7" customFormat="1" ht="13.15">
      <c r="A2" s="5" t="s">
        <v>1563</v>
      </c>
      <c r="B2" s="6"/>
    </row>
    <row r="3" spans="1:17" s="7" customFormat="1" ht="13.15">
      <c r="A3" s="5" t="s">
        <v>1564</v>
      </c>
      <c r="B3" s="6"/>
    </row>
    <row r="4" spans="1:17" s="7" customFormat="1" ht="13.15">
      <c r="A4" s="302"/>
      <c r="B4" s="302"/>
      <c r="C4" s="8"/>
      <c r="D4" s="9"/>
      <c r="E4" s="9"/>
      <c r="F4" s="9"/>
    </row>
    <row r="5" spans="1:17" s="15" customFormat="1" ht="13.15">
      <c r="A5" s="10"/>
      <c r="B5" s="11"/>
      <c r="C5" s="12"/>
      <c r="D5" s="13"/>
      <c r="E5" s="14"/>
      <c r="F5" s="14"/>
      <c r="G5" s="14"/>
    </row>
    <row r="6" spans="1:17" s="15" customFormat="1" ht="13.15">
      <c r="A6" s="16" t="s">
        <v>1565</v>
      </c>
      <c r="B6" s="17">
        <v>7171</v>
      </c>
      <c r="C6" s="15" t="s">
        <v>0</v>
      </c>
      <c r="D6" s="299" t="s">
        <v>1566</v>
      </c>
      <c r="E6" s="299"/>
      <c r="F6" s="299"/>
      <c r="G6" s="299"/>
    </row>
    <row r="7" spans="1:17" s="15" customFormat="1" ht="13.15">
      <c r="A7" s="18"/>
      <c r="B7" s="19"/>
      <c r="C7" s="20"/>
      <c r="D7" s="21"/>
      <c r="E7" s="21"/>
      <c r="F7" s="21"/>
      <c r="G7" s="21"/>
    </row>
    <row r="8" spans="1:17" s="15" customFormat="1" ht="12.75" customHeight="1">
      <c r="A8" s="22"/>
      <c r="B8" s="23"/>
      <c r="D8" s="24"/>
      <c r="E8" s="24"/>
      <c r="F8" s="24"/>
      <c r="G8" s="24"/>
      <c r="J8" s="25"/>
    </row>
    <row r="9" spans="1:17" s="15" customFormat="1" ht="13.15">
      <c r="A9" s="16" t="s">
        <v>1567</v>
      </c>
      <c r="B9" s="17">
        <v>1378</v>
      </c>
      <c r="C9" s="15" t="s">
        <v>0</v>
      </c>
      <c r="D9" s="303" t="s">
        <v>1568</v>
      </c>
      <c r="E9" s="298"/>
      <c r="F9" s="298"/>
      <c r="G9" s="298"/>
    </row>
    <row r="10" spans="1:17" s="15" customFormat="1" ht="13.1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1561</v>
      </c>
      <c r="B12" s="17">
        <v>911.75750000000016</v>
      </c>
      <c r="C12" s="15" t="s">
        <v>0</v>
      </c>
      <c r="D12" s="303" t="s">
        <v>1562</v>
      </c>
      <c r="E12" s="298"/>
      <c r="F12" s="298"/>
      <c r="G12" s="298"/>
    </row>
    <row r="13" spans="1:17" s="32" customFormat="1" ht="13.1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1569</v>
      </c>
      <c r="B15" s="17"/>
      <c r="C15" s="15" t="s">
        <v>0</v>
      </c>
      <c r="D15" s="298" t="s">
        <v>1570</v>
      </c>
      <c r="E15" s="298"/>
      <c r="F15" s="298"/>
      <c r="G15" s="298"/>
    </row>
    <row r="16" spans="1:17" s="15" customFormat="1" ht="13.15">
      <c r="A16" s="30"/>
      <c r="B16" s="36"/>
      <c r="C16" s="37"/>
      <c r="D16" s="27"/>
      <c r="E16" s="27"/>
      <c r="F16" s="27"/>
      <c r="G16" s="27"/>
    </row>
    <row r="17" spans="1:7" s="32" customFormat="1" ht="12.75" customHeight="1">
      <c r="A17" s="38"/>
      <c r="B17" s="34"/>
      <c r="C17" s="35"/>
      <c r="D17" s="24"/>
      <c r="E17" s="24"/>
      <c r="F17" s="24"/>
      <c r="G17" s="24"/>
    </row>
    <row r="18" spans="1:7" s="15" customFormat="1" ht="13.15">
      <c r="A18" s="16" t="s">
        <v>1571</v>
      </c>
      <c r="B18" s="39">
        <v>0.19216287825965694</v>
      </c>
      <c r="D18" s="298" t="s">
        <v>1572</v>
      </c>
      <c r="E18" s="298"/>
      <c r="F18" s="298"/>
      <c r="G18" s="298"/>
    </row>
    <row r="19" spans="1:7" s="15" customFormat="1" ht="13.15">
      <c r="A19" s="40"/>
      <c r="B19" s="36"/>
      <c r="C19" s="37"/>
      <c r="D19" s="27"/>
      <c r="E19" s="27"/>
      <c r="F19" s="27"/>
      <c r="G19" s="27"/>
    </row>
    <row r="20" spans="1:7" s="15" customFormat="1" ht="12.75" customHeight="1">
      <c r="A20" s="41"/>
      <c r="B20" s="11"/>
      <c r="C20" s="12"/>
      <c r="D20" s="24"/>
      <c r="E20" s="24"/>
      <c r="F20" s="24"/>
      <c r="G20" s="24"/>
    </row>
    <row r="21" spans="1:7" s="15" customFormat="1" ht="13.15">
      <c r="A21" s="16" t="s">
        <v>1573</v>
      </c>
      <c r="B21" s="39">
        <v>0.1271450983126482</v>
      </c>
      <c r="D21" s="298" t="s">
        <v>1574</v>
      </c>
      <c r="E21" s="298"/>
      <c r="F21" s="298"/>
      <c r="G21" s="298"/>
    </row>
    <row r="22" spans="1:7" s="15" customFormat="1" ht="13.15">
      <c r="A22" s="42"/>
      <c r="B22" s="43"/>
      <c r="C22" s="44"/>
      <c r="D22" s="27"/>
      <c r="E22" s="27"/>
      <c r="F22" s="27"/>
      <c r="G22" s="27"/>
    </row>
    <row r="23" spans="1:7" s="15" customFormat="1" ht="13.5" customHeight="1">
      <c r="A23" s="45"/>
      <c r="B23" s="46"/>
      <c r="C23" s="47"/>
      <c r="D23" s="48"/>
      <c r="E23" s="48"/>
      <c r="F23" s="48"/>
      <c r="G23" s="48"/>
    </row>
    <row r="24" spans="1:7" s="15" customFormat="1" ht="13.15">
      <c r="A24" s="16" t="s">
        <v>1575</v>
      </c>
      <c r="B24" s="49">
        <f>ACTUAL_RATE-PLANNED_RATE</f>
        <v>-6.5017779947008747E-2</v>
      </c>
      <c r="D24" s="299" t="s">
        <v>1576</v>
      </c>
      <c r="E24" s="299"/>
      <c r="F24" s="299"/>
      <c r="G24" s="299"/>
    </row>
    <row r="25" spans="1:7" s="15" customFormat="1" ht="13.15">
      <c r="A25" s="50"/>
      <c r="B25" s="51"/>
      <c r="C25" s="52"/>
      <c r="D25" s="53"/>
      <c r="E25" s="53"/>
      <c r="F25" s="53"/>
      <c r="G25" s="53"/>
    </row>
    <row r="26" spans="1:7" s="56" customFormat="1">
      <c r="A26" s="54"/>
      <c r="B26" s="55"/>
    </row>
    <row r="27" spans="1:7">
      <c r="B27" s="58"/>
      <c r="G27" s="57"/>
    </row>
    <row r="28" spans="1:7">
      <c r="B28" s="148"/>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177"/>
  <sheetViews>
    <sheetView showGridLines="0" zoomScale="85" zoomScaleNormal="85" workbookViewId="0">
      <pane ySplit="6" topLeftCell="A7" activePane="bottomLeft" state="frozen"/>
      <selection pane="bottomLeft" activeCell="C4" sqref="C4"/>
    </sheetView>
  </sheetViews>
  <sheetFormatPr defaultColWidth="9.125" defaultRowHeight="14.25" outlineLevelRow="2"/>
  <cols>
    <col min="1" max="1" width="20.6875" style="167" customWidth="1"/>
    <col min="2" max="2" width="11.5" style="167" bestFit="1" customWidth="1"/>
    <col min="3" max="3" width="59.125" style="167" bestFit="1" customWidth="1"/>
    <col min="4" max="5" width="10" style="167" bestFit="1" customWidth="1"/>
    <col min="6" max="6" width="8.6875" style="168" bestFit="1" customWidth="1"/>
    <col min="7" max="8" width="8.6875" style="167" bestFit="1" customWidth="1"/>
    <col min="9" max="9" width="9.125" style="167"/>
    <col min="10" max="10" width="8.6875" style="167" bestFit="1" customWidth="1"/>
    <col min="11" max="16384" width="9.125" style="167"/>
  </cols>
  <sheetData>
    <row r="1" spans="1:12" ht="37.049999999999997" customHeight="1">
      <c r="A1" s="1" t="s">
        <v>1989</v>
      </c>
    </row>
    <row r="2" spans="1:12">
      <c r="A2" s="167" t="s">
        <v>1305</v>
      </c>
    </row>
    <row r="3" spans="1:12">
      <c r="A3" s="167" t="s">
        <v>1306</v>
      </c>
    </row>
    <row r="6" spans="1:12" ht="42.75">
      <c r="A6" s="152" t="s">
        <v>1988</v>
      </c>
      <c r="B6" s="153" t="s">
        <v>288</v>
      </c>
      <c r="C6" s="153" t="s">
        <v>1990</v>
      </c>
      <c r="D6" s="153" t="s">
        <v>1594</v>
      </c>
      <c r="E6" s="153" t="s">
        <v>1595</v>
      </c>
      <c r="F6" s="165" t="s">
        <v>1991</v>
      </c>
      <c r="G6" s="153" t="s">
        <v>1992</v>
      </c>
      <c r="H6" s="153" t="s">
        <v>1993</v>
      </c>
      <c r="I6" s="153" t="s">
        <v>1994</v>
      </c>
      <c r="J6" s="153" t="s">
        <v>1995</v>
      </c>
      <c r="K6" s="153" t="s">
        <v>1996</v>
      </c>
      <c r="L6" s="166" t="s">
        <v>1997</v>
      </c>
    </row>
    <row r="7" spans="1:12" ht="14.65" outlineLevel="2">
      <c r="A7" s="232" t="s">
        <v>1998</v>
      </c>
      <c r="B7" s="233" t="s">
        <v>1889</v>
      </c>
      <c r="C7" s="232" t="s">
        <v>1905</v>
      </c>
      <c r="D7" s="62">
        <v>46266</v>
      </c>
      <c r="E7" s="62">
        <v>46311</v>
      </c>
      <c r="F7" s="168">
        <v>1</v>
      </c>
      <c r="G7" s="167">
        <v>30</v>
      </c>
      <c r="H7" s="167">
        <v>16</v>
      </c>
      <c r="I7" s="167">
        <v>0</v>
      </c>
      <c r="J7" s="168">
        <v>0.53333333333333333</v>
      </c>
      <c r="K7" s="168">
        <v>0</v>
      </c>
      <c r="L7" s="242">
        <f t="shared" ref="L7:L38" si="0">K7-J7</f>
        <v>-0.53333333333333333</v>
      </c>
    </row>
    <row r="8" spans="1:12" ht="14.65" outlineLevel="2">
      <c r="A8" s="232" t="s">
        <v>1998</v>
      </c>
      <c r="B8" s="233" t="s">
        <v>1935</v>
      </c>
      <c r="C8" s="232" t="s">
        <v>1906</v>
      </c>
      <c r="D8" s="62">
        <v>46311</v>
      </c>
      <c r="E8" s="62">
        <v>46356</v>
      </c>
      <c r="F8" s="168">
        <v>1</v>
      </c>
      <c r="G8" s="167">
        <v>32</v>
      </c>
      <c r="H8" s="167">
        <v>0</v>
      </c>
      <c r="I8" s="167">
        <v>0</v>
      </c>
      <c r="J8" s="168">
        <v>0</v>
      </c>
      <c r="K8" s="168">
        <v>0</v>
      </c>
      <c r="L8" s="168">
        <f t="shared" si="0"/>
        <v>0</v>
      </c>
    </row>
    <row r="9" spans="1:12" ht="14.65" outlineLevel="1">
      <c r="A9" s="234" t="s">
        <v>1999</v>
      </c>
      <c r="B9" s="235"/>
      <c r="C9" s="236"/>
      <c r="D9" s="237"/>
      <c r="E9" s="237"/>
      <c r="F9" s="238"/>
      <c r="G9" s="239">
        <f>SUBTOTAL(9,G7:G8)</f>
        <v>62</v>
      </c>
      <c r="H9" s="239">
        <f>SUBTOTAL(9,H7:H8)</f>
        <v>16</v>
      </c>
      <c r="I9" s="239">
        <f>SUBTOTAL(9,I7:I8)</f>
        <v>0</v>
      </c>
      <c r="J9" s="238">
        <f>H9/G9</f>
        <v>0.25806451612903225</v>
      </c>
      <c r="K9" s="238">
        <f>I9/G9</f>
        <v>0</v>
      </c>
      <c r="L9" s="243">
        <f t="shared" si="0"/>
        <v>-0.25806451612903225</v>
      </c>
    </row>
    <row r="10" spans="1:12" ht="14.65" outlineLevel="2">
      <c r="A10" s="232" t="s">
        <v>1714</v>
      </c>
      <c r="B10" s="233" t="s">
        <v>1459</v>
      </c>
      <c r="C10" s="232" t="s">
        <v>1660</v>
      </c>
      <c r="D10" s="62">
        <v>46188</v>
      </c>
      <c r="E10" s="62">
        <v>46213</v>
      </c>
      <c r="F10" s="168">
        <v>1</v>
      </c>
      <c r="G10" s="167">
        <v>20</v>
      </c>
      <c r="H10" s="167">
        <v>20</v>
      </c>
      <c r="I10" s="167">
        <v>20</v>
      </c>
      <c r="J10" s="168">
        <v>1</v>
      </c>
      <c r="K10" s="168">
        <v>1</v>
      </c>
      <c r="L10" s="168">
        <f t="shared" si="0"/>
        <v>0</v>
      </c>
    </row>
    <row r="11" spans="1:12" ht="14.65" outlineLevel="2">
      <c r="A11" s="232" t="s">
        <v>1714</v>
      </c>
      <c r="B11" s="233" t="s">
        <v>1464</v>
      </c>
      <c r="C11" s="232" t="s">
        <v>1664</v>
      </c>
      <c r="D11" s="62">
        <v>46216</v>
      </c>
      <c r="E11" s="62">
        <v>46234</v>
      </c>
      <c r="F11" s="168">
        <v>1</v>
      </c>
      <c r="G11" s="167">
        <v>14</v>
      </c>
      <c r="H11" s="167">
        <v>14</v>
      </c>
      <c r="I11" s="167">
        <v>12.6</v>
      </c>
      <c r="J11" s="168">
        <v>1</v>
      </c>
      <c r="K11" s="168">
        <v>0.9</v>
      </c>
      <c r="L11" s="242">
        <f t="shared" si="0"/>
        <v>-9.9999999999999978E-2</v>
      </c>
    </row>
    <row r="12" spans="1:12" ht="14.65" outlineLevel="2">
      <c r="A12" s="232" t="s">
        <v>1714</v>
      </c>
      <c r="B12" s="233" t="s">
        <v>1814</v>
      </c>
      <c r="C12" s="232" t="s">
        <v>1665</v>
      </c>
      <c r="D12" s="62">
        <v>46223</v>
      </c>
      <c r="E12" s="62">
        <v>46241</v>
      </c>
      <c r="F12" s="168">
        <v>1</v>
      </c>
      <c r="G12" s="167">
        <v>15</v>
      </c>
      <c r="H12" s="167">
        <v>15</v>
      </c>
      <c r="I12" s="167">
        <v>13.5</v>
      </c>
      <c r="J12" s="168">
        <v>1</v>
      </c>
      <c r="K12" s="168">
        <v>0.9</v>
      </c>
      <c r="L12" s="242">
        <f t="shared" si="0"/>
        <v>-9.9999999999999978E-2</v>
      </c>
    </row>
    <row r="13" spans="1:12" ht="14.65" outlineLevel="2">
      <c r="A13" s="232" t="s">
        <v>1714</v>
      </c>
      <c r="B13" s="233" t="s">
        <v>1837</v>
      </c>
      <c r="C13" s="232" t="s">
        <v>1695</v>
      </c>
      <c r="D13" s="62">
        <v>46478</v>
      </c>
      <c r="E13" s="62">
        <v>46507</v>
      </c>
      <c r="F13" s="168">
        <v>1</v>
      </c>
      <c r="G13" s="167">
        <v>22</v>
      </c>
      <c r="H13" s="167">
        <v>0</v>
      </c>
      <c r="I13" s="167">
        <v>0</v>
      </c>
      <c r="J13" s="168">
        <v>0</v>
      </c>
      <c r="K13" s="168">
        <v>0</v>
      </c>
      <c r="L13" s="168">
        <f t="shared" si="0"/>
        <v>0</v>
      </c>
    </row>
    <row r="14" spans="1:12" ht="14.65" outlineLevel="1">
      <c r="A14" s="240" t="s">
        <v>2000</v>
      </c>
      <c r="B14" s="235"/>
      <c r="C14" s="236"/>
      <c r="D14" s="237"/>
      <c r="E14" s="237"/>
      <c r="F14" s="238"/>
      <c r="G14" s="239">
        <f>SUBTOTAL(9,G10:G13)</f>
        <v>71</v>
      </c>
      <c r="H14" s="239">
        <f>SUBTOTAL(9,H10:H13)</f>
        <v>49</v>
      </c>
      <c r="I14" s="239">
        <f>SUBTOTAL(9,I10:I13)</f>
        <v>46.1</v>
      </c>
      <c r="J14" s="238">
        <f>H14/G14</f>
        <v>0.6901408450704225</v>
      </c>
      <c r="K14" s="238">
        <f>I14/G14</f>
        <v>0.64929577464788735</v>
      </c>
      <c r="L14" s="243">
        <f t="shared" si="0"/>
        <v>-4.0845070422535157E-2</v>
      </c>
    </row>
    <row r="15" spans="1:12" ht="14.65" outlineLevel="2">
      <c r="A15" s="232" t="s">
        <v>1773</v>
      </c>
      <c r="B15" s="233" t="s">
        <v>1953</v>
      </c>
      <c r="C15" s="232" t="s">
        <v>1905</v>
      </c>
      <c r="D15" s="62">
        <v>46296</v>
      </c>
      <c r="E15" s="62">
        <v>46418</v>
      </c>
      <c r="F15" s="168">
        <v>1</v>
      </c>
      <c r="G15" s="167">
        <v>83</v>
      </c>
      <c r="H15" s="167">
        <v>0</v>
      </c>
      <c r="I15" s="167">
        <v>0</v>
      </c>
      <c r="J15" s="168">
        <v>0</v>
      </c>
      <c r="K15" s="168">
        <v>0</v>
      </c>
      <c r="L15" s="168">
        <f t="shared" si="0"/>
        <v>0</v>
      </c>
    </row>
    <row r="16" spans="1:12" ht="14.65" outlineLevel="2">
      <c r="A16" s="232" t="s">
        <v>1773</v>
      </c>
      <c r="B16" s="233" t="s">
        <v>1954</v>
      </c>
      <c r="C16" s="232" t="s">
        <v>1920</v>
      </c>
      <c r="D16" s="62">
        <v>46296</v>
      </c>
      <c r="E16" s="62">
        <v>46418</v>
      </c>
      <c r="F16" s="168">
        <v>1</v>
      </c>
      <c r="G16" s="167">
        <v>83</v>
      </c>
      <c r="H16" s="167">
        <v>0</v>
      </c>
      <c r="I16" s="167">
        <v>0</v>
      </c>
      <c r="J16" s="168">
        <v>0</v>
      </c>
      <c r="K16" s="168">
        <v>0</v>
      </c>
      <c r="L16" s="168">
        <f t="shared" si="0"/>
        <v>0</v>
      </c>
    </row>
    <row r="17" spans="1:12" ht="14.65" outlineLevel="2">
      <c r="A17" s="232" t="s">
        <v>1773</v>
      </c>
      <c r="B17" s="233" t="s">
        <v>1955</v>
      </c>
      <c r="C17" s="232" t="s">
        <v>1921</v>
      </c>
      <c r="D17" s="62">
        <v>46296</v>
      </c>
      <c r="E17" s="62">
        <v>46418</v>
      </c>
      <c r="F17" s="168">
        <v>1</v>
      </c>
      <c r="G17" s="167">
        <v>83</v>
      </c>
      <c r="H17" s="167">
        <v>0</v>
      </c>
      <c r="I17" s="167">
        <v>0</v>
      </c>
      <c r="J17" s="168">
        <v>0</v>
      </c>
      <c r="K17" s="168">
        <v>0</v>
      </c>
      <c r="L17" s="168">
        <f t="shared" si="0"/>
        <v>0</v>
      </c>
    </row>
    <row r="18" spans="1:12" ht="14.65" outlineLevel="2">
      <c r="A18" s="232" t="s">
        <v>1773</v>
      </c>
      <c r="B18" s="233" t="s">
        <v>1956</v>
      </c>
      <c r="C18" s="232" t="s">
        <v>1922</v>
      </c>
      <c r="D18" s="62">
        <v>46296</v>
      </c>
      <c r="E18" s="62">
        <v>46418</v>
      </c>
      <c r="F18" s="168">
        <v>1</v>
      </c>
      <c r="G18" s="167">
        <v>83</v>
      </c>
      <c r="H18" s="167">
        <v>0</v>
      </c>
      <c r="I18" s="167">
        <v>0</v>
      </c>
      <c r="J18" s="168">
        <v>0</v>
      </c>
      <c r="K18" s="168">
        <v>0</v>
      </c>
      <c r="L18" s="168">
        <f t="shared" si="0"/>
        <v>0</v>
      </c>
    </row>
    <row r="19" spans="1:12" ht="14.65" outlineLevel="2">
      <c r="A19" s="232" t="s">
        <v>1773</v>
      </c>
      <c r="B19" s="233" t="s">
        <v>1957</v>
      </c>
      <c r="C19" s="232" t="s">
        <v>1923</v>
      </c>
      <c r="D19" s="62">
        <v>46296</v>
      </c>
      <c r="E19" s="62">
        <v>46418</v>
      </c>
      <c r="F19" s="168">
        <v>1</v>
      </c>
      <c r="G19" s="167">
        <v>83</v>
      </c>
      <c r="H19" s="167">
        <v>0</v>
      </c>
      <c r="I19" s="167">
        <v>0</v>
      </c>
      <c r="J19" s="168">
        <v>0</v>
      </c>
      <c r="K19" s="168">
        <v>0</v>
      </c>
      <c r="L19" s="168">
        <f t="shared" si="0"/>
        <v>0</v>
      </c>
    </row>
    <row r="20" spans="1:12" ht="14.65" outlineLevel="2">
      <c r="A20" s="232" t="s">
        <v>1773</v>
      </c>
      <c r="B20" s="233" t="s">
        <v>1958</v>
      </c>
      <c r="C20" s="232" t="s">
        <v>1924</v>
      </c>
      <c r="D20" s="62">
        <v>46296</v>
      </c>
      <c r="E20" s="62">
        <v>46418</v>
      </c>
      <c r="F20" s="168">
        <v>1</v>
      </c>
      <c r="G20" s="167">
        <v>83</v>
      </c>
      <c r="H20" s="167">
        <v>0</v>
      </c>
      <c r="I20" s="167">
        <v>0</v>
      </c>
      <c r="J20" s="168">
        <v>0</v>
      </c>
      <c r="K20" s="168">
        <v>0</v>
      </c>
      <c r="L20" s="168">
        <f t="shared" si="0"/>
        <v>0</v>
      </c>
    </row>
    <row r="21" spans="1:12" ht="14.65" outlineLevel="2">
      <c r="A21" s="232" t="s">
        <v>1773</v>
      </c>
      <c r="B21" s="233" t="s">
        <v>1959</v>
      </c>
      <c r="C21" s="232" t="s">
        <v>1925</v>
      </c>
      <c r="D21" s="62">
        <v>46296</v>
      </c>
      <c r="E21" s="62">
        <v>46418</v>
      </c>
      <c r="F21" s="168">
        <v>1</v>
      </c>
      <c r="G21" s="167">
        <v>83</v>
      </c>
      <c r="H21" s="167">
        <v>0</v>
      </c>
      <c r="I21" s="167">
        <v>0</v>
      </c>
      <c r="J21" s="168">
        <v>0</v>
      </c>
      <c r="K21" s="168">
        <v>0</v>
      </c>
      <c r="L21" s="168">
        <f t="shared" si="0"/>
        <v>0</v>
      </c>
    </row>
    <row r="22" spans="1:12" ht="14.65" outlineLevel="2">
      <c r="A22" s="232" t="s">
        <v>1773</v>
      </c>
      <c r="B22" s="233" t="s">
        <v>1960</v>
      </c>
      <c r="C22" s="232" t="s">
        <v>1926</v>
      </c>
      <c r="D22" s="62">
        <v>46296</v>
      </c>
      <c r="E22" s="62">
        <v>46418</v>
      </c>
      <c r="F22" s="168">
        <v>1</v>
      </c>
      <c r="G22" s="167">
        <v>83</v>
      </c>
      <c r="H22" s="167">
        <v>0</v>
      </c>
      <c r="I22" s="167">
        <v>0</v>
      </c>
      <c r="J22" s="168">
        <v>0</v>
      </c>
      <c r="K22" s="168">
        <v>0</v>
      </c>
      <c r="L22" s="168">
        <f t="shared" si="0"/>
        <v>0</v>
      </c>
    </row>
    <row r="23" spans="1:12" ht="14.65" outlineLevel="2">
      <c r="A23" s="232" t="s">
        <v>1773</v>
      </c>
      <c r="B23" s="233" t="s">
        <v>1961</v>
      </c>
      <c r="C23" s="232" t="s">
        <v>1927</v>
      </c>
      <c r="D23" s="62">
        <v>46296</v>
      </c>
      <c r="E23" s="62">
        <v>46418</v>
      </c>
      <c r="F23" s="168">
        <v>1</v>
      </c>
      <c r="G23" s="167">
        <v>83</v>
      </c>
      <c r="H23" s="167">
        <v>0</v>
      </c>
      <c r="I23" s="167">
        <v>0</v>
      </c>
      <c r="J23" s="168">
        <v>0</v>
      </c>
      <c r="K23" s="168">
        <v>0</v>
      </c>
      <c r="L23" s="168">
        <f t="shared" si="0"/>
        <v>0</v>
      </c>
    </row>
    <row r="24" spans="1:12" ht="14.65" outlineLevel="2">
      <c r="A24" s="232" t="s">
        <v>1773</v>
      </c>
      <c r="B24" s="233" t="s">
        <v>1962</v>
      </c>
      <c r="C24" s="232" t="s">
        <v>1928</v>
      </c>
      <c r="D24" s="62">
        <v>46296</v>
      </c>
      <c r="E24" s="62">
        <v>46418</v>
      </c>
      <c r="F24" s="168">
        <v>1</v>
      </c>
      <c r="G24" s="167">
        <v>83</v>
      </c>
      <c r="H24" s="167">
        <v>0</v>
      </c>
      <c r="I24" s="167">
        <v>0</v>
      </c>
      <c r="J24" s="168">
        <v>0</v>
      </c>
      <c r="K24" s="168">
        <v>0</v>
      </c>
      <c r="L24" s="168">
        <f t="shared" si="0"/>
        <v>0</v>
      </c>
    </row>
    <row r="25" spans="1:12" ht="14.65" outlineLevel="2">
      <c r="A25" s="232" t="s">
        <v>1773</v>
      </c>
      <c r="B25" s="233" t="s">
        <v>1963</v>
      </c>
      <c r="C25" s="232" t="s">
        <v>1843</v>
      </c>
      <c r="D25" s="62">
        <v>46296</v>
      </c>
      <c r="E25" s="62">
        <v>46418</v>
      </c>
      <c r="F25" s="168">
        <v>1</v>
      </c>
      <c r="G25" s="167">
        <v>83</v>
      </c>
      <c r="H25" s="167">
        <v>0</v>
      </c>
      <c r="I25" s="167">
        <v>0</v>
      </c>
      <c r="J25" s="168">
        <v>0</v>
      </c>
      <c r="K25" s="168">
        <v>0</v>
      </c>
      <c r="L25" s="168">
        <f t="shared" si="0"/>
        <v>0</v>
      </c>
    </row>
    <row r="26" spans="1:12" ht="14.65" outlineLevel="2">
      <c r="A26" s="232" t="s">
        <v>1773</v>
      </c>
      <c r="B26" s="233" t="s">
        <v>1964</v>
      </c>
      <c r="C26" s="232" t="s">
        <v>1860</v>
      </c>
      <c r="D26" s="62">
        <v>46296</v>
      </c>
      <c r="E26" s="62">
        <v>46418</v>
      </c>
      <c r="F26" s="168">
        <v>1</v>
      </c>
      <c r="G26" s="167">
        <v>83</v>
      </c>
      <c r="H26" s="167">
        <v>0</v>
      </c>
      <c r="I26" s="167">
        <v>0</v>
      </c>
      <c r="J26" s="168">
        <v>0</v>
      </c>
      <c r="K26" s="168">
        <v>0</v>
      </c>
      <c r="L26" s="168">
        <f t="shared" si="0"/>
        <v>0</v>
      </c>
    </row>
    <row r="27" spans="1:12" ht="14.65" outlineLevel="2">
      <c r="A27" s="232" t="s">
        <v>1773</v>
      </c>
      <c r="B27" s="233" t="s">
        <v>1965</v>
      </c>
      <c r="C27" s="232" t="s">
        <v>1862</v>
      </c>
      <c r="D27" s="62">
        <v>46296</v>
      </c>
      <c r="E27" s="62">
        <v>46418</v>
      </c>
      <c r="F27" s="168">
        <v>1</v>
      </c>
      <c r="G27" s="167">
        <v>83</v>
      </c>
      <c r="H27" s="167">
        <v>0</v>
      </c>
      <c r="I27" s="167">
        <v>0</v>
      </c>
      <c r="J27" s="168">
        <v>0</v>
      </c>
      <c r="K27" s="168">
        <v>0</v>
      </c>
      <c r="L27" s="168">
        <f t="shared" si="0"/>
        <v>0</v>
      </c>
    </row>
    <row r="28" spans="1:12" ht="14.65" outlineLevel="2">
      <c r="A28" s="232" t="s">
        <v>1773</v>
      </c>
      <c r="B28" s="233" t="s">
        <v>1966</v>
      </c>
      <c r="C28" s="232" t="s">
        <v>1929</v>
      </c>
      <c r="D28" s="62">
        <v>46296</v>
      </c>
      <c r="E28" s="62">
        <v>46418</v>
      </c>
      <c r="F28" s="168">
        <v>1</v>
      </c>
      <c r="G28" s="167">
        <v>83</v>
      </c>
      <c r="H28" s="167">
        <v>0</v>
      </c>
      <c r="I28" s="167">
        <v>0</v>
      </c>
      <c r="J28" s="168">
        <v>0</v>
      </c>
      <c r="K28" s="168">
        <v>0</v>
      </c>
      <c r="L28" s="168">
        <f t="shared" si="0"/>
        <v>0</v>
      </c>
    </row>
    <row r="29" spans="1:12" ht="14.65" outlineLevel="2">
      <c r="A29" s="232" t="s">
        <v>1773</v>
      </c>
      <c r="B29" s="233" t="s">
        <v>1967</v>
      </c>
      <c r="C29" s="232" t="s">
        <v>1930</v>
      </c>
      <c r="D29" s="62">
        <v>46296</v>
      </c>
      <c r="E29" s="62">
        <v>46326</v>
      </c>
      <c r="F29" s="168">
        <v>1</v>
      </c>
      <c r="G29" s="167">
        <v>20</v>
      </c>
      <c r="H29" s="167">
        <v>0</v>
      </c>
      <c r="I29" s="167">
        <v>0</v>
      </c>
      <c r="J29" s="168">
        <v>0</v>
      </c>
      <c r="K29" s="168">
        <v>0</v>
      </c>
      <c r="L29" s="168">
        <f t="shared" si="0"/>
        <v>0</v>
      </c>
    </row>
    <row r="30" spans="1:12" ht="14.65" outlineLevel="2">
      <c r="A30" s="232" t="s">
        <v>1773</v>
      </c>
      <c r="B30" s="233" t="s">
        <v>1968</v>
      </c>
      <c r="C30" s="232" t="s">
        <v>1931</v>
      </c>
      <c r="D30" s="62">
        <v>46296</v>
      </c>
      <c r="E30" s="62">
        <v>46326</v>
      </c>
      <c r="F30" s="168">
        <v>1</v>
      </c>
      <c r="G30" s="167">
        <v>20</v>
      </c>
      <c r="H30" s="167">
        <v>0</v>
      </c>
      <c r="I30" s="167">
        <v>0</v>
      </c>
      <c r="J30" s="168">
        <v>0</v>
      </c>
      <c r="K30" s="168">
        <v>0</v>
      </c>
      <c r="L30" s="168">
        <f t="shared" si="0"/>
        <v>0</v>
      </c>
    </row>
    <row r="31" spans="1:12" ht="14.65" outlineLevel="2">
      <c r="A31" s="232" t="s">
        <v>1773</v>
      </c>
      <c r="B31" s="233" t="s">
        <v>1969</v>
      </c>
      <c r="C31" s="232" t="s">
        <v>1674</v>
      </c>
      <c r="D31" s="62">
        <v>46321</v>
      </c>
      <c r="E31" s="62">
        <v>46418</v>
      </c>
      <c r="F31" s="168">
        <v>1</v>
      </c>
      <c r="G31" s="167">
        <v>68</v>
      </c>
      <c r="H31" s="167">
        <v>0</v>
      </c>
      <c r="I31" s="167">
        <v>0</v>
      </c>
      <c r="J31" s="168">
        <v>0</v>
      </c>
      <c r="K31" s="168">
        <v>0</v>
      </c>
      <c r="L31" s="168">
        <f t="shared" si="0"/>
        <v>0</v>
      </c>
    </row>
    <row r="32" spans="1:12" ht="14.65" outlineLevel="1">
      <c r="A32" s="240" t="s">
        <v>2001</v>
      </c>
      <c r="B32" s="235"/>
      <c r="C32" s="236"/>
      <c r="D32" s="237"/>
      <c r="E32" s="237"/>
      <c r="F32" s="238"/>
      <c r="G32" s="239">
        <f>SUBTOTAL(9,G15:G31)</f>
        <v>1270</v>
      </c>
      <c r="H32" s="239">
        <f>SUBTOTAL(9,H15:H31)</f>
        <v>0</v>
      </c>
      <c r="I32" s="239">
        <f>SUBTOTAL(9,I15:I31)</f>
        <v>0</v>
      </c>
      <c r="J32" s="238">
        <f>H32/G32</f>
        <v>0</v>
      </c>
      <c r="K32" s="238">
        <f>I32/G32</f>
        <v>0</v>
      </c>
      <c r="L32" s="238">
        <f t="shared" si="0"/>
        <v>0</v>
      </c>
    </row>
    <row r="33" spans="1:12" ht="14.65" outlineLevel="2">
      <c r="A33" s="232" t="s">
        <v>1775</v>
      </c>
      <c r="B33" s="233" t="s">
        <v>1970</v>
      </c>
      <c r="C33" s="232" t="s">
        <v>1675</v>
      </c>
      <c r="D33" s="62">
        <v>46296</v>
      </c>
      <c r="E33" s="62">
        <v>46326</v>
      </c>
      <c r="F33" s="168">
        <v>1</v>
      </c>
      <c r="G33" s="167">
        <v>20</v>
      </c>
      <c r="H33" s="167">
        <v>0</v>
      </c>
      <c r="I33" s="167">
        <v>0</v>
      </c>
      <c r="J33" s="168">
        <v>0</v>
      </c>
      <c r="K33" s="168">
        <v>0</v>
      </c>
      <c r="L33" s="168">
        <f t="shared" si="0"/>
        <v>0</v>
      </c>
    </row>
    <row r="34" spans="1:12" ht="14.65" outlineLevel="2">
      <c r="A34" s="232" t="s">
        <v>1775</v>
      </c>
      <c r="B34" s="233" t="s">
        <v>1971</v>
      </c>
      <c r="C34" s="232" t="s">
        <v>1676</v>
      </c>
      <c r="D34" s="62">
        <v>46327</v>
      </c>
      <c r="E34" s="62">
        <v>46418</v>
      </c>
      <c r="F34" s="168">
        <v>1</v>
      </c>
      <c r="G34" s="167">
        <v>63</v>
      </c>
      <c r="H34" s="167">
        <v>0</v>
      </c>
      <c r="I34" s="167">
        <v>0</v>
      </c>
      <c r="J34" s="168">
        <v>0</v>
      </c>
      <c r="K34" s="168">
        <v>0</v>
      </c>
      <c r="L34" s="168">
        <f t="shared" si="0"/>
        <v>0</v>
      </c>
    </row>
    <row r="35" spans="1:12" ht="14.65" outlineLevel="2">
      <c r="A35" s="232" t="s">
        <v>1775</v>
      </c>
      <c r="B35" s="233" t="s">
        <v>1851</v>
      </c>
      <c r="C35" s="232" t="s">
        <v>1678</v>
      </c>
      <c r="D35" s="62">
        <v>46388</v>
      </c>
      <c r="E35" s="62">
        <v>46418</v>
      </c>
      <c r="F35" s="168">
        <v>1</v>
      </c>
      <c r="G35" s="167">
        <v>20</v>
      </c>
      <c r="H35" s="167">
        <v>0</v>
      </c>
      <c r="I35" s="167">
        <v>0</v>
      </c>
      <c r="J35" s="168">
        <v>0</v>
      </c>
      <c r="K35" s="168">
        <v>0</v>
      </c>
      <c r="L35" s="168">
        <f t="shared" si="0"/>
        <v>0</v>
      </c>
    </row>
    <row r="36" spans="1:12" ht="14.65" outlineLevel="2">
      <c r="A36" s="232" t="s">
        <v>1775</v>
      </c>
      <c r="B36" s="233" t="s">
        <v>1852</v>
      </c>
      <c r="C36" s="232" t="s">
        <v>1679</v>
      </c>
      <c r="D36" s="62">
        <v>46388</v>
      </c>
      <c r="E36" s="62">
        <v>46418</v>
      </c>
      <c r="F36" s="168">
        <v>1</v>
      </c>
      <c r="G36" s="167">
        <v>20</v>
      </c>
      <c r="H36" s="167">
        <v>0</v>
      </c>
      <c r="I36" s="167">
        <v>0</v>
      </c>
      <c r="J36" s="168">
        <v>0</v>
      </c>
      <c r="K36" s="168">
        <v>0</v>
      </c>
      <c r="L36" s="168">
        <f t="shared" si="0"/>
        <v>0</v>
      </c>
    </row>
    <row r="37" spans="1:12" ht="14.65" outlineLevel="2">
      <c r="A37" s="232" t="s">
        <v>1775</v>
      </c>
      <c r="B37" s="233" t="s">
        <v>1823</v>
      </c>
      <c r="C37" s="232" t="s">
        <v>1681</v>
      </c>
      <c r="D37" s="62">
        <v>46419</v>
      </c>
      <c r="E37" s="62">
        <v>46465</v>
      </c>
      <c r="F37" s="168">
        <v>1</v>
      </c>
      <c r="G37" s="167">
        <v>32</v>
      </c>
      <c r="H37" s="167">
        <v>0</v>
      </c>
      <c r="I37" s="167">
        <v>0</v>
      </c>
      <c r="J37" s="168">
        <v>0</v>
      </c>
      <c r="K37" s="168">
        <v>0</v>
      </c>
      <c r="L37" s="168">
        <f t="shared" si="0"/>
        <v>0</v>
      </c>
    </row>
    <row r="38" spans="1:12" ht="14.65" outlineLevel="2">
      <c r="A38" s="232" t="s">
        <v>1775</v>
      </c>
      <c r="B38" s="233" t="s">
        <v>1824</v>
      </c>
      <c r="C38" s="232" t="s">
        <v>1682</v>
      </c>
      <c r="D38" s="62">
        <v>46421</v>
      </c>
      <c r="E38" s="62">
        <v>46444</v>
      </c>
      <c r="F38" s="168">
        <v>1</v>
      </c>
      <c r="G38" s="167">
        <v>16</v>
      </c>
      <c r="H38" s="167">
        <v>0</v>
      </c>
      <c r="I38" s="167">
        <v>0</v>
      </c>
      <c r="J38" s="168">
        <v>0</v>
      </c>
      <c r="K38" s="168">
        <v>0</v>
      </c>
      <c r="L38" s="168">
        <f t="shared" si="0"/>
        <v>0</v>
      </c>
    </row>
    <row r="39" spans="1:12" ht="14.65" outlineLevel="2">
      <c r="A39" s="232" t="s">
        <v>1775</v>
      </c>
      <c r="B39" s="233" t="s">
        <v>1827</v>
      </c>
      <c r="C39" s="232" t="s">
        <v>1685</v>
      </c>
      <c r="D39" s="62">
        <v>46454</v>
      </c>
      <c r="E39" s="62">
        <v>46465</v>
      </c>
      <c r="F39" s="168">
        <v>1</v>
      </c>
      <c r="G39" s="167">
        <v>10</v>
      </c>
      <c r="H39" s="167">
        <v>0</v>
      </c>
      <c r="I39" s="167">
        <v>0</v>
      </c>
      <c r="J39" s="168">
        <v>0</v>
      </c>
      <c r="K39" s="168">
        <v>0</v>
      </c>
      <c r="L39" s="168">
        <f t="shared" ref="L39:L70" si="1">K39-J39</f>
        <v>0</v>
      </c>
    </row>
    <row r="40" spans="1:12" ht="14.65" outlineLevel="2">
      <c r="A40" s="232" t="s">
        <v>1775</v>
      </c>
      <c r="B40" s="233" t="s">
        <v>1838</v>
      </c>
      <c r="C40" s="232" t="s">
        <v>1696</v>
      </c>
      <c r="D40" s="62">
        <v>46478</v>
      </c>
      <c r="E40" s="62">
        <v>46507</v>
      </c>
      <c r="F40" s="168">
        <v>1</v>
      </c>
      <c r="G40" s="167">
        <v>22</v>
      </c>
      <c r="H40" s="167">
        <v>0</v>
      </c>
      <c r="I40" s="167">
        <v>0</v>
      </c>
      <c r="J40" s="168">
        <v>0</v>
      </c>
      <c r="K40" s="168">
        <v>0</v>
      </c>
      <c r="L40" s="168">
        <f t="shared" si="1"/>
        <v>0</v>
      </c>
    </row>
    <row r="41" spans="1:12" ht="14.65" outlineLevel="2">
      <c r="A41" s="232" t="s">
        <v>1775</v>
      </c>
      <c r="B41" s="233" t="s">
        <v>1839</v>
      </c>
      <c r="C41" s="232" t="s">
        <v>1696</v>
      </c>
      <c r="D41" s="62">
        <v>46478</v>
      </c>
      <c r="E41" s="62">
        <v>46507</v>
      </c>
      <c r="F41" s="168">
        <v>1</v>
      </c>
      <c r="G41" s="167">
        <v>22</v>
      </c>
      <c r="H41" s="167">
        <v>0</v>
      </c>
      <c r="I41" s="167">
        <v>0</v>
      </c>
      <c r="J41" s="168">
        <v>0</v>
      </c>
      <c r="K41" s="168">
        <v>0</v>
      </c>
      <c r="L41" s="168">
        <f t="shared" si="1"/>
        <v>0</v>
      </c>
    </row>
    <row r="42" spans="1:12" ht="14.65" outlineLevel="2">
      <c r="A42" s="232" t="s">
        <v>1775</v>
      </c>
      <c r="B42" s="233" t="s">
        <v>1840</v>
      </c>
      <c r="C42" s="232" t="s">
        <v>1697</v>
      </c>
      <c r="D42" s="62">
        <v>46509</v>
      </c>
      <c r="E42" s="62">
        <v>46527</v>
      </c>
      <c r="F42" s="168">
        <v>1</v>
      </c>
      <c r="G42" s="167">
        <v>12</v>
      </c>
      <c r="H42" s="167">
        <v>0</v>
      </c>
      <c r="I42" s="167">
        <v>0</v>
      </c>
      <c r="J42" s="168">
        <v>0</v>
      </c>
      <c r="K42" s="168">
        <v>0</v>
      </c>
      <c r="L42" s="168">
        <f t="shared" si="1"/>
        <v>0</v>
      </c>
    </row>
    <row r="43" spans="1:12" ht="14.65" outlineLevel="1">
      <c r="A43" s="240" t="s">
        <v>2002</v>
      </c>
      <c r="B43" s="235"/>
      <c r="C43" s="236"/>
      <c r="D43" s="237"/>
      <c r="E43" s="237"/>
      <c r="F43" s="238"/>
      <c r="G43" s="239">
        <f>SUBTOTAL(9,G33:G42)</f>
        <v>237</v>
      </c>
      <c r="H43" s="239">
        <f>SUBTOTAL(9,H33:H42)</f>
        <v>0</v>
      </c>
      <c r="I43" s="239">
        <f>SUBTOTAL(9,I33:I42)</f>
        <v>0</v>
      </c>
      <c r="J43" s="238">
        <f>H43/G43</f>
        <v>0</v>
      </c>
      <c r="K43" s="238">
        <f>I43/G43</f>
        <v>0</v>
      </c>
      <c r="L43" s="238">
        <f t="shared" si="1"/>
        <v>0</v>
      </c>
    </row>
    <row r="44" spans="1:12" ht="14.65" outlineLevel="2">
      <c r="A44" s="232" t="s">
        <v>1768</v>
      </c>
      <c r="B44" s="233" t="s">
        <v>1818</v>
      </c>
      <c r="C44" s="232" t="s">
        <v>1669</v>
      </c>
      <c r="D44" s="62">
        <v>46235</v>
      </c>
      <c r="E44" s="62">
        <v>46265</v>
      </c>
      <c r="F44" s="168">
        <v>1</v>
      </c>
      <c r="G44" s="167">
        <v>20</v>
      </c>
      <c r="H44" s="167">
        <v>20</v>
      </c>
      <c r="I44" s="167">
        <v>16</v>
      </c>
      <c r="J44" s="168">
        <v>1</v>
      </c>
      <c r="K44" s="168">
        <v>0.8</v>
      </c>
      <c r="L44" s="242">
        <f t="shared" si="1"/>
        <v>-0.19999999999999996</v>
      </c>
    </row>
    <row r="45" spans="1:12" ht="14.65" outlineLevel="1">
      <c r="A45" s="240" t="s">
        <v>2003</v>
      </c>
      <c r="B45" s="235"/>
      <c r="C45" s="236"/>
      <c r="D45" s="237"/>
      <c r="E45" s="237"/>
      <c r="F45" s="238"/>
      <c r="G45" s="239">
        <f>SUBTOTAL(9,G44:G44)</f>
        <v>20</v>
      </c>
      <c r="H45" s="239">
        <f>SUBTOTAL(9,H44:H44)</f>
        <v>20</v>
      </c>
      <c r="I45" s="239">
        <f>SUBTOTAL(9,I44:I44)</f>
        <v>16</v>
      </c>
      <c r="J45" s="238">
        <f>H45/G45</f>
        <v>1</v>
      </c>
      <c r="K45" s="238">
        <f>I45/G45</f>
        <v>0.8</v>
      </c>
      <c r="L45" s="243">
        <f t="shared" si="1"/>
        <v>-0.19999999999999996</v>
      </c>
    </row>
    <row r="46" spans="1:12" ht="14.65" outlineLevel="2">
      <c r="A46" s="232" t="s">
        <v>1718</v>
      </c>
      <c r="B46" s="233" t="s">
        <v>1817</v>
      </c>
      <c r="C46" s="232" t="s">
        <v>1668</v>
      </c>
      <c r="D46" s="62">
        <v>46237</v>
      </c>
      <c r="E46" s="62">
        <v>46265</v>
      </c>
      <c r="F46" s="168">
        <v>1</v>
      </c>
      <c r="G46" s="167">
        <v>20</v>
      </c>
      <c r="H46" s="167">
        <v>20</v>
      </c>
      <c r="I46" s="167">
        <v>13</v>
      </c>
      <c r="J46" s="168">
        <v>1</v>
      </c>
      <c r="K46" s="168">
        <v>0.65</v>
      </c>
      <c r="L46" s="242">
        <f t="shared" si="1"/>
        <v>-0.35</v>
      </c>
    </row>
    <row r="47" spans="1:12" ht="14.65" outlineLevel="1">
      <c r="A47" s="240" t="s">
        <v>2004</v>
      </c>
      <c r="B47" s="235"/>
      <c r="C47" s="236"/>
      <c r="D47" s="237"/>
      <c r="E47" s="237"/>
      <c r="F47" s="238"/>
      <c r="G47" s="239">
        <f>SUBTOTAL(9,G46:G46)</f>
        <v>20</v>
      </c>
      <c r="H47" s="239">
        <f>SUBTOTAL(9,H46:H46)</f>
        <v>20</v>
      </c>
      <c r="I47" s="239">
        <f>SUBTOTAL(9,I46:I46)</f>
        <v>13</v>
      </c>
      <c r="J47" s="238">
        <f>H47/G47</f>
        <v>1</v>
      </c>
      <c r="K47" s="238">
        <f>I47/G47</f>
        <v>0.65</v>
      </c>
      <c r="L47" s="243">
        <f t="shared" si="1"/>
        <v>-0.35</v>
      </c>
    </row>
    <row r="48" spans="1:12" ht="14.65" outlineLevel="2">
      <c r="A48" s="232" t="s">
        <v>1721</v>
      </c>
      <c r="B48" s="233" t="s">
        <v>1936</v>
      </c>
      <c r="C48" s="232" t="s">
        <v>1671</v>
      </c>
      <c r="D48" s="62">
        <v>46296</v>
      </c>
      <c r="E48" s="62">
        <v>46326</v>
      </c>
      <c r="F48" s="168">
        <v>1</v>
      </c>
      <c r="G48" s="167">
        <v>20</v>
      </c>
      <c r="H48" s="167">
        <v>0</v>
      </c>
      <c r="I48" s="167">
        <v>0</v>
      </c>
      <c r="J48" s="168">
        <v>0</v>
      </c>
      <c r="K48" s="168">
        <v>0</v>
      </c>
      <c r="L48" s="168">
        <f t="shared" si="1"/>
        <v>0</v>
      </c>
    </row>
    <row r="49" spans="1:12" ht="14.65" outlineLevel="2">
      <c r="A49" s="232" t="s">
        <v>1721</v>
      </c>
      <c r="B49" s="233" t="s">
        <v>1830</v>
      </c>
      <c r="C49" s="232" t="s">
        <v>1688</v>
      </c>
      <c r="D49" s="62">
        <v>46419</v>
      </c>
      <c r="E49" s="62">
        <v>46437</v>
      </c>
      <c r="F49" s="168">
        <v>1</v>
      </c>
      <c r="G49" s="167">
        <v>13</v>
      </c>
      <c r="H49" s="167">
        <v>0</v>
      </c>
      <c r="I49" s="167">
        <v>0</v>
      </c>
      <c r="J49" s="168">
        <v>0</v>
      </c>
      <c r="K49" s="168">
        <v>0</v>
      </c>
      <c r="L49" s="168">
        <f t="shared" si="1"/>
        <v>0</v>
      </c>
    </row>
    <row r="50" spans="1:12" ht="14.65" outlineLevel="2">
      <c r="A50" s="232" t="s">
        <v>1721</v>
      </c>
      <c r="B50" s="233" t="s">
        <v>1831</v>
      </c>
      <c r="C50" s="232" t="s">
        <v>1689</v>
      </c>
      <c r="D50" s="62">
        <v>46440</v>
      </c>
      <c r="E50" s="62">
        <v>46477</v>
      </c>
      <c r="F50" s="168">
        <v>1</v>
      </c>
      <c r="G50" s="167">
        <v>27</v>
      </c>
      <c r="H50" s="167">
        <v>0</v>
      </c>
      <c r="I50" s="167">
        <v>0</v>
      </c>
      <c r="J50" s="168">
        <v>0</v>
      </c>
      <c r="K50" s="168">
        <v>0</v>
      </c>
      <c r="L50" s="168">
        <f t="shared" si="1"/>
        <v>0</v>
      </c>
    </row>
    <row r="51" spans="1:12" ht="14.65" outlineLevel="1">
      <c r="A51" s="240" t="s">
        <v>2005</v>
      </c>
      <c r="B51" s="235"/>
      <c r="C51" s="236"/>
      <c r="D51" s="237"/>
      <c r="E51" s="237"/>
      <c r="F51" s="238"/>
      <c r="G51" s="239">
        <f>SUBTOTAL(9,G48:G50)</f>
        <v>60</v>
      </c>
      <c r="H51" s="239">
        <f>SUBTOTAL(9,H48:H50)</f>
        <v>0</v>
      </c>
      <c r="I51" s="239">
        <f>SUBTOTAL(9,I48:I50)</f>
        <v>0</v>
      </c>
      <c r="J51" s="238">
        <f>H51/G51</f>
        <v>0</v>
      </c>
      <c r="K51" s="238">
        <f>I51/G51</f>
        <v>0</v>
      </c>
      <c r="L51" s="238">
        <f t="shared" si="1"/>
        <v>0</v>
      </c>
    </row>
    <row r="52" spans="1:12" ht="14.65" outlineLevel="2">
      <c r="A52" s="232" t="s">
        <v>1772</v>
      </c>
      <c r="B52" s="233" t="s">
        <v>1938</v>
      </c>
      <c r="C52" s="232" t="s">
        <v>1904</v>
      </c>
      <c r="D52" s="62">
        <v>46296</v>
      </c>
      <c r="E52" s="62">
        <v>46418</v>
      </c>
      <c r="F52" s="168">
        <v>1</v>
      </c>
      <c r="G52" s="167">
        <v>83</v>
      </c>
      <c r="H52" s="167">
        <v>0</v>
      </c>
      <c r="I52" s="167">
        <v>0</v>
      </c>
      <c r="J52" s="168">
        <v>0</v>
      </c>
      <c r="K52" s="168">
        <v>0</v>
      </c>
      <c r="L52" s="168">
        <f t="shared" si="1"/>
        <v>0</v>
      </c>
    </row>
    <row r="53" spans="1:12" ht="14.65" outlineLevel="2">
      <c r="A53" s="232" t="s">
        <v>1772</v>
      </c>
      <c r="B53" s="233" t="s">
        <v>1939</v>
      </c>
      <c r="C53" s="232" t="s">
        <v>1912</v>
      </c>
      <c r="D53" s="62">
        <v>46296</v>
      </c>
      <c r="E53" s="62">
        <v>46418</v>
      </c>
      <c r="F53" s="168">
        <v>1</v>
      </c>
      <c r="G53" s="167">
        <v>83</v>
      </c>
      <c r="H53" s="167">
        <v>0</v>
      </c>
      <c r="I53" s="167">
        <v>0</v>
      </c>
      <c r="J53" s="168">
        <v>0</v>
      </c>
      <c r="K53" s="168">
        <v>0</v>
      </c>
      <c r="L53" s="168">
        <f t="shared" si="1"/>
        <v>0</v>
      </c>
    </row>
    <row r="54" spans="1:12" ht="14.65" outlineLevel="2">
      <c r="A54" s="232" t="s">
        <v>1772</v>
      </c>
      <c r="B54" s="233" t="s">
        <v>1940</v>
      </c>
      <c r="C54" s="232" t="s">
        <v>1913</v>
      </c>
      <c r="D54" s="62">
        <v>46296</v>
      </c>
      <c r="E54" s="62">
        <v>46418</v>
      </c>
      <c r="F54" s="168">
        <v>1</v>
      </c>
      <c r="G54" s="167">
        <v>83</v>
      </c>
      <c r="H54" s="167">
        <v>0</v>
      </c>
      <c r="I54" s="167">
        <v>0</v>
      </c>
      <c r="J54" s="168">
        <v>0</v>
      </c>
      <c r="K54" s="168">
        <v>0</v>
      </c>
      <c r="L54" s="168">
        <f t="shared" si="1"/>
        <v>0</v>
      </c>
    </row>
    <row r="55" spans="1:12" ht="14.65" outlineLevel="2">
      <c r="A55" s="232" t="s">
        <v>1772</v>
      </c>
      <c r="B55" s="233" t="s">
        <v>1941</v>
      </c>
      <c r="C55" s="232" t="s">
        <v>1914</v>
      </c>
      <c r="D55" s="62">
        <v>46296</v>
      </c>
      <c r="E55" s="62">
        <v>46418</v>
      </c>
      <c r="F55" s="168">
        <v>1</v>
      </c>
      <c r="G55" s="167">
        <v>83</v>
      </c>
      <c r="H55" s="167">
        <v>0</v>
      </c>
      <c r="I55" s="167">
        <v>0</v>
      </c>
      <c r="J55" s="168">
        <v>0</v>
      </c>
      <c r="K55" s="168">
        <v>0</v>
      </c>
      <c r="L55" s="168">
        <f t="shared" si="1"/>
        <v>0</v>
      </c>
    </row>
    <row r="56" spans="1:12" ht="14.65" outlineLevel="2">
      <c r="A56" s="232" t="s">
        <v>1772</v>
      </c>
      <c r="B56" s="233" t="s">
        <v>1942</v>
      </c>
      <c r="C56" s="232" t="s">
        <v>1855</v>
      </c>
      <c r="D56" s="62">
        <v>46296</v>
      </c>
      <c r="E56" s="62">
        <v>46418</v>
      </c>
      <c r="F56" s="168">
        <v>1</v>
      </c>
      <c r="G56" s="167">
        <v>83</v>
      </c>
      <c r="H56" s="167">
        <v>0</v>
      </c>
      <c r="I56" s="167">
        <v>0</v>
      </c>
      <c r="J56" s="168">
        <v>0</v>
      </c>
      <c r="K56" s="168">
        <v>0</v>
      </c>
      <c r="L56" s="168">
        <f t="shared" si="1"/>
        <v>0</v>
      </c>
    </row>
    <row r="57" spans="1:12" ht="14.65" outlineLevel="2">
      <c r="A57" s="232" t="s">
        <v>1772</v>
      </c>
      <c r="B57" s="233" t="s">
        <v>1943</v>
      </c>
      <c r="C57" s="232" t="s">
        <v>1915</v>
      </c>
      <c r="D57" s="62">
        <v>46296</v>
      </c>
      <c r="E57" s="62">
        <v>46418</v>
      </c>
      <c r="F57" s="168">
        <v>1</v>
      </c>
      <c r="G57" s="167">
        <v>83</v>
      </c>
      <c r="H57" s="167">
        <v>0</v>
      </c>
      <c r="I57" s="167">
        <v>0</v>
      </c>
      <c r="J57" s="168">
        <v>0</v>
      </c>
      <c r="K57" s="168">
        <v>0</v>
      </c>
      <c r="L57" s="168">
        <f t="shared" si="1"/>
        <v>0</v>
      </c>
    </row>
    <row r="58" spans="1:12" ht="14.65" outlineLevel="2">
      <c r="A58" s="232" t="s">
        <v>1772</v>
      </c>
      <c r="B58" s="233" t="s">
        <v>1944</v>
      </c>
      <c r="C58" s="232" t="s">
        <v>1916</v>
      </c>
      <c r="D58" s="62">
        <v>46296</v>
      </c>
      <c r="E58" s="62">
        <v>46418</v>
      </c>
      <c r="F58" s="168">
        <v>1</v>
      </c>
      <c r="G58" s="167">
        <v>83</v>
      </c>
      <c r="H58" s="167">
        <v>0</v>
      </c>
      <c r="I58" s="167">
        <v>0</v>
      </c>
      <c r="J58" s="168">
        <v>0</v>
      </c>
      <c r="K58" s="168">
        <v>0</v>
      </c>
      <c r="L58" s="168">
        <f t="shared" si="1"/>
        <v>0</v>
      </c>
    </row>
    <row r="59" spans="1:12" ht="14.65" outlineLevel="2">
      <c r="A59" s="232" t="s">
        <v>1772</v>
      </c>
      <c r="B59" s="233" t="s">
        <v>1945</v>
      </c>
      <c r="C59" s="232" t="s">
        <v>1919</v>
      </c>
      <c r="D59" s="62">
        <v>46296</v>
      </c>
      <c r="E59" s="62">
        <v>46418</v>
      </c>
      <c r="F59" s="168">
        <v>1</v>
      </c>
      <c r="G59" s="167">
        <v>83</v>
      </c>
      <c r="H59" s="167">
        <v>0</v>
      </c>
      <c r="I59" s="167">
        <v>0</v>
      </c>
      <c r="J59" s="168">
        <v>0</v>
      </c>
      <c r="K59" s="168">
        <v>0</v>
      </c>
      <c r="L59" s="168">
        <f t="shared" si="1"/>
        <v>0</v>
      </c>
    </row>
    <row r="60" spans="1:12" ht="14.65" outlineLevel="2">
      <c r="A60" s="232" t="s">
        <v>1772</v>
      </c>
      <c r="B60" s="233" t="s">
        <v>1946</v>
      </c>
      <c r="C60" s="232" t="s">
        <v>1862</v>
      </c>
      <c r="D60" s="62">
        <v>46296</v>
      </c>
      <c r="E60" s="62">
        <v>46418</v>
      </c>
      <c r="F60" s="168">
        <v>1</v>
      </c>
      <c r="G60" s="167">
        <v>83</v>
      </c>
      <c r="H60" s="167">
        <v>0</v>
      </c>
      <c r="I60" s="167">
        <v>0</v>
      </c>
      <c r="J60" s="168">
        <v>0</v>
      </c>
      <c r="K60" s="168">
        <v>0</v>
      </c>
      <c r="L60" s="168">
        <f t="shared" si="1"/>
        <v>0</v>
      </c>
    </row>
    <row r="61" spans="1:12" ht="14.65" outlineLevel="2">
      <c r="A61" s="232" t="s">
        <v>1772</v>
      </c>
      <c r="B61" s="233" t="s">
        <v>1947</v>
      </c>
      <c r="C61" s="232" t="s">
        <v>1917</v>
      </c>
      <c r="D61" s="62">
        <v>46296</v>
      </c>
      <c r="E61" s="62">
        <v>46418</v>
      </c>
      <c r="F61" s="168">
        <v>1</v>
      </c>
      <c r="G61" s="167">
        <v>83</v>
      </c>
      <c r="H61" s="167">
        <v>0</v>
      </c>
      <c r="I61" s="167">
        <v>0</v>
      </c>
      <c r="J61" s="168">
        <v>0</v>
      </c>
      <c r="K61" s="168">
        <v>0</v>
      </c>
      <c r="L61" s="168">
        <f t="shared" si="1"/>
        <v>0</v>
      </c>
    </row>
    <row r="62" spans="1:12" ht="14.65" outlineLevel="2">
      <c r="A62" s="232" t="s">
        <v>1772</v>
      </c>
      <c r="B62" s="233" t="s">
        <v>1948</v>
      </c>
      <c r="C62" s="232" t="s">
        <v>1861</v>
      </c>
      <c r="D62" s="62">
        <v>46296</v>
      </c>
      <c r="E62" s="62">
        <v>46418</v>
      </c>
      <c r="F62" s="168">
        <v>1</v>
      </c>
      <c r="G62" s="167">
        <v>83</v>
      </c>
      <c r="H62" s="167">
        <v>0</v>
      </c>
      <c r="I62" s="167">
        <v>0</v>
      </c>
      <c r="J62" s="168">
        <v>0</v>
      </c>
      <c r="K62" s="168">
        <v>0</v>
      </c>
      <c r="L62" s="168">
        <f t="shared" si="1"/>
        <v>0</v>
      </c>
    </row>
    <row r="63" spans="1:12" ht="14.65" outlineLevel="2">
      <c r="A63" s="232" t="s">
        <v>1772</v>
      </c>
      <c r="B63" s="233" t="s">
        <v>1949</v>
      </c>
      <c r="C63" s="232" t="s">
        <v>1918</v>
      </c>
      <c r="D63" s="62">
        <v>46296</v>
      </c>
      <c r="E63" s="62">
        <v>46418</v>
      </c>
      <c r="F63" s="168">
        <v>1</v>
      </c>
      <c r="G63" s="167">
        <v>83</v>
      </c>
      <c r="H63" s="167">
        <v>0</v>
      </c>
      <c r="I63" s="167">
        <v>0</v>
      </c>
      <c r="J63" s="168">
        <v>0</v>
      </c>
      <c r="K63" s="168">
        <v>0</v>
      </c>
      <c r="L63" s="168">
        <f t="shared" si="1"/>
        <v>0</v>
      </c>
    </row>
    <row r="64" spans="1:12" ht="14.65" outlineLevel="2">
      <c r="A64" s="232" t="s">
        <v>1772</v>
      </c>
      <c r="B64" s="233" t="s">
        <v>1950</v>
      </c>
      <c r="C64" s="232" t="s">
        <v>1854</v>
      </c>
      <c r="D64" s="62">
        <v>46296</v>
      </c>
      <c r="E64" s="62">
        <v>46418</v>
      </c>
      <c r="F64" s="168">
        <v>1</v>
      </c>
      <c r="G64" s="167">
        <v>83</v>
      </c>
      <c r="H64" s="167">
        <v>0</v>
      </c>
      <c r="I64" s="167">
        <v>0</v>
      </c>
      <c r="J64" s="168">
        <v>0</v>
      </c>
      <c r="K64" s="168">
        <v>0</v>
      </c>
      <c r="L64" s="168">
        <f t="shared" si="1"/>
        <v>0</v>
      </c>
    </row>
    <row r="65" spans="1:12" ht="14.65" outlineLevel="2">
      <c r="A65" s="232" t="s">
        <v>1772</v>
      </c>
      <c r="B65" s="233" t="s">
        <v>1951</v>
      </c>
      <c r="C65" s="232" t="s">
        <v>1863</v>
      </c>
      <c r="D65" s="62">
        <v>46296</v>
      </c>
      <c r="E65" s="62">
        <v>46418</v>
      </c>
      <c r="F65" s="168">
        <v>1</v>
      </c>
      <c r="G65" s="167">
        <v>83</v>
      </c>
      <c r="H65" s="167">
        <v>0</v>
      </c>
      <c r="I65" s="167">
        <v>0</v>
      </c>
      <c r="J65" s="168">
        <v>0</v>
      </c>
      <c r="K65" s="168">
        <v>0</v>
      </c>
      <c r="L65" s="168">
        <f t="shared" si="1"/>
        <v>0</v>
      </c>
    </row>
    <row r="66" spans="1:12" ht="14.65" outlineLevel="1">
      <c r="A66" s="240" t="s">
        <v>2006</v>
      </c>
      <c r="B66" s="235"/>
      <c r="C66" s="236"/>
      <c r="D66" s="237"/>
      <c r="E66" s="237"/>
      <c r="F66" s="238"/>
      <c r="G66" s="239">
        <f>SUBTOTAL(9,G52:G65)</f>
        <v>1162</v>
      </c>
      <c r="H66" s="239">
        <f>SUBTOTAL(9,H52:H65)</f>
        <v>0</v>
      </c>
      <c r="I66" s="239">
        <f>SUBTOTAL(9,I52:I65)</f>
        <v>0</v>
      </c>
      <c r="J66" s="238">
        <f>H66/G66</f>
        <v>0</v>
      </c>
      <c r="K66" s="238">
        <f>I66/G66</f>
        <v>0</v>
      </c>
      <c r="L66" s="238">
        <f t="shared" si="1"/>
        <v>0</v>
      </c>
    </row>
    <row r="67" spans="1:12" ht="14.65" outlineLevel="2">
      <c r="A67" s="232" t="s">
        <v>1699</v>
      </c>
      <c r="B67" s="233" t="s">
        <v>1447</v>
      </c>
      <c r="C67" s="232" t="s">
        <v>1615</v>
      </c>
      <c r="D67" s="62">
        <v>46153</v>
      </c>
      <c r="E67" s="62">
        <v>46164</v>
      </c>
      <c r="F67" s="168">
        <v>1</v>
      </c>
      <c r="G67" s="167">
        <v>10</v>
      </c>
      <c r="H67" s="167">
        <v>10</v>
      </c>
      <c r="I67" s="167">
        <v>10</v>
      </c>
      <c r="J67" s="168">
        <v>1</v>
      </c>
      <c r="K67" s="168">
        <v>1</v>
      </c>
      <c r="L67" s="168">
        <f t="shared" si="1"/>
        <v>0</v>
      </c>
    </row>
    <row r="68" spans="1:12" ht="14.65" outlineLevel="2">
      <c r="A68" s="232" t="s">
        <v>1699</v>
      </c>
      <c r="B68" s="233" t="s">
        <v>1781</v>
      </c>
      <c r="C68" s="232" t="s">
        <v>1617</v>
      </c>
      <c r="D68" s="62">
        <v>46153</v>
      </c>
      <c r="E68" s="62">
        <v>46164</v>
      </c>
      <c r="F68" s="168">
        <v>1</v>
      </c>
      <c r="G68" s="167">
        <v>10</v>
      </c>
      <c r="H68" s="167">
        <v>10</v>
      </c>
      <c r="I68" s="167">
        <v>10</v>
      </c>
      <c r="J68" s="168">
        <v>1</v>
      </c>
      <c r="K68" s="168">
        <v>1</v>
      </c>
      <c r="L68" s="168">
        <f t="shared" si="1"/>
        <v>0</v>
      </c>
    </row>
    <row r="69" spans="1:12" ht="14.65" outlineLevel="2">
      <c r="A69" s="232" t="s">
        <v>1699</v>
      </c>
      <c r="B69" s="233" t="s">
        <v>1786</v>
      </c>
      <c r="C69" s="232" t="s">
        <v>1624</v>
      </c>
      <c r="D69" s="62">
        <v>46188</v>
      </c>
      <c r="E69" s="62">
        <v>46527</v>
      </c>
      <c r="F69" s="168">
        <v>1</v>
      </c>
      <c r="G69" s="167">
        <v>231</v>
      </c>
      <c r="H69" s="167">
        <v>70</v>
      </c>
      <c r="I69" s="167">
        <v>69.000000000000071</v>
      </c>
      <c r="J69" s="168">
        <v>0.30303030303030304</v>
      </c>
      <c r="K69" s="168">
        <v>0.29870129870129902</v>
      </c>
      <c r="L69" s="242">
        <f t="shared" si="1"/>
        <v>-4.3290043290040159E-3</v>
      </c>
    </row>
    <row r="70" spans="1:12" ht="14.65" outlineLevel="2">
      <c r="A70" s="232" t="s">
        <v>1699</v>
      </c>
      <c r="B70" s="233" t="s">
        <v>1787</v>
      </c>
      <c r="C70" s="232" t="s">
        <v>1626</v>
      </c>
      <c r="D70" s="62">
        <v>46188</v>
      </c>
      <c r="E70" s="62">
        <v>46527</v>
      </c>
      <c r="F70" s="168">
        <v>0</v>
      </c>
      <c r="G70" s="167">
        <v>0</v>
      </c>
      <c r="H70" s="167">
        <v>0</v>
      </c>
      <c r="I70" s="167">
        <v>0</v>
      </c>
      <c r="J70" s="168">
        <v>0.30303030303030304</v>
      </c>
      <c r="K70" s="168">
        <v>0.29870129870129902</v>
      </c>
      <c r="L70" s="242">
        <f t="shared" si="1"/>
        <v>-4.3290043290040159E-3</v>
      </c>
    </row>
    <row r="71" spans="1:12" ht="14.65" outlineLevel="2">
      <c r="A71" s="232" t="s">
        <v>1699</v>
      </c>
      <c r="B71" s="233" t="s">
        <v>1788</v>
      </c>
      <c r="C71" s="232" t="s">
        <v>1628</v>
      </c>
      <c r="D71" s="62">
        <v>46188</v>
      </c>
      <c r="E71" s="62">
        <v>46527</v>
      </c>
      <c r="F71" s="168">
        <v>1</v>
      </c>
      <c r="G71" s="167">
        <v>231</v>
      </c>
      <c r="H71" s="167">
        <v>70</v>
      </c>
      <c r="I71" s="167">
        <v>69.000000000000071</v>
      </c>
      <c r="J71" s="168">
        <v>0.30303030303030304</v>
      </c>
      <c r="K71" s="168">
        <v>0.29870129870129902</v>
      </c>
      <c r="L71" s="242">
        <f t="shared" ref="L71:L102" si="2">K71-J71</f>
        <v>-4.3290043290040159E-3</v>
      </c>
    </row>
    <row r="72" spans="1:12" ht="14.65" outlineLevel="2">
      <c r="A72" s="232" t="s">
        <v>1699</v>
      </c>
      <c r="B72" s="233" t="s">
        <v>1789</v>
      </c>
      <c r="C72" s="232" t="s">
        <v>1630</v>
      </c>
      <c r="D72" s="62">
        <v>46188</v>
      </c>
      <c r="E72" s="62">
        <v>46527</v>
      </c>
      <c r="F72" s="168">
        <v>1</v>
      </c>
      <c r="G72" s="167">
        <v>231</v>
      </c>
      <c r="H72" s="167">
        <v>70</v>
      </c>
      <c r="I72" s="167">
        <v>69.000000000000071</v>
      </c>
      <c r="J72" s="168">
        <v>0.30303030303030304</v>
      </c>
      <c r="K72" s="168">
        <v>0.29870129870129902</v>
      </c>
      <c r="L72" s="242">
        <f t="shared" si="2"/>
        <v>-4.3290043290040159E-3</v>
      </c>
    </row>
    <row r="73" spans="1:12" ht="14.65" outlineLevel="2">
      <c r="A73" s="232" t="s">
        <v>1699</v>
      </c>
      <c r="B73" s="233" t="s">
        <v>1790</v>
      </c>
      <c r="C73" s="232" t="s">
        <v>1631</v>
      </c>
      <c r="D73" s="62">
        <v>46188</v>
      </c>
      <c r="E73" s="62">
        <v>46527</v>
      </c>
      <c r="F73" s="168">
        <v>1</v>
      </c>
      <c r="G73" s="167">
        <v>231</v>
      </c>
      <c r="H73" s="167">
        <v>70</v>
      </c>
      <c r="I73" s="167">
        <v>69.000000000000071</v>
      </c>
      <c r="J73" s="168">
        <v>0.30303030303030304</v>
      </c>
      <c r="K73" s="168">
        <v>0.29870129870129902</v>
      </c>
      <c r="L73" s="242">
        <f t="shared" si="2"/>
        <v>-4.3290043290040159E-3</v>
      </c>
    </row>
    <row r="74" spans="1:12" ht="14.65" outlineLevel="2">
      <c r="A74" s="232" t="s">
        <v>1699</v>
      </c>
      <c r="B74" s="233" t="s">
        <v>1792</v>
      </c>
      <c r="C74" s="232" t="s">
        <v>1632</v>
      </c>
      <c r="D74" s="62">
        <v>46188</v>
      </c>
      <c r="E74" s="62">
        <v>46527</v>
      </c>
      <c r="F74" s="168">
        <v>1</v>
      </c>
      <c r="G74" s="167">
        <v>231</v>
      </c>
      <c r="H74" s="167">
        <v>70</v>
      </c>
      <c r="I74" s="167">
        <v>69.000000000000071</v>
      </c>
      <c r="J74" s="168">
        <v>0.30303030303030304</v>
      </c>
      <c r="K74" s="168">
        <v>0.29870129870129902</v>
      </c>
      <c r="L74" s="242">
        <f t="shared" si="2"/>
        <v>-4.3290043290040159E-3</v>
      </c>
    </row>
    <row r="75" spans="1:12" ht="14.65" outlineLevel="2">
      <c r="A75" s="232" t="s">
        <v>1699</v>
      </c>
      <c r="B75" s="233" t="s">
        <v>1793</v>
      </c>
      <c r="C75" s="232" t="s">
        <v>1635</v>
      </c>
      <c r="D75" s="62">
        <v>46188</v>
      </c>
      <c r="E75" s="62">
        <v>46213</v>
      </c>
      <c r="F75" s="168">
        <v>1</v>
      </c>
      <c r="G75" s="167">
        <v>20</v>
      </c>
      <c r="H75" s="167">
        <v>20</v>
      </c>
      <c r="I75" s="167">
        <v>20</v>
      </c>
      <c r="J75" s="168">
        <v>1</v>
      </c>
      <c r="K75" s="168">
        <v>1</v>
      </c>
      <c r="L75" s="168">
        <f t="shared" si="2"/>
        <v>0</v>
      </c>
    </row>
    <row r="76" spans="1:12" ht="14.65" outlineLevel="2">
      <c r="A76" s="232" t="s">
        <v>1699</v>
      </c>
      <c r="B76" s="233" t="s">
        <v>1813</v>
      </c>
      <c r="C76" s="232" t="s">
        <v>1655</v>
      </c>
      <c r="D76" s="62">
        <v>46199</v>
      </c>
      <c r="E76" s="62">
        <v>46213</v>
      </c>
      <c r="F76" s="168">
        <v>1</v>
      </c>
      <c r="G76" s="167">
        <v>11</v>
      </c>
      <c r="H76" s="167">
        <v>11</v>
      </c>
      <c r="I76" s="167">
        <v>8.8000000000000007</v>
      </c>
      <c r="J76" s="168">
        <v>1</v>
      </c>
      <c r="K76" s="168">
        <v>0.8</v>
      </c>
      <c r="L76" s="242">
        <f t="shared" si="2"/>
        <v>-0.19999999999999996</v>
      </c>
    </row>
    <row r="77" spans="1:12" ht="14.65" outlineLevel="2">
      <c r="A77" s="232" t="s">
        <v>1699</v>
      </c>
      <c r="B77" s="233" t="s">
        <v>1794</v>
      </c>
      <c r="C77" s="232" t="s">
        <v>1637</v>
      </c>
      <c r="D77" s="62">
        <v>46216</v>
      </c>
      <c r="E77" s="62">
        <v>46265</v>
      </c>
      <c r="F77" s="168">
        <v>1</v>
      </c>
      <c r="G77" s="167">
        <v>34</v>
      </c>
      <c r="H77" s="167">
        <v>34</v>
      </c>
      <c r="I77" s="167">
        <v>34</v>
      </c>
      <c r="J77" s="168">
        <v>1</v>
      </c>
      <c r="K77" s="168">
        <v>1</v>
      </c>
      <c r="L77" s="168">
        <f t="shared" si="2"/>
        <v>0</v>
      </c>
    </row>
    <row r="78" spans="1:12" ht="14.65" outlineLevel="2">
      <c r="A78" s="232" t="s">
        <v>1699</v>
      </c>
      <c r="B78" s="233" t="s">
        <v>1791</v>
      </c>
      <c r="C78" s="232" t="s">
        <v>1450</v>
      </c>
      <c r="D78" s="62">
        <v>46266</v>
      </c>
      <c r="E78" s="62">
        <v>46285</v>
      </c>
      <c r="F78" s="168">
        <v>1</v>
      </c>
      <c r="G78" s="167">
        <v>14</v>
      </c>
      <c r="H78" s="167">
        <v>14</v>
      </c>
      <c r="I78" s="167">
        <v>7</v>
      </c>
      <c r="J78" s="168">
        <v>1</v>
      </c>
      <c r="K78" s="168">
        <v>0.5</v>
      </c>
      <c r="L78" s="242">
        <f t="shared" si="2"/>
        <v>-0.5</v>
      </c>
    </row>
    <row r="79" spans="1:12" ht="14.65" outlineLevel="2">
      <c r="A79" s="232" t="s">
        <v>1699</v>
      </c>
      <c r="B79" s="233" t="s">
        <v>1797</v>
      </c>
      <c r="C79" s="232" t="s">
        <v>1639</v>
      </c>
      <c r="D79" s="62">
        <v>46266</v>
      </c>
      <c r="E79" s="62">
        <v>46418</v>
      </c>
      <c r="F79" s="168">
        <v>1</v>
      </c>
      <c r="G79" s="167">
        <v>103</v>
      </c>
      <c r="H79" s="167">
        <v>16</v>
      </c>
      <c r="I79" s="167">
        <v>0</v>
      </c>
      <c r="J79" s="168">
        <v>0.1553398058252427</v>
      </c>
      <c r="K79" s="168">
        <v>0</v>
      </c>
      <c r="L79" s="242">
        <f t="shared" si="2"/>
        <v>-0.1553398058252427</v>
      </c>
    </row>
    <row r="80" spans="1:12" ht="14.65" outlineLevel="2">
      <c r="A80" s="232" t="s">
        <v>1699</v>
      </c>
      <c r="B80" s="233" t="s">
        <v>1833</v>
      </c>
      <c r="C80" s="232" t="s">
        <v>1692</v>
      </c>
      <c r="D80" s="62">
        <v>46440</v>
      </c>
      <c r="E80" s="62">
        <v>46477</v>
      </c>
      <c r="F80" s="168">
        <v>1</v>
      </c>
      <c r="G80" s="167">
        <v>27</v>
      </c>
      <c r="H80" s="167">
        <v>0</v>
      </c>
      <c r="I80" s="167">
        <v>0</v>
      </c>
      <c r="J80" s="168">
        <v>0</v>
      </c>
      <c r="K80" s="168">
        <v>0</v>
      </c>
      <c r="L80" s="168">
        <f t="shared" si="2"/>
        <v>0</v>
      </c>
    </row>
    <row r="81" spans="1:12" ht="14.65" outlineLevel="2">
      <c r="A81" s="232" t="s">
        <v>1699</v>
      </c>
      <c r="B81" s="233" t="s">
        <v>1834</v>
      </c>
      <c r="C81" s="232" t="s">
        <v>1691</v>
      </c>
      <c r="D81" s="62">
        <v>46440</v>
      </c>
      <c r="E81" s="62">
        <v>46477</v>
      </c>
      <c r="F81" s="168">
        <v>1</v>
      </c>
      <c r="G81" s="167">
        <v>27</v>
      </c>
      <c r="H81" s="167">
        <v>0</v>
      </c>
      <c r="I81" s="167">
        <v>0</v>
      </c>
      <c r="J81" s="168">
        <v>0</v>
      </c>
      <c r="K81" s="168">
        <v>0</v>
      </c>
      <c r="L81" s="168">
        <f t="shared" si="2"/>
        <v>0</v>
      </c>
    </row>
    <row r="82" spans="1:12" ht="14.65" outlineLevel="2">
      <c r="A82" s="232" t="s">
        <v>1699</v>
      </c>
      <c r="B82" s="233" t="s">
        <v>1835</v>
      </c>
      <c r="C82" s="232" t="s">
        <v>1693</v>
      </c>
      <c r="D82" s="62">
        <v>46440</v>
      </c>
      <c r="E82" s="62">
        <v>46477</v>
      </c>
      <c r="F82" s="168">
        <v>1</v>
      </c>
      <c r="G82" s="167">
        <v>27</v>
      </c>
      <c r="H82" s="167">
        <v>0</v>
      </c>
      <c r="I82" s="167">
        <v>0</v>
      </c>
      <c r="J82" s="168">
        <v>0</v>
      </c>
      <c r="K82" s="168">
        <v>0</v>
      </c>
      <c r="L82" s="168">
        <f t="shared" si="2"/>
        <v>0</v>
      </c>
    </row>
    <row r="83" spans="1:12" ht="14.65" outlineLevel="2">
      <c r="A83" s="232" t="s">
        <v>1699</v>
      </c>
      <c r="B83" s="233" t="s">
        <v>1802</v>
      </c>
      <c r="C83" s="232" t="s">
        <v>1453</v>
      </c>
      <c r="D83" s="62">
        <v>46478</v>
      </c>
      <c r="E83" s="62">
        <v>46527</v>
      </c>
      <c r="F83" s="168">
        <v>1</v>
      </c>
      <c r="G83" s="167">
        <v>34</v>
      </c>
      <c r="H83" s="167">
        <v>0</v>
      </c>
      <c r="I83" s="167">
        <v>0</v>
      </c>
      <c r="J83" s="168">
        <v>0</v>
      </c>
      <c r="K83" s="168">
        <v>0</v>
      </c>
      <c r="L83" s="168">
        <f t="shared" si="2"/>
        <v>0</v>
      </c>
    </row>
    <row r="84" spans="1:12" ht="14.65" outlineLevel="2">
      <c r="A84" s="232" t="s">
        <v>1699</v>
      </c>
      <c r="B84" s="233" t="s">
        <v>1803</v>
      </c>
      <c r="C84" s="232" t="s">
        <v>1645</v>
      </c>
      <c r="D84" s="62">
        <v>46478</v>
      </c>
      <c r="E84" s="62">
        <v>46527</v>
      </c>
      <c r="F84" s="168">
        <v>1</v>
      </c>
      <c r="G84" s="167">
        <v>34</v>
      </c>
      <c r="H84" s="167">
        <v>0</v>
      </c>
      <c r="I84" s="167">
        <v>0</v>
      </c>
      <c r="J84" s="168">
        <v>0</v>
      </c>
      <c r="K84" s="168">
        <v>0</v>
      </c>
      <c r="L84" s="168">
        <f t="shared" si="2"/>
        <v>0</v>
      </c>
    </row>
    <row r="85" spans="1:12" ht="14.65" outlineLevel="2">
      <c r="A85" s="232" t="s">
        <v>1699</v>
      </c>
      <c r="B85" s="233" t="s">
        <v>1804</v>
      </c>
      <c r="C85" s="232" t="s">
        <v>1646</v>
      </c>
      <c r="D85" s="62">
        <v>46478</v>
      </c>
      <c r="E85" s="62">
        <v>46527</v>
      </c>
      <c r="F85" s="168">
        <v>1</v>
      </c>
      <c r="G85" s="167">
        <v>34</v>
      </c>
      <c r="H85" s="167">
        <v>0</v>
      </c>
      <c r="I85" s="167">
        <v>0</v>
      </c>
      <c r="J85" s="168">
        <v>0</v>
      </c>
      <c r="K85" s="168">
        <v>0</v>
      </c>
      <c r="L85" s="168">
        <f t="shared" si="2"/>
        <v>0</v>
      </c>
    </row>
    <row r="86" spans="1:12" ht="14.65" outlineLevel="2">
      <c r="A86" s="232" t="s">
        <v>1699</v>
      </c>
      <c r="B86" s="233" t="s">
        <v>1806</v>
      </c>
      <c r="C86" s="232" t="s">
        <v>1648</v>
      </c>
      <c r="D86" s="62">
        <v>46478</v>
      </c>
      <c r="E86" s="62">
        <v>46527</v>
      </c>
      <c r="F86" s="168">
        <v>1</v>
      </c>
      <c r="G86" s="167">
        <v>34</v>
      </c>
      <c r="H86" s="167">
        <v>0</v>
      </c>
      <c r="I86" s="167">
        <v>0</v>
      </c>
      <c r="J86" s="168">
        <v>0</v>
      </c>
      <c r="K86" s="168">
        <v>0</v>
      </c>
      <c r="L86" s="168">
        <f t="shared" si="2"/>
        <v>0</v>
      </c>
    </row>
    <row r="87" spans="1:12" ht="14.65" outlineLevel="1">
      <c r="A87" s="240" t="s">
        <v>2007</v>
      </c>
      <c r="B87" s="235"/>
      <c r="C87" s="236"/>
      <c r="D87" s="237"/>
      <c r="E87" s="237"/>
      <c r="F87" s="238"/>
      <c r="G87" s="239">
        <f>SUBTOTAL(9,G67:G86)</f>
        <v>1574</v>
      </c>
      <c r="H87" s="239">
        <f>SUBTOTAL(9,H67:H86)</f>
        <v>465</v>
      </c>
      <c r="I87" s="239">
        <f>SUBTOTAL(9,I67:I86)</f>
        <v>434.80000000000035</v>
      </c>
      <c r="J87" s="238">
        <f>H87/G87</f>
        <v>0.295425667090216</v>
      </c>
      <c r="K87" s="238">
        <f>I87/G87</f>
        <v>0.27623888182973338</v>
      </c>
      <c r="L87" s="243">
        <f t="shared" si="2"/>
        <v>-1.9186785260482619E-2</v>
      </c>
    </row>
    <row r="88" spans="1:12" ht="14.65" outlineLevel="2">
      <c r="A88" s="232" t="s">
        <v>1698</v>
      </c>
      <c r="B88" s="233" t="s">
        <v>1780</v>
      </c>
      <c r="C88" s="232" t="s">
        <v>1627</v>
      </c>
      <c r="D88" s="62">
        <v>46153</v>
      </c>
      <c r="E88" s="62">
        <v>46164</v>
      </c>
      <c r="F88" s="168">
        <v>1</v>
      </c>
      <c r="G88" s="167">
        <v>10</v>
      </c>
      <c r="H88" s="167">
        <v>10</v>
      </c>
      <c r="I88" s="167">
        <v>10</v>
      </c>
      <c r="J88" s="168">
        <v>1</v>
      </c>
      <c r="K88" s="168">
        <v>1</v>
      </c>
      <c r="L88" s="168">
        <f t="shared" si="2"/>
        <v>0</v>
      </c>
    </row>
    <row r="89" spans="1:12" ht="14.65" outlineLevel="2">
      <c r="A89" s="232" t="s">
        <v>1698</v>
      </c>
      <c r="B89" s="233" t="s">
        <v>1449</v>
      </c>
      <c r="C89" s="232" t="s">
        <v>1616</v>
      </c>
      <c r="D89" s="62">
        <v>46153</v>
      </c>
      <c r="E89" s="62">
        <v>46164</v>
      </c>
      <c r="F89" s="168">
        <v>0</v>
      </c>
      <c r="G89" s="167">
        <v>0</v>
      </c>
      <c r="H89" s="167">
        <v>0</v>
      </c>
      <c r="I89" s="167">
        <v>0</v>
      </c>
      <c r="J89" s="168">
        <v>1</v>
      </c>
      <c r="K89" s="168">
        <v>1</v>
      </c>
      <c r="L89" s="168">
        <f t="shared" si="2"/>
        <v>0</v>
      </c>
    </row>
    <row r="90" spans="1:12" ht="14.65" outlineLevel="2">
      <c r="A90" s="232" t="s">
        <v>1698</v>
      </c>
      <c r="B90" s="233" t="s">
        <v>1811</v>
      </c>
      <c r="C90" s="232" t="s">
        <v>1657</v>
      </c>
      <c r="D90" s="62">
        <v>46188</v>
      </c>
      <c r="E90" s="62">
        <v>46192</v>
      </c>
      <c r="F90" s="168">
        <v>1</v>
      </c>
      <c r="G90" s="167">
        <v>5</v>
      </c>
      <c r="H90" s="167">
        <v>5</v>
      </c>
      <c r="I90" s="167">
        <v>5</v>
      </c>
      <c r="J90" s="168">
        <v>1</v>
      </c>
      <c r="K90" s="168">
        <v>1</v>
      </c>
      <c r="L90" s="168">
        <f t="shared" si="2"/>
        <v>0</v>
      </c>
    </row>
    <row r="91" spans="1:12" ht="14.65" outlineLevel="2">
      <c r="A91" s="232" t="s">
        <v>1698</v>
      </c>
      <c r="B91" s="233" t="s">
        <v>1812</v>
      </c>
      <c r="C91" s="232" t="s">
        <v>1658</v>
      </c>
      <c r="D91" s="62">
        <v>46195</v>
      </c>
      <c r="E91" s="62">
        <v>46199</v>
      </c>
      <c r="F91" s="168">
        <v>1</v>
      </c>
      <c r="G91" s="167">
        <v>5</v>
      </c>
      <c r="H91" s="167">
        <v>5</v>
      </c>
      <c r="I91" s="167">
        <v>5</v>
      </c>
      <c r="J91" s="168">
        <v>1</v>
      </c>
      <c r="K91" s="168">
        <v>1</v>
      </c>
      <c r="L91" s="168">
        <f t="shared" si="2"/>
        <v>0</v>
      </c>
    </row>
    <row r="92" spans="1:12" ht="14.65" outlineLevel="2">
      <c r="A92" s="232" t="s">
        <v>1698</v>
      </c>
      <c r="B92" s="233" t="s">
        <v>1471</v>
      </c>
      <c r="C92" s="232" t="s">
        <v>1657</v>
      </c>
      <c r="D92" s="62">
        <v>46249</v>
      </c>
      <c r="E92" s="62">
        <v>46265</v>
      </c>
      <c r="F92" s="168">
        <v>1</v>
      </c>
      <c r="G92" s="167">
        <v>10</v>
      </c>
      <c r="H92" s="167">
        <v>10</v>
      </c>
      <c r="I92" s="167">
        <v>10</v>
      </c>
      <c r="J92" s="168">
        <v>1</v>
      </c>
      <c r="K92" s="168">
        <v>1</v>
      </c>
      <c r="L92" s="168">
        <f t="shared" si="2"/>
        <v>0</v>
      </c>
    </row>
    <row r="93" spans="1:12" ht="14.65" outlineLevel="2">
      <c r="A93" s="232" t="s">
        <v>1698</v>
      </c>
      <c r="B93" s="233" t="s">
        <v>1472</v>
      </c>
      <c r="C93" s="232" t="s">
        <v>1658</v>
      </c>
      <c r="D93" s="62">
        <v>46249</v>
      </c>
      <c r="E93" s="62">
        <v>46265</v>
      </c>
      <c r="F93" s="168">
        <v>1</v>
      </c>
      <c r="G93" s="167">
        <v>10</v>
      </c>
      <c r="H93" s="167">
        <v>10</v>
      </c>
      <c r="I93" s="167">
        <v>10</v>
      </c>
      <c r="J93" s="168">
        <v>1</v>
      </c>
      <c r="K93" s="168">
        <v>1</v>
      </c>
      <c r="L93" s="168">
        <f t="shared" si="2"/>
        <v>0</v>
      </c>
    </row>
    <row r="94" spans="1:12" ht="14.65" outlineLevel="2">
      <c r="A94" s="232" t="s">
        <v>1698</v>
      </c>
      <c r="B94" s="233" t="s">
        <v>1799</v>
      </c>
      <c r="C94" s="232" t="s">
        <v>1642</v>
      </c>
      <c r="D94" s="62">
        <v>46266</v>
      </c>
      <c r="E94" s="62">
        <v>46418</v>
      </c>
      <c r="F94" s="168">
        <v>1</v>
      </c>
      <c r="G94" s="167">
        <v>103</v>
      </c>
      <c r="H94" s="167">
        <v>16</v>
      </c>
      <c r="I94" s="167">
        <v>0</v>
      </c>
      <c r="J94" s="168">
        <v>0.1553398058252427</v>
      </c>
      <c r="K94" s="168">
        <v>0</v>
      </c>
      <c r="L94" s="242">
        <f t="shared" si="2"/>
        <v>-0.1553398058252427</v>
      </c>
    </row>
    <row r="95" spans="1:12" ht="14.65" outlineLevel="2">
      <c r="A95" s="232" t="s">
        <v>1698</v>
      </c>
      <c r="B95" s="233" t="s">
        <v>1828</v>
      </c>
      <c r="C95" s="232" t="s">
        <v>1686</v>
      </c>
      <c r="D95" s="62">
        <v>46461</v>
      </c>
      <c r="E95" s="62">
        <v>46477</v>
      </c>
      <c r="F95" s="168">
        <v>1</v>
      </c>
      <c r="G95" s="167">
        <v>13</v>
      </c>
      <c r="H95" s="167">
        <v>0</v>
      </c>
      <c r="I95" s="167">
        <v>0</v>
      </c>
      <c r="J95" s="168">
        <v>0</v>
      </c>
      <c r="K95" s="168">
        <v>0</v>
      </c>
      <c r="L95" s="168">
        <f t="shared" si="2"/>
        <v>0</v>
      </c>
    </row>
    <row r="96" spans="1:12" ht="14.65" outlineLevel="1">
      <c r="A96" s="240" t="s">
        <v>2008</v>
      </c>
      <c r="B96" s="235"/>
      <c r="C96" s="236"/>
      <c r="D96" s="237"/>
      <c r="E96" s="237"/>
      <c r="F96" s="238"/>
      <c r="G96" s="239">
        <f>SUBTOTAL(9,G88:G95)</f>
        <v>156</v>
      </c>
      <c r="H96" s="239">
        <f>SUBTOTAL(9,H88:H95)</f>
        <v>56</v>
      </c>
      <c r="I96" s="239">
        <f>SUBTOTAL(9,I88:I95)</f>
        <v>40</v>
      </c>
      <c r="J96" s="238">
        <f>H96/G96</f>
        <v>0.35897435897435898</v>
      </c>
      <c r="K96" s="238">
        <f>I96/G96</f>
        <v>0.25641025641025639</v>
      </c>
      <c r="L96" s="243">
        <f t="shared" si="2"/>
        <v>-0.10256410256410259</v>
      </c>
    </row>
    <row r="97" spans="1:12" ht="14.65" outlineLevel="2">
      <c r="A97" s="232" t="s">
        <v>1728</v>
      </c>
      <c r="B97" s="233" t="s">
        <v>1825</v>
      </c>
      <c r="C97" s="232" t="s">
        <v>1683</v>
      </c>
      <c r="D97" s="62">
        <v>46421</v>
      </c>
      <c r="E97" s="62">
        <v>46428</v>
      </c>
      <c r="F97" s="168">
        <v>1</v>
      </c>
      <c r="G97" s="167">
        <v>4</v>
      </c>
      <c r="H97" s="167">
        <v>0</v>
      </c>
      <c r="I97" s="167">
        <v>0</v>
      </c>
      <c r="J97" s="168">
        <v>0</v>
      </c>
      <c r="K97" s="168">
        <v>0</v>
      </c>
      <c r="L97" s="168">
        <f t="shared" si="2"/>
        <v>0</v>
      </c>
    </row>
    <row r="98" spans="1:12" ht="14.65" outlineLevel="2">
      <c r="A98" s="232" t="s">
        <v>1728</v>
      </c>
      <c r="B98" s="233" t="s">
        <v>1826</v>
      </c>
      <c r="C98" s="232" t="s">
        <v>1684</v>
      </c>
      <c r="D98" s="62">
        <v>46440</v>
      </c>
      <c r="E98" s="62">
        <v>46458</v>
      </c>
      <c r="F98" s="168">
        <v>1</v>
      </c>
      <c r="G98" s="167">
        <v>14</v>
      </c>
      <c r="H98" s="167">
        <v>0</v>
      </c>
      <c r="I98" s="167">
        <v>0</v>
      </c>
      <c r="J98" s="168">
        <v>0</v>
      </c>
      <c r="K98" s="168">
        <v>0</v>
      </c>
      <c r="L98" s="168">
        <f t="shared" si="2"/>
        <v>0</v>
      </c>
    </row>
    <row r="99" spans="1:12" ht="14.65" outlineLevel="1">
      <c r="A99" s="240" t="s">
        <v>2009</v>
      </c>
      <c r="B99" s="235"/>
      <c r="C99" s="236"/>
      <c r="D99" s="237"/>
      <c r="E99" s="237"/>
      <c r="F99" s="238"/>
      <c r="G99" s="239">
        <f>SUBTOTAL(9,G97:G98)</f>
        <v>18</v>
      </c>
      <c r="H99" s="239">
        <f>SUBTOTAL(9,H97:H98)</f>
        <v>0</v>
      </c>
      <c r="I99" s="239">
        <f>SUBTOTAL(9,I97:I98)</f>
        <v>0</v>
      </c>
      <c r="J99" s="238">
        <f>H99/G99</f>
        <v>0</v>
      </c>
      <c r="K99" s="238">
        <f>I99/G99</f>
        <v>0</v>
      </c>
      <c r="L99" s="238">
        <f t="shared" si="2"/>
        <v>0</v>
      </c>
    </row>
    <row r="100" spans="1:12" ht="14.65" outlineLevel="2">
      <c r="A100" s="232" t="s">
        <v>1712</v>
      </c>
      <c r="B100" s="233" t="s">
        <v>1809</v>
      </c>
      <c r="C100" s="232" t="s">
        <v>1653</v>
      </c>
      <c r="D100" s="62">
        <v>46174</v>
      </c>
      <c r="E100" s="62">
        <v>46185</v>
      </c>
      <c r="F100" s="168">
        <v>1</v>
      </c>
      <c r="G100" s="167">
        <v>9</v>
      </c>
      <c r="H100" s="167">
        <v>9</v>
      </c>
      <c r="I100" s="167">
        <v>7.2</v>
      </c>
      <c r="J100" s="168">
        <v>1</v>
      </c>
      <c r="K100" s="168">
        <v>0.8</v>
      </c>
      <c r="L100" s="242">
        <f t="shared" si="2"/>
        <v>-0.19999999999999996</v>
      </c>
    </row>
    <row r="101" spans="1:12" ht="14.65" outlineLevel="2">
      <c r="A101" s="232" t="s">
        <v>1712</v>
      </c>
      <c r="B101" s="233" t="s">
        <v>1810</v>
      </c>
      <c r="C101" s="232" t="s">
        <v>1656</v>
      </c>
      <c r="D101" s="62">
        <v>46188</v>
      </c>
      <c r="E101" s="62">
        <v>46199</v>
      </c>
      <c r="F101" s="168">
        <v>1</v>
      </c>
      <c r="G101" s="167">
        <v>10</v>
      </c>
      <c r="H101" s="167">
        <v>10</v>
      </c>
      <c r="I101" s="167">
        <v>5</v>
      </c>
      <c r="J101" s="168">
        <v>1</v>
      </c>
      <c r="K101" s="168">
        <v>0.5</v>
      </c>
      <c r="L101" s="242">
        <f t="shared" si="2"/>
        <v>-0.5</v>
      </c>
    </row>
    <row r="102" spans="1:12" ht="14.65" outlineLevel="2">
      <c r="A102" s="232" t="s">
        <v>1712</v>
      </c>
      <c r="B102" s="233" t="s">
        <v>1460</v>
      </c>
      <c r="C102" s="232" t="s">
        <v>1661</v>
      </c>
      <c r="D102" s="62">
        <v>46188</v>
      </c>
      <c r="E102" s="62">
        <v>46199</v>
      </c>
      <c r="F102" s="168">
        <v>1</v>
      </c>
      <c r="G102" s="167">
        <v>10</v>
      </c>
      <c r="H102" s="167">
        <v>10</v>
      </c>
      <c r="I102" s="167">
        <v>8.5</v>
      </c>
      <c r="J102" s="168">
        <v>1</v>
      </c>
      <c r="K102" s="168">
        <v>0.85</v>
      </c>
      <c r="L102" s="242">
        <f t="shared" si="2"/>
        <v>-0.15000000000000002</v>
      </c>
    </row>
    <row r="103" spans="1:12" ht="14.65" outlineLevel="2">
      <c r="A103" s="232" t="s">
        <v>1712</v>
      </c>
      <c r="B103" s="233" t="s">
        <v>1461</v>
      </c>
      <c r="C103" s="232" t="s">
        <v>1662</v>
      </c>
      <c r="D103" s="62">
        <v>46202</v>
      </c>
      <c r="E103" s="62">
        <v>46213</v>
      </c>
      <c r="F103" s="168">
        <v>1</v>
      </c>
      <c r="G103" s="167">
        <v>10</v>
      </c>
      <c r="H103" s="167">
        <v>10</v>
      </c>
      <c r="I103" s="167">
        <v>5.8</v>
      </c>
      <c r="J103" s="168">
        <v>1</v>
      </c>
      <c r="K103" s="168">
        <v>0.57999999999999996</v>
      </c>
      <c r="L103" s="242">
        <f t="shared" ref="L103:L134" si="3">K103-J103</f>
        <v>-0.42000000000000004</v>
      </c>
    </row>
    <row r="104" spans="1:12" ht="14.65" outlineLevel="2">
      <c r="A104" s="232" t="s">
        <v>1712</v>
      </c>
      <c r="B104" s="233" t="s">
        <v>1819</v>
      </c>
      <c r="C104" s="232" t="s">
        <v>1670</v>
      </c>
      <c r="D104" s="62">
        <v>46223</v>
      </c>
      <c r="E104" s="62">
        <v>46265</v>
      </c>
      <c r="F104" s="168">
        <v>1</v>
      </c>
      <c r="G104" s="167">
        <v>30</v>
      </c>
      <c r="H104" s="167">
        <v>30</v>
      </c>
      <c r="I104" s="167">
        <v>0</v>
      </c>
      <c r="J104" s="168">
        <v>1</v>
      </c>
      <c r="K104" s="168">
        <v>0</v>
      </c>
      <c r="L104" s="242">
        <f t="shared" si="3"/>
        <v>-1</v>
      </c>
    </row>
    <row r="105" spans="1:12" ht="14.65" outlineLevel="2">
      <c r="A105" s="232" t="s">
        <v>1712</v>
      </c>
      <c r="B105" s="233" t="s">
        <v>1466</v>
      </c>
      <c r="C105" s="232" t="s">
        <v>1842</v>
      </c>
      <c r="D105" s="62">
        <v>46266</v>
      </c>
      <c r="E105" s="62">
        <v>46297</v>
      </c>
      <c r="F105" s="168">
        <v>1</v>
      </c>
      <c r="G105" s="167">
        <v>22</v>
      </c>
      <c r="H105" s="167">
        <v>16</v>
      </c>
      <c r="I105" s="167">
        <v>11</v>
      </c>
      <c r="J105" s="168">
        <v>0.72727272727272729</v>
      </c>
      <c r="K105" s="168">
        <v>0.5</v>
      </c>
      <c r="L105" s="242">
        <f t="shared" si="3"/>
        <v>-0.22727272727272729</v>
      </c>
    </row>
    <row r="106" spans="1:12" ht="14.65" outlineLevel="2">
      <c r="A106" s="232" t="s">
        <v>1712</v>
      </c>
      <c r="B106" s="233" t="s">
        <v>1467</v>
      </c>
      <c r="C106" s="232" t="s">
        <v>1853</v>
      </c>
      <c r="D106" s="62">
        <v>46266</v>
      </c>
      <c r="E106" s="62">
        <v>46297</v>
      </c>
      <c r="F106" s="168">
        <v>1</v>
      </c>
      <c r="G106" s="167">
        <v>22</v>
      </c>
      <c r="H106" s="167">
        <v>16</v>
      </c>
      <c r="I106" s="167">
        <v>11</v>
      </c>
      <c r="J106" s="168">
        <v>0.72727272727272729</v>
      </c>
      <c r="K106" s="168">
        <v>0.5</v>
      </c>
      <c r="L106" s="242">
        <f t="shared" si="3"/>
        <v>-0.22727272727272729</v>
      </c>
    </row>
    <row r="107" spans="1:12" ht="14.65" outlineLevel="2">
      <c r="A107" s="232" t="s">
        <v>1712</v>
      </c>
      <c r="B107" s="233" t="s">
        <v>1468</v>
      </c>
      <c r="C107" s="232" t="s">
        <v>1854</v>
      </c>
      <c r="D107" s="62">
        <v>46266</v>
      </c>
      <c r="E107" s="62">
        <v>46297</v>
      </c>
      <c r="F107" s="168">
        <v>1</v>
      </c>
      <c r="G107" s="167">
        <v>22</v>
      </c>
      <c r="H107" s="167">
        <v>16</v>
      </c>
      <c r="I107" s="167">
        <v>11</v>
      </c>
      <c r="J107" s="168">
        <v>0.72727272727272729</v>
      </c>
      <c r="K107" s="168">
        <v>0.5</v>
      </c>
      <c r="L107" s="242">
        <f t="shared" si="3"/>
        <v>-0.22727272727272729</v>
      </c>
    </row>
    <row r="108" spans="1:12" ht="14.65" outlineLevel="2">
      <c r="A108" s="232" t="s">
        <v>1712</v>
      </c>
      <c r="B108" s="233" t="s">
        <v>1469</v>
      </c>
      <c r="C108" s="232" t="s">
        <v>1855</v>
      </c>
      <c r="D108" s="62">
        <v>46266</v>
      </c>
      <c r="E108" s="62">
        <v>46297</v>
      </c>
      <c r="F108" s="168">
        <v>1</v>
      </c>
      <c r="G108" s="167">
        <v>22</v>
      </c>
      <c r="H108" s="167">
        <v>16</v>
      </c>
      <c r="I108" s="167">
        <v>0</v>
      </c>
      <c r="J108" s="168">
        <v>0.72727272727272729</v>
      </c>
      <c r="K108" s="168">
        <v>0</v>
      </c>
      <c r="L108" s="242">
        <f t="shared" si="3"/>
        <v>-0.72727272727272729</v>
      </c>
    </row>
    <row r="109" spans="1:12" ht="14.65" outlineLevel="2">
      <c r="A109" s="232" t="s">
        <v>1712</v>
      </c>
      <c r="B109" s="233" t="s">
        <v>1846</v>
      </c>
      <c r="C109" s="232" t="s">
        <v>1858</v>
      </c>
      <c r="D109" s="62">
        <v>46266</v>
      </c>
      <c r="E109" s="62">
        <v>46297</v>
      </c>
      <c r="F109" s="168">
        <v>1</v>
      </c>
      <c r="G109" s="167">
        <v>22</v>
      </c>
      <c r="H109" s="167">
        <v>16</v>
      </c>
      <c r="I109" s="167">
        <v>11</v>
      </c>
      <c r="J109" s="168">
        <v>0.72727272727272729</v>
      </c>
      <c r="K109" s="168">
        <v>0.5</v>
      </c>
      <c r="L109" s="242">
        <f t="shared" si="3"/>
        <v>-0.22727272727272729</v>
      </c>
    </row>
    <row r="110" spans="1:12" ht="14.65" outlineLevel="2">
      <c r="A110" s="232" t="s">
        <v>1712</v>
      </c>
      <c r="B110" s="233" t="s">
        <v>1847</v>
      </c>
      <c r="C110" s="232" t="s">
        <v>1857</v>
      </c>
      <c r="D110" s="62">
        <v>46266</v>
      </c>
      <c r="E110" s="62">
        <v>46297</v>
      </c>
      <c r="F110" s="168">
        <v>1</v>
      </c>
      <c r="G110" s="167">
        <v>22</v>
      </c>
      <c r="H110" s="167">
        <v>16</v>
      </c>
      <c r="I110" s="167">
        <v>11</v>
      </c>
      <c r="J110" s="168">
        <v>0.72727272727272729</v>
      </c>
      <c r="K110" s="168">
        <v>0.5</v>
      </c>
      <c r="L110" s="242">
        <f t="shared" si="3"/>
        <v>-0.22727272727272729</v>
      </c>
    </row>
    <row r="111" spans="1:12" ht="14.65" outlineLevel="2">
      <c r="A111" s="232" t="s">
        <v>1712</v>
      </c>
      <c r="B111" s="233" t="s">
        <v>1848</v>
      </c>
      <c r="C111" s="232" t="s">
        <v>1856</v>
      </c>
      <c r="D111" s="62">
        <v>46266</v>
      </c>
      <c r="E111" s="62">
        <v>46297</v>
      </c>
      <c r="F111" s="168">
        <v>1</v>
      </c>
      <c r="G111" s="167">
        <v>22</v>
      </c>
      <c r="H111" s="167">
        <v>16</v>
      </c>
      <c r="I111" s="167">
        <v>11</v>
      </c>
      <c r="J111" s="168">
        <v>0.72727272727272729</v>
      </c>
      <c r="K111" s="168">
        <v>0.5</v>
      </c>
      <c r="L111" s="242">
        <f t="shared" si="3"/>
        <v>-0.22727272727272729</v>
      </c>
    </row>
    <row r="112" spans="1:12" ht="14.65" outlineLevel="2">
      <c r="A112" s="232" t="s">
        <v>1712</v>
      </c>
      <c r="B112" s="233" t="s">
        <v>1849</v>
      </c>
      <c r="C112" s="232" t="s">
        <v>1859</v>
      </c>
      <c r="D112" s="62">
        <v>46266</v>
      </c>
      <c r="E112" s="62">
        <v>46297</v>
      </c>
      <c r="F112" s="168">
        <v>1</v>
      </c>
      <c r="G112" s="167">
        <v>22</v>
      </c>
      <c r="H112" s="167">
        <v>16</v>
      </c>
      <c r="I112" s="167">
        <v>11</v>
      </c>
      <c r="J112" s="168">
        <v>0.72727272727272729</v>
      </c>
      <c r="K112" s="168">
        <v>0.5</v>
      </c>
      <c r="L112" s="242">
        <f t="shared" si="3"/>
        <v>-0.22727272727272729</v>
      </c>
    </row>
    <row r="113" spans="1:12" ht="14.65" outlineLevel="2">
      <c r="A113" s="232" t="s">
        <v>1712</v>
      </c>
      <c r="B113" s="233" t="s">
        <v>1865</v>
      </c>
      <c r="C113" s="232" t="s">
        <v>1843</v>
      </c>
      <c r="D113" s="62">
        <v>46266</v>
      </c>
      <c r="E113" s="62">
        <v>46297</v>
      </c>
      <c r="F113" s="168">
        <v>1</v>
      </c>
      <c r="G113" s="167">
        <v>22</v>
      </c>
      <c r="H113" s="167">
        <v>16</v>
      </c>
      <c r="I113" s="167">
        <v>11</v>
      </c>
      <c r="J113" s="168">
        <v>0.72727272727272729</v>
      </c>
      <c r="K113" s="168">
        <v>0.5</v>
      </c>
      <c r="L113" s="242">
        <f t="shared" si="3"/>
        <v>-0.22727272727272729</v>
      </c>
    </row>
    <row r="114" spans="1:12" ht="14.65" outlineLevel="2">
      <c r="A114" s="232" t="s">
        <v>1712</v>
      </c>
      <c r="B114" s="233" t="s">
        <v>1866</v>
      </c>
      <c r="C114" s="232" t="s">
        <v>1860</v>
      </c>
      <c r="D114" s="62">
        <v>46266</v>
      </c>
      <c r="E114" s="62">
        <v>46297</v>
      </c>
      <c r="F114" s="168">
        <v>1</v>
      </c>
      <c r="G114" s="167">
        <v>22</v>
      </c>
      <c r="H114" s="167">
        <v>16</v>
      </c>
      <c r="I114" s="167">
        <v>11</v>
      </c>
      <c r="J114" s="168">
        <v>0.72727272727272729</v>
      </c>
      <c r="K114" s="168">
        <v>0.5</v>
      </c>
      <c r="L114" s="242">
        <f t="shared" si="3"/>
        <v>-0.22727272727272729</v>
      </c>
    </row>
    <row r="115" spans="1:12" ht="14.65" outlineLevel="2">
      <c r="A115" s="232" t="s">
        <v>1712</v>
      </c>
      <c r="B115" s="233" t="s">
        <v>1867</v>
      </c>
      <c r="C115" s="232" t="s">
        <v>1844</v>
      </c>
      <c r="D115" s="62">
        <v>46266</v>
      </c>
      <c r="E115" s="62">
        <v>46297</v>
      </c>
      <c r="F115" s="168">
        <v>1</v>
      </c>
      <c r="G115" s="167">
        <v>22</v>
      </c>
      <c r="H115" s="167">
        <v>16</v>
      </c>
      <c r="I115" s="167">
        <v>11</v>
      </c>
      <c r="J115" s="168">
        <v>0.72727272727272729</v>
      </c>
      <c r="K115" s="168">
        <v>0.5</v>
      </c>
      <c r="L115" s="242">
        <f t="shared" si="3"/>
        <v>-0.22727272727272729</v>
      </c>
    </row>
    <row r="116" spans="1:12" ht="14.65" outlineLevel="2">
      <c r="A116" s="232" t="s">
        <v>1712</v>
      </c>
      <c r="B116" s="233" t="s">
        <v>1868</v>
      </c>
      <c r="C116" s="232" t="s">
        <v>1861</v>
      </c>
      <c r="D116" s="62">
        <v>46266</v>
      </c>
      <c r="E116" s="62">
        <v>46297</v>
      </c>
      <c r="F116" s="168">
        <v>1</v>
      </c>
      <c r="G116" s="167">
        <v>22</v>
      </c>
      <c r="H116" s="167">
        <v>16</v>
      </c>
      <c r="I116" s="167">
        <v>11</v>
      </c>
      <c r="J116" s="168">
        <v>0.72727272727272729</v>
      </c>
      <c r="K116" s="168">
        <v>0.5</v>
      </c>
      <c r="L116" s="242">
        <f t="shared" si="3"/>
        <v>-0.22727272727272729</v>
      </c>
    </row>
    <row r="117" spans="1:12" ht="14.65" outlineLevel="2">
      <c r="A117" s="232" t="s">
        <v>1712</v>
      </c>
      <c r="B117" s="233" t="s">
        <v>1869</v>
      </c>
      <c r="C117" s="232" t="s">
        <v>1862</v>
      </c>
      <c r="D117" s="62">
        <v>46266</v>
      </c>
      <c r="E117" s="62">
        <v>46297</v>
      </c>
      <c r="F117" s="168">
        <v>1</v>
      </c>
      <c r="G117" s="167">
        <v>22</v>
      </c>
      <c r="H117" s="167">
        <v>16</v>
      </c>
      <c r="I117" s="167">
        <v>11</v>
      </c>
      <c r="J117" s="168">
        <v>0.72727272727272729</v>
      </c>
      <c r="K117" s="168">
        <v>0.5</v>
      </c>
      <c r="L117" s="242">
        <f t="shared" si="3"/>
        <v>-0.22727272727272729</v>
      </c>
    </row>
    <row r="118" spans="1:12" ht="14.65" outlineLevel="2">
      <c r="A118" s="232" t="s">
        <v>1712</v>
      </c>
      <c r="B118" s="233" t="s">
        <v>1870</v>
      </c>
      <c r="C118" s="232" t="s">
        <v>1863</v>
      </c>
      <c r="D118" s="62">
        <v>46266</v>
      </c>
      <c r="E118" s="62">
        <v>46297</v>
      </c>
      <c r="F118" s="168">
        <v>1</v>
      </c>
      <c r="G118" s="167">
        <v>22</v>
      </c>
      <c r="H118" s="167">
        <v>16</v>
      </c>
      <c r="I118" s="167">
        <v>11</v>
      </c>
      <c r="J118" s="168">
        <v>0.72727272727272729</v>
      </c>
      <c r="K118" s="168">
        <v>0.5</v>
      </c>
      <c r="L118" s="242">
        <f t="shared" si="3"/>
        <v>-0.22727272727272729</v>
      </c>
    </row>
    <row r="119" spans="1:12" ht="14.65" outlineLevel="2">
      <c r="A119" s="232" t="s">
        <v>1712</v>
      </c>
      <c r="B119" s="233" t="s">
        <v>1871</v>
      </c>
      <c r="C119" s="232" t="s">
        <v>1864</v>
      </c>
      <c r="D119" s="62">
        <v>46266</v>
      </c>
      <c r="E119" s="62">
        <v>46297</v>
      </c>
      <c r="F119" s="168">
        <v>1</v>
      </c>
      <c r="G119" s="167">
        <v>22</v>
      </c>
      <c r="H119" s="167">
        <v>16</v>
      </c>
      <c r="I119" s="167">
        <v>11</v>
      </c>
      <c r="J119" s="168">
        <v>0.72727272727272729</v>
      </c>
      <c r="K119" s="168">
        <v>0.5</v>
      </c>
      <c r="L119" s="242">
        <f t="shared" si="3"/>
        <v>-0.22727272727272729</v>
      </c>
    </row>
    <row r="120" spans="1:12" ht="14.65" outlineLevel="2">
      <c r="A120" s="232" t="s">
        <v>1712</v>
      </c>
      <c r="B120" s="233" t="s">
        <v>1875</v>
      </c>
      <c r="C120" s="232" t="s">
        <v>1904</v>
      </c>
      <c r="D120" s="62">
        <v>46266</v>
      </c>
      <c r="E120" s="62">
        <v>46311</v>
      </c>
      <c r="F120" s="168">
        <v>1</v>
      </c>
      <c r="G120" s="167">
        <v>30</v>
      </c>
      <c r="H120" s="167">
        <v>16</v>
      </c>
      <c r="I120" s="167">
        <v>0</v>
      </c>
      <c r="J120" s="168">
        <v>0.53333333333333333</v>
      </c>
      <c r="K120" s="168">
        <v>0</v>
      </c>
      <c r="L120" s="242">
        <f t="shared" si="3"/>
        <v>-0.53333333333333333</v>
      </c>
    </row>
    <row r="121" spans="1:12" ht="14.65" outlineLevel="2">
      <c r="A121" s="232" t="s">
        <v>1712</v>
      </c>
      <c r="B121" s="233" t="s">
        <v>1876</v>
      </c>
      <c r="C121" s="232" t="s">
        <v>1912</v>
      </c>
      <c r="D121" s="62">
        <v>46266</v>
      </c>
      <c r="E121" s="62">
        <v>46311</v>
      </c>
      <c r="F121" s="168">
        <v>1</v>
      </c>
      <c r="G121" s="167">
        <v>30</v>
      </c>
      <c r="H121" s="167">
        <v>16</v>
      </c>
      <c r="I121" s="167">
        <v>0</v>
      </c>
      <c r="J121" s="168">
        <v>0.53333333333333333</v>
      </c>
      <c r="K121" s="168">
        <v>0</v>
      </c>
      <c r="L121" s="242">
        <f t="shared" si="3"/>
        <v>-0.53333333333333333</v>
      </c>
    </row>
    <row r="122" spans="1:12" ht="14.65" outlineLevel="2">
      <c r="A122" s="232" t="s">
        <v>1712</v>
      </c>
      <c r="B122" s="233" t="s">
        <v>1877</v>
      </c>
      <c r="C122" s="232" t="s">
        <v>1913</v>
      </c>
      <c r="D122" s="62">
        <v>46266</v>
      </c>
      <c r="E122" s="62">
        <v>46311</v>
      </c>
      <c r="F122" s="168">
        <v>1</v>
      </c>
      <c r="G122" s="167">
        <v>30</v>
      </c>
      <c r="H122" s="167">
        <v>16</v>
      </c>
      <c r="I122" s="167">
        <v>0</v>
      </c>
      <c r="J122" s="168">
        <v>0.53333333333333333</v>
      </c>
      <c r="K122" s="168">
        <v>0</v>
      </c>
      <c r="L122" s="242">
        <f t="shared" si="3"/>
        <v>-0.53333333333333333</v>
      </c>
    </row>
    <row r="123" spans="1:12" ht="14.65" outlineLevel="2">
      <c r="A123" s="232" t="s">
        <v>1712</v>
      </c>
      <c r="B123" s="233" t="s">
        <v>1878</v>
      </c>
      <c r="C123" s="232" t="s">
        <v>1914</v>
      </c>
      <c r="D123" s="62">
        <v>46266</v>
      </c>
      <c r="E123" s="62">
        <v>46311</v>
      </c>
      <c r="F123" s="168">
        <v>1</v>
      </c>
      <c r="G123" s="167">
        <v>30</v>
      </c>
      <c r="H123" s="167">
        <v>16</v>
      </c>
      <c r="I123" s="167">
        <v>0</v>
      </c>
      <c r="J123" s="168">
        <v>0.53333333333333333</v>
      </c>
      <c r="K123" s="168">
        <v>0</v>
      </c>
      <c r="L123" s="242">
        <f t="shared" si="3"/>
        <v>-0.53333333333333333</v>
      </c>
    </row>
    <row r="124" spans="1:12" ht="14.65" outlineLevel="2">
      <c r="A124" s="232" t="s">
        <v>1712</v>
      </c>
      <c r="B124" s="233" t="s">
        <v>1879</v>
      </c>
      <c r="C124" s="232" t="s">
        <v>1855</v>
      </c>
      <c r="D124" s="62">
        <v>46266</v>
      </c>
      <c r="E124" s="62">
        <v>46311</v>
      </c>
      <c r="F124" s="168">
        <v>1</v>
      </c>
      <c r="G124" s="167">
        <v>30</v>
      </c>
      <c r="H124" s="167">
        <v>16</v>
      </c>
      <c r="I124" s="167">
        <v>0</v>
      </c>
      <c r="J124" s="168">
        <v>0.53333333333333333</v>
      </c>
      <c r="K124" s="168">
        <v>0</v>
      </c>
      <c r="L124" s="242">
        <f t="shared" si="3"/>
        <v>-0.53333333333333333</v>
      </c>
    </row>
    <row r="125" spans="1:12" ht="14.65" outlineLevel="2">
      <c r="A125" s="232" t="s">
        <v>1712</v>
      </c>
      <c r="B125" s="233" t="s">
        <v>1880</v>
      </c>
      <c r="C125" s="232" t="s">
        <v>1915</v>
      </c>
      <c r="D125" s="62">
        <v>46266</v>
      </c>
      <c r="E125" s="62">
        <v>46311</v>
      </c>
      <c r="F125" s="168">
        <v>1</v>
      </c>
      <c r="G125" s="167">
        <v>30</v>
      </c>
      <c r="H125" s="167">
        <v>16</v>
      </c>
      <c r="I125" s="167">
        <v>0</v>
      </c>
      <c r="J125" s="168">
        <v>0.53333333333333333</v>
      </c>
      <c r="K125" s="168">
        <v>0</v>
      </c>
      <c r="L125" s="242">
        <f t="shared" si="3"/>
        <v>-0.53333333333333333</v>
      </c>
    </row>
    <row r="126" spans="1:12" ht="14.65" outlineLevel="2">
      <c r="A126" s="232" t="s">
        <v>1712</v>
      </c>
      <c r="B126" s="233" t="s">
        <v>1881</v>
      </c>
      <c r="C126" s="232" t="s">
        <v>1916</v>
      </c>
      <c r="D126" s="62">
        <v>46266</v>
      </c>
      <c r="E126" s="62">
        <v>46311</v>
      </c>
      <c r="F126" s="168">
        <v>1</v>
      </c>
      <c r="G126" s="167">
        <v>30</v>
      </c>
      <c r="H126" s="167">
        <v>16</v>
      </c>
      <c r="I126" s="167">
        <v>0</v>
      </c>
      <c r="J126" s="168">
        <v>0.53333333333333333</v>
      </c>
      <c r="K126" s="168">
        <v>0</v>
      </c>
      <c r="L126" s="242">
        <f t="shared" si="3"/>
        <v>-0.53333333333333333</v>
      </c>
    </row>
    <row r="127" spans="1:12" ht="14.65" outlineLevel="2">
      <c r="A127" s="232" t="s">
        <v>1712</v>
      </c>
      <c r="B127" s="233" t="s">
        <v>1882</v>
      </c>
      <c r="C127" s="232" t="s">
        <v>1919</v>
      </c>
      <c r="D127" s="62">
        <v>46266</v>
      </c>
      <c r="E127" s="62">
        <v>46311</v>
      </c>
      <c r="F127" s="168">
        <v>1</v>
      </c>
      <c r="G127" s="167">
        <v>30</v>
      </c>
      <c r="H127" s="167">
        <v>16</v>
      </c>
      <c r="I127" s="167">
        <v>0</v>
      </c>
      <c r="J127" s="168">
        <v>0.53333333333333333</v>
      </c>
      <c r="K127" s="168">
        <v>0</v>
      </c>
      <c r="L127" s="242">
        <f t="shared" si="3"/>
        <v>-0.53333333333333333</v>
      </c>
    </row>
    <row r="128" spans="1:12" ht="14.65" outlineLevel="2">
      <c r="A128" s="232" t="s">
        <v>1712</v>
      </c>
      <c r="B128" s="233" t="s">
        <v>1883</v>
      </c>
      <c r="C128" s="232" t="s">
        <v>1862</v>
      </c>
      <c r="D128" s="62">
        <v>46266</v>
      </c>
      <c r="E128" s="62">
        <v>46311</v>
      </c>
      <c r="F128" s="168">
        <v>1</v>
      </c>
      <c r="G128" s="167">
        <v>30</v>
      </c>
      <c r="H128" s="167">
        <v>16</v>
      </c>
      <c r="I128" s="167">
        <v>0</v>
      </c>
      <c r="J128" s="168">
        <v>0.53333333333333333</v>
      </c>
      <c r="K128" s="168">
        <v>0</v>
      </c>
      <c r="L128" s="242">
        <f t="shared" si="3"/>
        <v>-0.53333333333333333</v>
      </c>
    </row>
    <row r="129" spans="1:12" ht="14.65" outlineLevel="2">
      <c r="A129" s="232" t="s">
        <v>1712</v>
      </c>
      <c r="B129" s="233" t="s">
        <v>1884</v>
      </c>
      <c r="C129" s="232" t="s">
        <v>1917</v>
      </c>
      <c r="D129" s="62">
        <v>46266</v>
      </c>
      <c r="E129" s="62">
        <v>46311</v>
      </c>
      <c r="F129" s="168">
        <v>1</v>
      </c>
      <c r="G129" s="167">
        <v>30</v>
      </c>
      <c r="H129" s="167">
        <v>16</v>
      </c>
      <c r="I129" s="167">
        <v>0</v>
      </c>
      <c r="J129" s="168">
        <v>0.53333333333333333</v>
      </c>
      <c r="K129" s="168">
        <v>0</v>
      </c>
      <c r="L129" s="242">
        <f t="shared" si="3"/>
        <v>-0.53333333333333333</v>
      </c>
    </row>
    <row r="130" spans="1:12" ht="14.65" outlineLevel="2">
      <c r="A130" s="232" t="s">
        <v>1712</v>
      </c>
      <c r="B130" s="233" t="s">
        <v>1885</v>
      </c>
      <c r="C130" s="232" t="s">
        <v>1861</v>
      </c>
      <c r="D130" s="62">
        <v>46266</v>
      </c>
      <c r="E130" s="62">
        <v>46311</v>
      </c>
      <c r="F130" s="168">
        <v>1</v>
      </c>
      <c r="G130" s="167">
        <v>30</v>
      </c>
      <c r="H130" s="167">
        <v>16</v>
      </c>
      <c r="I130" s="167">
        <v>0</v>
      </c>
      <c r="J130" s="168">
        <v>0.53333333333333333</v>
      </c>
      <c r="K130" s="168">
        <v>0</v>
      </c>
      <c r="L130" s="242">
        <f t="shared" si="3"/>
        <v>-0.53333333333333333</v>
      </c>
    </row>
    <row r="131" spans="1:12" ht="14.65" outlineLevel="2">
      <c r="A131" s="232" t="s">
        <v>1712</v>
      </c>
      <c r="B131" s="233" t="s">
        <v>1886</v>
      </c>
      <c r="C131" s="232" t="s">
        <v>1918</v>
      </c>
      <c r="D131" s="62">
        <v>46266</v>
      </c>
      <c r="E131" s="62">
        <v>46311</v>
      </c>
      <c r="F131" s="168">
        <v>1</v>
      </c>
      <c r="G131" s="167">
        <v>30</v>
      </c>
      <c r="H131" s="167">
        <v>16</v>
      </c>
      <c r="I131" s="167">
        <v>0</v>
      </c>
      <c r="J131" s="168">
        <v>0.53333333333333333</v>
      </c>
      <c r="K131" s="168">
        <v>0</v>
      </c>
      <c r="L131" s="242">
        <f t="shared" si="3"/>
        <v>-0.53333333333333333</v>
      </c>
    </row>
    <row r="132" spans="1:12" ht="14.65" outlineLevel="2">
      <c r="A132" s="232" t="s">
        <v>1712</v>
      </c>
      <c r="B132" s="233" t="s">
        <v>1887</v>
      </c>
      <c r="C132" s="232" t="s">
        <v>1854</v>
      </c>
      <c r="D132" s="62">
        <v>46266</v>
      </c>
      <c r="E132" s="62">
        <v>46311</v>
      </c>
      <c r="F132" s="168">
        <v>1</v>
      </c>
      <c r="G132" s="167">
        <v>30</v>
      </c>
      <c r="H132" s="167">
        <v>16</v>
      </c>
      <c r="I132" s="167">
        <v>0</v>
      </c>
      <c r="J132" s="168">
        <v>0.53333333333333333</v>
      </c>
      <c r="K132" s="168">
        <v>0</v>
      </c>
      <c r="L132" s="242">
        <f t="shared" si="3"/>
        <v>-0.53333333333333333</v>
      </c>
    </row>
    <row r="133" spans="1:12" ht="14.65" outlineLevel="2">
      <c r="A133" s="232" t="s">
        <v>1712</v>
      </c>
      <c r="B133" s="233" t="s">
        <v>1907</v>
      </c>
      <c r="C133" s="232" t="s">
        <v>1863</v>
      </c>
      <c r="D133" s="62">
        <v>46266</v>
      </c>
      <c r="E133" s="62">
        <v>46311</v>
      </c>
      <c r="F133" s="168">
        <v>1</v>
      </c>
      <c r="G133" s="167">
        <v>30</v>
      </c>
      <c r="H133" s="167">
        <v>16</v>
      </c>
      <c r="I133" s="167">
        <v>0</v>
      </c>
      <c r="J133" s="168">
        <v>0.53333333333333333</v>
      </c>
      <c r="K133" s="168">
        <v>0</v>
      </c>
      <c r="L133" s="242">
        <f t="shared" si="3"/>
        <v>-0.53333333333333333</v>
      </c>
    </row>
    <row r="134" spans="1:12" ht="14.65" outlineLevel="2">
      <c r="A134" s="232" t="s">
        <v>1712</v>
      </c>
      <c r="B134" s="233" t="s">
        <v>1890</v>
      </c>
      <c r="C134" s="232" t="s">
        <v>1920</v>
      </c>
      <c r="D134" s="62">
        <v>46266</v>
      </c>
      <c r="E134" s="62">
        <v>46311</v>
      </c>
      <c r="F134" s="168">
        <v>1</v>
      </c>
      <c r="G134" s="167">
        <v>30</v>
      </c>
      <c r="H134" s="167">
        <v>16</v>
      </c>
      <c r="I134" s="167">
        <v>0</v>
      </c>
      <c r="J134" s="168">
        <v>0.53333333333333333</v>
      </c>
      <c r="K134" s="168">
        <v>0</v>
      </c>
      <c r="L134" s="242">
        <f t="shared" si="3"/>
        <v>-0.53333333333333333</v>
      </c>
    </row>
    <row r="135" spans="1:12" ht="14.65" outlineLevel="2">
      <c r="A135" s="232" t="s">
        <v>1712</v>
      </c>
      <c r="B135" s="233" t="s">
        <v>1891</v>
      </c>
      <c r="C135" s="232" t="s">
        <v>1921</v>
      </c>
      <c r="D135" s="62">
        <v>46266</v>
      </c>
      <c r="E135" s="62">
        <v>46311</v>
      </c>
      <c r="F135" s="168">
        <v>1</v>
      </c>
      <c r="G135" s="167">
        <v>30</v>
      </c>
      <c r="H135" s="167">
        <v>16</v>
      </c>
      <c r="I135" s="167">
        <v>0</v>
      </c>
      <c r="J135" s="168">
        <v>0.53333333333333333</v>
      </c>
      <c r="K135" s="168">
        <v>0</v>
      </c>
      <c r="L135" s="242">
        <f t="shared" ref="L135:L166" si="4">K135-J135</f>
        <v>-0.53333333333333333</v>
      </c>
    </row>
    <row r="136" spans="1:12" ht="14.65" outlineLevel="2">
      <c r="A136" s="232" t="s">
        <v>1712</v>
      </c>
      <c r="B136" s="233" t="s">
        <v>1892</v>
      </c>
      <c r="C136" s="232" t="s">
        <v>1922</v>
      </c>
      <c r="D136" s="62">
        <v>46266</v>
      </c>
      <c r="E136" s="62">
        <v>46311</v>
      </c>
      <c r="F136" s="168">
        <v>1</v>
      </c>
      <c r="G136" s="167">
        <v>30</v>
      </c>
      <c r="H136" s="167">
        <v>16</v>
      </c>
      <c r="I136" s="167">
        <v>0</v>
      </c>
      <c r="J136" s="168">
        <v>0.53333333333333333</v>
      </c>
      <c r="K136" s="168">
        <v>0</v>
      </c>
      <c r="L136" s="242">
        <f t="shared" si="4"/>
        <v>-0.53333333333333333</v>
      </c>
    </row>
    <row r="137" spans="1:12" ht="14.65" outlineLevel="2">
      <c r="A137" s="232" t="s">
        <v>1712</v>
      </c>
      <c r="B137" s="233" t="s">
        <v>1893</v>
      </c>
      <c r="C137" s="232" t="s">
        <v>1923</v>
      </c>
      <c r="D137" s="62">
        <v>46266</v>
      </c>
      <c r="E137" s="62">
        <v>46311</v>
      </c>
      <c r="F137" s="168">
        <v>1</v>
      </c>
      <c r="G137" s="167">
        <v>30</v>
      </c>
      <c r="H137" s="167">
        <v>16</v>
      </c>
      <c r="I137" s="167">
        <v>0</v>
      </c>
      <c r="J137" s="168">
        <v>0.53333333333333333</v>
      </c>
      <c r="K137" s="168">
        <v>0</v>
      </c>
      <c r="L137" s="242">
        <f t="shared" si="4"/>
        <v>-0.53333333333333333</v>
      </c>
    </row>
    <row r="138" spans="1:12" ht="14.65" outlineLevel="2">
      <c r="A138" s="232" t="s">
        <v>1712</v>
      </c>
      <c r="B138" s="233" t="s">
        <v>1894</v>
      </c>
      <c r="C138" s="232" t="s">
        <v>1924</v>
      </c>
      <c r="D138" s="62">
        <v>46266</v>
      </c>
      <c r="E138" s="62">
        <v>46311</v>
      </c>
      <c r="F138" s="168">
        <v>1</v>
      </c>
      <c r="G138" s="167">
        <v>30</v>
      </c>
      <c r="H138" s="167">
        <v>16</v>
      </c>
      <c r="I138" s="167">
        <v>0</v>
      </c>
      <c r="J138" s="168">
        <v>0.53333333333333333</v>
      </c>
      <c r="K138" s="168">
        <v>0</v>
      </c>
      <c r="L138" s="242">
        <f t="shared" si="4"/>
        <v>-0.53333333333333333</v>
      </c>
    </row>
    <row r="139" spans="1:12" ht="14.65" outlineLevel="2">
      <c r="A139" s="232" t="s">
        <v>1712</v>
      </c>
      <c r="B139" s="233" t="s">
        <v>1895</v>
      </c>
      <c r="C139" s="232" t="s">
        <v>1925</v>
      </c>
      <c r="D139" s="62">
        <v>46266</v>
      </c>
      <c r="E139" s="62">
        <v>46311</v>
      </c>
      <c r="F139" s="168">
        <v>1</v>
      </c>
      <c r="G139" s="167">
        <v>30</v>
      </c>
      <c r="H139" s="167">
        <v>16</v>
      </c>
      <c r="I139" s="167">
        <v>0</v>
      </c>
      <c r="J139" s="168">
        <v>0.53333333333333333</v>
      </c>
      <c r="K139" s="168">
        <v>0</v>
      </c>
      <c r="L139" s="242">
        <f t="shared" si="4"/>
        <v>-0.53333333333333333</v>
      </c>
    </row>
    <row r="140" spans="1:12" ht="14.65" outlineLevel="2">
      <c r="A140" s="232" t="s">
        <v>1712</v>
      </c>
      <c r="B140" s="233" t="s">
        <v>1896</v>
      </c>
      <c r="C140" s="232" t="s">
        <v>1926</v>
      </c>
      <c r="D140" s="62">
        <v>46266</v>
      </c>
      <c r="E140" s="62">
        <v>46311</v>
      </c>
      <c r="F140" s="168">
        <v>1</v>
      </c>
      <c r="G140" s="167">
        <v>30</v>
      </c>
      <c r="H140" s="167">
        <v>16</v>
      </c>
      <c r="I140" s="167">
        <v>0</v>
      </c>
      <c r="J140" s="168">
        <v>0.53333333333333333</v>
      </c>
      <c r="K140" s="168">
        <v>0</v>
      </c>
      <c r="L140" s="242">
        <f t="shared" si="4"/>
        <v>-0.53333333333333333</v>
      </c>
    </row>
    <row r="141" spans="1:12" ht="14.65" outlineLevel="2">
      <c r="A141" s="232" t="s">
        <v>1712</v>
      </c>
      <c r="B141" s="233" t="s">
        <v>1897</v>
      </c>
      <c r="C141" s="232" t="s">
        <v>1927</v>
      </c>
      <c r="D141" s="62">
        <v>46266</v>
      </c>
      <c r="E141" s="62">
        <v>46311</v>
      </c>
      <c r="F141" s="168">
        <v>1</v>
      </c>
      <c r="G141" s="167">
        <v>30</v>
      </c>
      <c r="H141" s="167">
        <v>16</v>
      </c>
      <c r="I141" s="167">
        <v>0</v>
      </c>
      <c r="J141" s="168">
        <v>0.53333333333333333</v>
      </c>
      <c r="K141" s="168">
        <v>0</v>
      </c>
      <c r="L141" s="242">
        <f t="shared" si="4"/>
        <v>-0.53333333333333333</v>
      </c>
    </row>
    <row r="142" spans="1:12" ht="14.65" outlineLevel="2">
      <c r="A142" s="232" t="s">
        <v>1712</v>
      </c>
      <c r="B142" s="233" t="s">
        <v>1898</v>
      </c>
      <c r="C142" s="232" t="s">
        <v>1928</v>
      </c>
      <c r="D142" s="62">
        <v>46266</v>
      </c>
      <c r="E142" s="62">
        <v>46311</v>
      </c>
      <c r="F142" s="168">
        <v>1</v>
      </c>
      <c r="G142" s="167">
        <v>30</v>
      </c>
      <c r="H142" s="167">
        <v>16</v>
      </c>
      <c r="I142" s="167">
        <v>0</v>
      </c>
      <c r="J142" s="168">
        <v>0.53333333333333333</v>
      </c>
      <c r="K142" s="168">
        <v>0</v>
      </c>
      <c r="L142" s="242">
        <f t="shared" si="4"/>
        <v>-0.53333333333333333</v>
      </c>
    </row>
    <row r="143" spans="1:12" ht="14.65" outlineLevel="2">
      <c r="A143" s="232" t="s">
        <v>1712</v>
      </c>
      <c r="B143" s="233" t="s">
        <v>1899</v>
      </c>
      <c r="C143" s="232" t="s">
        <v>1843</v>
      </c>
      <c r="D143" s="62">
        <v>46266</v>
      </c>
      <c r="E143" s="62">
        <v>46311</v>
      </c>
      <c r="F143" s="168">
        <v>1</v>
      </c>
      <c r="G143" s="167">
        <v>30</v>
      </c>
      <c r="H143" s="167">
        <v>16</v>
      </c>
      <c r="I143" s="167">
        <v>0</v>
      </c>
      <c r="J143" s="168">
        <v>0.53333333333333333</v>
      </c>
      <c r="K143" s="168">
        <v>0</v>
      </c>
      <c r="L143" s="242">
        <f t="shared" si="4"/>
        <v>-0.53333333333333333</v>
      </c>
    </row>
    <row r="144" spans="1:12" ht="14.65" outlineLevel="2">
      <c r="A144" s="232" t="s">
        <v>1712</v>
      </c>
      <c r="B144" s="233" t="s">
        <v>1900</v>
      </c>
      <c r="C144" s="232" t="s">
        <v>1860</v>
      </c>
      <c r="D144" s="62">
        <v>46266</v>
      </c>
      <c r="E144" s="62">
        <v>46311</v>
      </c>
      <c r="F144" s="168">
        <v>1</v>
      </c>
      <c r="G144" s="167">
        <v>30</v>
      </c>
      <c r="H144" s="167">
        <v>16</v>
      </c>
      <c r="I144" s="167">
        <v>0</v>
      </c>
      <c r="J144" s="168">
        <v>0.53333333333333333</v>
      </c>
      <c r="K144" s="168">
        <v>0</v>
      </c>
      <c r="L144" s="242">
        <f t="shared" si="4"/>
        <v>-0.53333333333333333</v>
      </c>
    </row>
    <row r="145" spans="1:12" ht="14.65" outlineLevel="2">
      <c r="A145" s="232" t="s">
        <v>1712</v>
      </c>
      <c r="B145" s="233" t="s">
        <v>1901</v>
      </c>
      <c r="C145" s="232" t="s">
        <v>1862</v>
      </c>
      <c r="D145" s="62">
        <v>46266</v>
      </c>
      <c r="E145" s="62">
        <v>46311</v>
      </c>
      <c r="F145" s="168">
        <v>1</v>
      </c>
      <c r="G145" s="167">
        <v>30</v>
      </c>
      <c r="H145" s="167">
        <v>16</v>
      </c>
      <c r="I145" s="167">
        <v>0</v>
      </c>
      <c r="J145" s="168">
        <v>0.53333333333333333</v>
      </c>
      <c r="K145" s="168">
        <v>0</v>
      </c>
      <c r="L145" s="242">
        <f t="shared" si="4"/>
        <v>-0.53333333333333333</v>
      </c>
    </row>
    <row r="146" spans="1:12" ht="14.65" outlineLevel="2">
      <c r="A146" s="232" t="s">
        <v>1712</v>
      </c>
      <c r="B146" s="233" t="s">
        <v>1902</v>
      </c>
      <c r="C146" s="232" t="s">
        <v>1929</v>
      </c>
      <c r="D146" s="62">
        <v>46266</v>
      </c>
      <c r="E146" s="62">
        <v>46311</v>
      </c>
      <c r="F146" s="168">
        <v>1</v>
      </c>
      <c r="G146" s="167">
        <v>30</v>
      </c>
      <c r="H146" s="167">
        <v>16</v>
      </c>
      <c r="I146" s="167">
        <v>0</v>
      </c>
      <c r="J146" s="168">
        <v>0.53333333333333333</v>
      </c>
      <c r="K146" s="168">
        <v>0</v>
      </c>
      <c r="L146" s="242">
        <f t="shared" si="4"/>
        <v>-0.53333333333333333</v>
      </c>
    </row>
    <row r="147" spans="1:12" ht="14.65" outlineLevel="2">
      <c r="A147" s="232" t="s">
        <v>1712</v>
      </c>
      <c r="B147" s="233" t="s">
        <v>1908</v>
      </c>
      <c r="C147" s="232" t="s">
        <v>1930</v>
      </c>
      <c r="D147" s="62">
        <v>46266</v>
      </c>
      <c r="E147" s="62">
        <v>46311</v>
      </c>
      <c r="F147" s="168">
        <v>1</v>
      </c>
      <c r="G147" s="167">
        <v>30</v>
      </c>
      <c r="H147" s="167">
        <v>16</v>
      </c>
      <c r="I147" s="167">
        <v>0</v>
      </c>
      <c r="J147" s="168">
        <v>0.53333333333333333</v>
      </c>
      <c r="K147" s="168">
        <v>0</v>
      </c>
      <c r="L147" s="242">
        <f t="shared" si="4"/>
        <v>-0.53333333333333333</v>
      </c>
    </row>
    <row r="148" spans="1:12" ht="14.65" outlineLevel="2">
      <c r="A148" s="232" t="s">
        <v>1712</v>
      </c>
      <c r="B148" s="233" t="s">
        <v>1932</v>
      </c>
      <c r="C148" s="232" t="s">
        <v>1931</v>
      </c>
      <c r="D148" s="62">
        <v>46266</v>
      </c>
      <c r="E148" s="62">
        <v>46311</v>
      </c>
      <c r="F148" s="168">
        <v>1</v>
      </c>
      <c r="G148" s="167">
        <v>30</v>
      </c>
      <c r="H148" s="167">
        <v>16</v>
      </c>
      <c r="I148" s="167">
        <v>0</v>
      </c>
      <c r="J148" s="168">
        <v>0.53333333333333333</v>
      </c>
      <c r="K148" s="168">
        <v>0</v>
      </c>
      <c r="L148" s="242">
        <f t="shared" si="4"/>
        <v>-0.53333333333333333</v>
      </c>
    </row>
    <row r="149" spans="1:12" ht="14.65" outlineLevel="2">
      <c r="A149" s="232" t="s">
        <v>1712</v>
      </c>
      <c r="B149" s="233" t="s">
        <v>1970</v>
      </c>
      <c r="C149" s="232" t="s">
        <v>1675</v>
      </c>
      <c r="D149" s="62">
        <v>46296</v>
      </c>
      <c r="E149" s="62">
        <v>46326</v>
      </c>
      <c r="F149" s="168">
        <v>1</v>
      </c>
      <c r="G149" s="167">
        <v>20</v>
      </c>
      <c r="H149" s="167">
        <v>0</v>
      </c>
      <c r="I149" s="167">
        <v>0</v>
      </c>
      <c r="J149" s="168">
        <v>0</v>
      </c>
      <c r="K149" s="168">
        <v>0</v>
      </c>
      <c r="L149" s="168">
        <f t="shared" si="4"/>
        <v>0</v>
      </c>
    </row>
    <row r="150" spans="1:12" ht="14.65" outlineLevel="1">
      <c r="A150" s="240" t="s">
        <v>2010</v>
      </c>
      <c r="B150" s="235"/>
      <c r="C150" s="236"/>
      <c r="D150" s="237"/>
      <c r="E150" s="237"/>
      <c r="F150" s="238"/>
      <c r="G150" s="239">
        <f>SUBTOTAL(9,G100:G149)</f>
        <v>1289</v>
      </c>
      <c r="H150" s="239">
        <f>SUBTOTAL(9,H100:H149)</f>
        <v>773</v>
      </c>
      <c r="I150" s="239">
        <f>SUBTOTAL(9,I100:I149)</f>
        <v>180.5</v>
      </c>
      <c r="J150" s="238">
        <f>H150/G150</f>
        <v>0.5996896819239721</v>
      </c>
      <c r="K150" s="238">
        <f>I150/G150</f>
        <v>0.14003103180760279</v>
      </c>
      <c r="L150" s="243">
        <f t="shared" si="4"/>
        <v>-0.45965865011636931</v>
      </c>
    </row>
    <row r="151" spans="1:12" ht="14.65" outlineLevel="2">
      <c r="A151" s="232" t="s">
        <v>1717</v>
      </c>
      <c r="B151" s="233" t="s">
        <v>1909</v>
      </c>
      <c r="C151" s="232" t="s">
        <v>1667</v>
      </c>
      <c r="D151" s="62">
        <v>46216</v>
      </c>
      <c r="E151" s="62">
        <v>46265</v>
      </c>
      <c r="F151" s="168">
        <v>1</v>
      </c>
      <c r="G151" s="167">
        <v>34</v>
      </c>
      <c r="H151" s="167">
        <v>34</v>
      </c>
      <c r="I151" s="167">
        <v>10.199999999999999</v>
      </c>
      <c r="J151" s="168">
        <v>1</v>
      </c>
      <c r="K151" s="168">
        <v>0.3</v>
      </c>
      <c r="L151" s="242">
        <f t="shared" si="4"/>
        <v>-0.7</v>
      </c>
    </row>
    <row r="152" spans="1:12" ht="14.65" outlineLevel="2">
      <c r="A152" s="232" t="s">
        <v>1717</v>
      </c>
      <c r="B152" s="233" t="s">
        <v>1910</v>
      </c>
      <c r="C152" s="232" t="s">
        <v>1933</v>
      </c>
      <c r="D152" s="62">
        <v>46266</v>
      </c>
      <c r="E152" s="62">
        <v>46304</v>
      </c>
      <c r="F152" s="168">
        <v>1</v>
      </c>
      <c r="G152" s="167">
        <v>25</v>
      </c>
      <c r="H152" s="167">
        <v>16</v>
      </c>
      <c r="I152" s="167">
        <v>15</v>
      </c>
      <c r="J152" s="168">
        <v>0.64</v>
      </c>
      <c r="K152" s="168">
        <v>0.6</v>
      </c>
      <c r="L152" s="242">
        <f t="shared" si="4"/>
        <v>-4.0000000000000036E-2</v>
      </c>
    </row>
    <row r="153" spans="1:12" ht="14.65" outlineLevel="2">
      <c r="A153" s="232" t="s">
        <v>1717</v>
      </c>
      <c r="B153" s="233" t="s">
        <v>1911</v>
      </c>
      <c r="C153" s="232" t="s">
        <v>1972</v>
      </c>
      <c r="D153" s="62">
        <v>46304</v>
      </c>
      <c r="E153" s="62">
        <v>46310</v>
      </c>
      <c r="F153" s="168">
        <v>1</v>
      </c>
      <c r="G153" s="167">
        <v>4</v>
      </c>
      <c r="H153" s="167">
        <v>0</v>
      </c>
      <c r="I153" s="167">
        <v>0</v>
      </c>
      <c r="J153" s="168">
        <v>0</v>
      </c>
      <c r="K153" s="168">
        <v>0</v>
      </c>
      <c r="L153" s="168">
        <f t="shared" si="4"/>
        <v>0</v>
      </c>
    </row>
    <row r="154" spans="1:12" ht="14.65" outlineLevel="2">
      <c r="A154" s="232" t="s">
        <v>1717</v>
      </c>
      <c r="B154" s="233" t="s">
        <v>1475</v>
      </c>
      <c r="C154" s="232" t="s">
        <v>1845</v>
      </c>
      <c r="D154" s="62">
        <v>46311</v>
      </c>
      <c r="E154" s="62">
        <v>46326</v>
      </c>
      <c r="F154" s="168">
        <v>1</v>
      </c>
      <c r="G154" s="167">
        <v>11</v>
      </c>
      <c r="H154" s="167">
        <v>0</v>
      </c>
      <c r="I154" s="167">
        <v>0</v>
      </c>
      <c r="J154" s="168">
        <v>0</v>
      </c>
      <c r="K154" s="168">
        <v>0</v>
      </c>
      <c r="L154" s="168">
        <f t="shared" si="4"/>
        <v>0</v>
      </c>
    </row>
    <row r="155" spans="1:12" ht="14.65" outlineLevel="2">
      <c r="A155" s="232" t="s">
        <v>1717</v>
      </c>
      <c r="B155" s="233" t="s">
        <v>1974</v>
      </c>
      <c r="C155" s="232" t="s">
        <v>1904</v>
      </c>
      <c r="D155" s="62">
        <v>46311</v>
      </c>
      <c r="E155" s="62">
        <v>46356</v>
      </c>
      <c r="F155" s="168">
        <v>1</v>
      </c>
      <c r="G155" s="167">
        <v>32</v>
      </c>
      <c r="H155" s="167">
        <v>0</v>
      </c>
      <c r="I155" s="167">
        <v>0</v>
      </c>
      <c r="J155" s="168">
        <v>0</v>
      </c>
      <c r="K155" s="168">
        <v>0</v>
      </c>
      <c r="L155" s="168">
        <f t="shared" si="4"/>
        <v>0</v>
      </c>
    </row>
    <row r="156" spans="1:12" ht="14.65" outlineLevel="2">
      <c r="A156" s="232" t="s">
        <v>1717</v>
      </c>
      <c r="B156" s="233" t="s">
        <v>1975</v>
      </c>
      <c r="C156" s="232" t="s">
        <v>1912</v>
      </c>
      <c r="D156" s="62">
        <v>46311</v>
      </c>
      <c r="E156" s="62">
        <v>46356</v>
      </c>
      <c r="F156" s="168">
        <v>1</v>
      </c>
      <c r="G156" s="167">
        <v>32</v>
      </c>
      <c r="H156" s="167">
        <v>0</v>
      </c>
      <c r="I156" s="167">
        <v>0</v>
      </c>
      <c r="J156" s="168">
        <v>0</v>
      </c>
      <c r="K156" s="168">
        <v>0</v>
      </c>
      <c r="L156" s="168">
        <f t="shared" si="4"/>
        <v>0</v>
      </c>
    </row>
    <row r="157" spans="1:12" ht="14.65" outlineLevel="2">
      <c r="A157" s="232" t="s">
        <v>1717</v>
      </c>
      <c r="B157" s="233" t="s">
        <v>1976</v>
      </c>
      <c r="C157" s="232" t="s">
        <v>1913</v>
      </c>
      <c r="D157" s="62">
        <v>46311</v>
      </c>
      <c r="E157" s="62">
        <v>46356</v>
      </c>
      <c r="F157" s="168">
        <v>1</v>
      </c>
      <c r="G157" s="167">
        <v>32</v>
      </c>
      <c r="H157" s="167">
        <v>0</v>
      </c>
      <c r="I157" s="167">
        <v>0</v>
      </c>
      <c r="J157" s="168">
        <v>0</v>
      </c>
      <c r="K157" s="168">
        <v>0</v>
      </c>
      <c r="L157" s="168">
        <f t="shared" si="4"/>
        <v>0</v>
      </c>
    </row>
    <row r="158" spans="1:12" ht="14.65" outlineLevel="2">
      <c r="A158" s="232" t="s">
        <v>1717</v>
      </c>
      <c r="B158" s="233" t="s">
        <v>1977</v>
      </c>
      <c r="C158" s="232" t="s">
        <v>1914</v>
      </c>
      <c r="D158" s="62">
        <v>46311</v>
      </c>
      <c r="E158" s="62">
        <v>46356</v>
      </c>
      <c r="F158" s="168">
        <v>1</v>
      </c>
      <c r="G158" s="167">
        <v>32</v>
      </c>
      <c r="H158" s="167">
        <v>0</v>
      </c>
      <c r="I158" s="167">
        <v>0</v>
      </c>
      <c r="J158" s="168">
        <v>0</v>
      </c>
      <c r="K158" s="168">
        <v>0</v>
      </c>
      <c r="L158" s="168">
        <f t="shared" si="4"/>
        <v>0</v>
      </c>
    </row>
    <row r="159" spans="1:12" ht="14.65" outlineLevel="2">
      <c r="A159" s="232" t="s">
        <v>1717</v>
      </c>
      <c r="B159" s="233" t="s">
        <v>1978</v>
      </c>
      <c r="C159" s="232" t="s">
        <v>1855</v>
      </c>
      <c r="D159" s="62">
        <v>46311</v>
      </c>
      <c r="E159" s="62">
        <v>46356</v>
      </c>
      <c r="F159" s="168">
        <v>1</v>
      </c>
      <c r="G159" s="167">
        <v>32</v>
      </c>
      <c r="H159" s="167">
        <v>0</v>
      </c>
      <c r="I159" s="167">
        <v>0</v>
      </c>
      <c r="J159" s="168">
        <v>0</v>
      </c>
      <c r="K159" s="168">
        <v>0</v>
      </c>
      <c r="L159" s="168">
        <f t="shared" si="4"/>
        <v>0</v>
      </c>
    </row>
    <row r="160" spans="1:12" ht="14.65" outlineLevel="2">
      <c r="A160" s="232" t="s">
        <v>1717</v>
      </c>
      <c r="B160" s="233" t="s">
        <v>1979</v>
      </c>
      <c r="C160" s="232" t="s">
        <v>1915</v>
      </c>
      <c r="D160" s="62">
        <v>46311</v>
      </c>
      <c r="E160" s="62">
        <v>46356</v>
      </c>
      <c r="F160" s="168">
        <v>1</v>
      </c>
      <c r="G160" s="167">
        <v>32</v>
      </c>
      <c r="H160" s="167">
        <v>0</v>
      </c>
      <c r="I160" s="167">
        <v>0</v>
      </c>
      <c r="J160" s="168">
        <v>0</v>
      </c>
      <c r="K160" s="168">
        <v>0</v>
      </c>
      <c r="L160" s="168">
        <f t="shared" si="4"/>
        <v>0</v>
      </c>
    </row>
    <row r="161" spans="1:12" ht="14.65" outlineLevel="2">
      <c r="A161" s="232" t="s">
        <v>1717</v>
      </c>
      <c r="B161" s="233" t="s">
        <v>1980</v>
      </c>
      <c r="C161" s="232" t="s">
        <v>1916</v>
      </c>
      <c r="D161" s="62">
        <v>46311</v>
      </c>
      <c r="E161" s="62">
        <v>46356</v>
      </c>
      <c r="F161" s="168">
        <v>1</v>
      </c>
      <c r="G161" s="167">
        <v>32</v>
      </c>
      <c r="H161" s="167">
        <v>0</v>
      </c>
      <c r="I161" s="167">
        <v>0</v>
      </c>
      <c r="J161" s="168">
        <v>0</v>
      </c>
      <c r="K161" s="168">
        <v>0</v>
      </c>
      <c r="L161" s="168">
        <f t="shared" si="4"/>
        <v>0</v>
      </c>
    </row>
    <row r="162" spans="1:12" ht="14.65" outlineLevel="2">
      <c r="A162" s="232" t="s">
        <v>1717</v>
      </c>
      <c r="B162" s="233" t="s">
        <v>1981</v>
      </c>
      <c r="C162" s="232" t="s">
        <v>1919</v>
      </c>
      <c r="D162" s="62">
        <v>46311</v>
      </c>
      <c r="E162" s="62">
        <v>46356</v>
      </c>
      <c r="F162" s="168">
        <v>1</v>
      </c>
      <c r="G162" s="167">
        <v>32</v>
      </c>
      <c r="H162" s="167">
        <v>0</v>
      </c>
      <c r="I162" s="167">
        <v>0</v>
      </c>
      <c r="J162" s="168">
        <v>0</v>
      </c>
      <c r="K162" s="168">
        <v>0</v>
      </c>
      <c r="L162" s="168">
        <f t="shared" si="4"/>
        <v>0</v>
      </c>
    </row>
    <row r="163" spans="1:12" ht="14.65" outlineLevel="2">
      <c r="A163" s="232" t="s">
        <v>1717</v>
      </c>
      <c r="B163" s="233" t="s">
        <v>1982</v>
      </c>
      <c r="C163" s="232" t="s">
        <v>1862</v>
      </c>
      <c r="D163" s="62">
        <v>46311</v>
      </c>
      <c r="E163" s="62">
        <v>46356</v>
      </c>
      <c r="F163" s="168">
        <v>1</v>
      </c>
      <c r="G163" s="167">
        <v>32</v>
      </c>
      <c r="H163" s="167">
        <v>0</v>
      </c>
      <c r="I163" s="167">
        <v>0</v>
      </c>
      <c r="J163" s="168">
        <v>0</v>
      </c>
      <c r="K163" s="168">
        <v>0</v>
      </c>
      <c r="L163" s="168">
        <f t="shared" si="4"/>
        <v>0</v>
      </c>
    </row>
    <row r="164" spans="1:12" ht="14.65" outlineLevel="2">
      <c r="A164" s="232" t="s">
        <v>1717</v>
      </c>
      <c r="B164" s="233" t="s">
        <v>1983</v>
      </c>
      <c r="C164" s="232" t="s">
        <v>1917</v>
      </c>
      <c r="D164" s="62">
        <v>46311</v>
      </c>
      <c r="E164" s="62">
        <v>46356</v>
      </c>
      <c r="F164" s="168">
        <v>1</v>
      </c>
      <c r="G164" s="167">
        <v>32</v>
      </c>
      <c r="H164" s="167">
        <v>0</v>
      </c>
      <c r="I164" s="167">
        <v>0</v>
      </c>
      <c r="J164" s="168">
        <v>0</v>
      </c>
      <c r="K164" s="168">
        <v>0</v>
      </c>
      <c r="L164" s="168">
        <f t="shared" si="4"/>
        <v>0</v>
      </c>
    </row>
    <row r="165" spans="1:12" ht="14.65" outlineLevel="2">
      <c r="A165" s="232" t="s">
        <v>1717</v>
      </c>
      <c r="B165" s="233" t="s">
        <v>1984</v>
      </c>
      <c r="C165" s="232" t="s">
        <v>1861</v>
      </c>
      <c r="D165" s="62">
        <v>46311</v>
      </c>
      <c r="E165" s="62">
        <v>46356</v>
      </c>
      <c r="F165" s="168">
        <v>1</v>
      </c>
      <c r="G165" s="167">
        <v>32</v>
      </c>
      <c r="H165" s="167">
        <v>0</v>
      </c>
      <c r="I165" s="167">
        <v>0</v>
      </c>
      <c r="J165" s="168">
        <v>0</v>
      </c>
      <c r="K165" s="168">
        <v>0</v>
      </c>
      <c r="L165" s="168">
        <f t="shared" si="4"/>
        <v>0</v>
      </c>
    </row>
    <row r="166" spans="1:12" ht="14.65" outlineLevel="2">
      <c r="A166" s="232" t="s">
        <v>1717</v>
      </c>
      <c r="B166" s="233" t="s">
        <v>1985</v>
      </c>
      <c r="C166" s="232" t="s">
        <v>1918</v>
      </c>
      <c r="D166" s="62">
        <v>46311</v>
      </c>
      <c r="E166" s="62">
        <v>46356</v>
      </c>
      <c r="F166" s="168">
        <v>1</v>
      </c>
      <c r="G166" s="167">
        <v>32</v>
      </c>
      <c r="H166" s="167">
        <v>0</v>
      </c>
      <c r="I166" s="167">
        <v>0</v>
      </c>
      <c r="J166" s="168">
        <v>0</v>
      </c>
      <c r="K166" s="168">
        <v>0</v>
      </c>
      <c r="L166" s="168">
        <f t="shared" si="4"/>
        <v>0</v>
      </c>
    </row>
    <row r="167" spans="1:12" ht="14.65" outlineLevel="2">
      <c r="A167" s="232" t="s">
        <v>1717</v>
      </c>
      <c r="B167" s="233" t="s">
        <v>1986</v>
      </c>
      <c r="C167" s="232" t="s">
        <v>1854</v>
      </c>
      <c r="D167" s="62">
        <v>46311</v>
      </c>
      <c r="E167" s="62">
        <v>46356</v>
      </c>
      <c r="F167" s="168">
        <v>1</v>
      </c>
      <c r="G167" s="167">
        <v>32</v>
      </c>
      <c r="H167" s="167">
        <v>0</v>
      </c>
      <c r="I167" s="167">
        <v>0</v>
      </c>
      <c r="J167" s="168">
        <v>0</v>
      </c>
      <c r="K167" s="168">
        <v>0</v>
      </c>
      <c r="L167" s="168">
        <f t="shared" ref="L167:L175" si="5">K167-J167</f>
        <v>0</v>
      </c>
    </row>
    <row r="168" spans="1:12" ht="14.65" outlineLevel="2">
      <c r="A168" s="232" t="s">
        <v>1717</v>
      </c>
      <c r="B168" s="233" t="s">
        <v>1987</v>
      </c>
      <c r="C168" s="232" t="s">
        <v>1863</v>
      </c>
      <c r="D168" s="62">
        <v>46311</v>
      </c>
      <c r="E168" s="62">
        <v>46356</v>
      </c>
      <c r="F168" s="168">
        <v>1</v>
      </c>
      <c r="G168" s="167">
        <v>32</v>
      </c>
      <c r="H168" s="167">
        <v>0</v>
      </c>
      <c r="I168" s="167">
        <v>0</v>
      </c>
      <c r="J168" s="168">
        <v>0</v>
      </c>
      <c r="K168" s="168">
        <v>0</v>
      </c>
      <c r="L168" s="168">
        <f t="shared" si="5"/>
        <v>0</v>
      </c>
    </row>
    <row r="169" spans="1:12" ht="14.65" outlineLevel="1">
      <c r="A169" s="240" t="s">
        <v>2011</v>
      </c>
      <c r="B169" s="235"/>
      <c r="C169" s="236"/>
      <c r="D169" s="237"/>
      <c r="E169" s="237"/>
      <c r="F169" s="238"/>
      <c r="G169" s="239">
        <f>SUBTOTAL(9,G151:G168)</f>
        <v>522</v>
      </c>
      <c r="H169" s="239">
        <f>SUBTOTAL(9,H151:H168)</f>
        <v>50</v>
      </c>
      <c r="I169" s="239">
        <f>SUBTOTAL(9,I151:I168)</f>
        <v>25.2</v>
      </c>
      <c r="J169" s="238">
        <f>H169/G169</f>
        <v>9.5785440613026823E-2</v>
      </c>
      <c r="K169" s="238">
        <f>I169/G169</f>
        <v>4.8275862068965517E-2</v>
      </c>
      <c r="L169" s="243">
        <f t="shared" si="5"/>
        <v>-4.7509578544061307E-2</v>
      </c>
    </row>
    <row r="170" spans="1:12" ht="14.65" outlineLevel="2">
      <c r="A170" s="232" t="s">
        <v>1702</v>
      </c>
      <c r="B170" s="233" t="s">
        <v>1783</v>
      </c>
      <c r="C170" s="232" t="s">
        <v>1620</v>
      </c>
      <c r="D170" s="62">
        <v>46153</v>
      </c>
      <c r="E170" s="62">
        <v>46185</v>
      </c>
      <c r="F170" s="168">
        <v>1</v>
      </c>
      <c r="G170" s="167">
        <v>23</v>
      </c>
      <c r="H170" s="167">
        <v>23</v>
      </c>
      <c r="I170" s="167">
        <v>23</v>
      </c>
      <c r="J170" s="168">
        <v>1</v>
      </c>
      <c r="K170" s="168">
        <v>1</v>
      </c>
      <c r="L170" s="168">
        <f t="shared" si="5"/>
        <v>0</v>
      </c>
    </row>
    <row r="171" spans="1:12" ht="14.65" outlineLevel="2">
      <c r="A171" s="232" t="s">
        <v>1702</v>
      </c>
      <c r="B171" s="233" t="s">
        <v>1807</v>
      </c>
      <c r="C171" s="232" t="s">
        <v>1652</v>
      </c>
      <c r="D171" s="62">
        <v>46153</v>
      </c>
      <c r="E171" s="62">
        <v>46154</v>
      </c>
      <c r="F171" s="168">
        <v>1</v>
      </c>
      <c r="G171" s="167">
        <v>2</v>
      </c>
      <c r="H171" s="167">
        <v>2</v>
      </c>
      <c r="I171" s="167">
        <v>2</v>
      </c>
      <c r="J171" s="168">
        <v>1</v>
      </c>
      <c r="K171" s="168">
        <v>1</v>
      </c>
      <c r="L171" s="168">
        <f t="shared" si="5"/>
        <v>0</v>
      </c>
    </row>
    <row r="172" spans="1:12" ht="14.65" outlineLevel="2">
      <c r="A172" s="232" t="s">
        <v>1702</v>
      </c>
      <c r="B172" s="233" t="s">
        <v>1808</v>
      </c>
      <c r="C172" s="232" t="s">
        <v>1654</v>
      </c>
      <c r="D172" s="62">
        <v>46157</v>
      </c>
      <c r="E172" s="62">
        <v>46185</v>
      </c>
      <c r="F172" s="168">
        <v>1</v>
      </c>
      <c r="G172" s="167">
        <v>19</v>
      </c>
      <c r="H172" s="167">
        <v>19</v>
      </c>
      <c r="I172" s="167">
        <v>19</v>
      </c>
      <c r="J172" s="168">
        <v>1</v>
      </c>
      <c r="K172" s="168">
        <v>1</v>
      </c>
      <c r="L172" s="168">
        <f t="shared" si="5"/>
        <v>0</v>
      </c>
    </row>
    <row r="173" spans="1:12" ht="14.65" outlineLevel="2">
      <c r="A173" s="232" t="s">
        <v>1702</v>
      </c>
      <c r="B173" s="233" t="s">
        <v>1784</v>
      </c>
      <c r="C173" s="232" t="s">
        <v>1619</v>
      </c>
      <c r="D173" s="62">
        <v>46174</v>
      </c>
      <c r="E173" s="62">
        <v>46185</v>
      </c>
      <c r="F173" s="168">
        <v>1</v>
      </c>
      <c r="G173" s="167">
        <v>9</v>
      </c>
      <c r="H173" s="167">
        <v>9</v>
      </c>
      <c r="I173" s="167">
        <v>9</v>
      </c>
      <c r="J173" s="168">
        <v>1</v>
      </c>
      <c r="K173" s="168">
        <v>1</v>
      </c>
      <c r="L173" s="168">
        <f t="shared" si="5"/>
        <v>0</v>
      </c>
    </row>
    <row r="174" spans="1:12" ht="14.65" outlineLevel="2">
      <c r="A174" s="232" t="s">
        <v>1702</v>
      </c>
      <c r="B174" s="233" t="s">
        <v>1785</v>
      </c>
      <c r="C174" s="232" t="s">
        <v>1621</v>
      </c>
      <c r="D174" s="62">
        <v>46181</v>
      </c>
      <c r="E174" s="62">
        <v>46185</v>
      </c>
      <c r="F174" s="168">
        <v>1</v>
      </c>
      <c r="G174" s="167">
        <v>5</v>
      </c>
      <c r="H174" s="167">
        <v>5</v>
      </c>
      <c r="I174" s="167">
        <v>5</v>
      </c>
      <c r="J174" s="168">
        <v>1</v>
      </c>
      <c r="K174" s="168">
        <v>1</v>
      </c>
      <c r="L174" s="168">
        <f t="shared" si="5"/>
        <v>0</v>
      </c>
    </row>
    <row r="175" spans="1:12" ht="14.65" outlineLevel="1">
      <c r="A175" s="240" t="s">
        <v>2012</v>
      </c>
      <c r="B175" s="235"/>
      <c r="C175" s="236"/>
      <c r="D175" s="237"/>
      <c r="E175" s="237"/>
      <c r="F175" s="238"/>
      <c r="G175" s="239">
        <f>SUBTOTAL(9,G170:G174)</f>
        <v>58</v>
      </c>
      <c r="H175" s="239">
        <f>SUBTOTAL(9,H170:H174)</f>
        <v>58</v>
      </c>
      <c r="I175" s="239">
        <f>SUBTOTAL(9,I170:I174)</f>
        <v>58</v>
      </c>
      <c r="J175" s="238">
        <f>H175/G175</f>
        <v>1</v>
      </c>
      <c r="K175" s="238">
        <f>I175/G175</f>
        <v>1</v>
      </c>
      <c r="L175" s="238">
        <f t="shared" si="5"/>
        <v>0</v>
      </c>
    </row>
    <row r="176" spans="1:12" outlineLevel="1">
      <c r="J176" s="168"/>
      <c r="K176" s="168"/>
      <c r="L176" s="168"/>
    </row>
    <row r="177" spans="1:12" outlineLevel="1">
      <c r="A177" s="241" t="s">
        <v>2013</v>
      </c>
      <c r="B177" s="239"/>
      <c r="C177" s="239"/>
      <c r="D177" s="239"/>
      <c r="E177" s="239"/>
      <c r="F177" s="238"/>
      <c r="G177" s="239">
        <f>SUBTOTAL(9,G7:G176)</f>
        <v>6519</v>
      </c>
      <c r="H177" s="239">
        <f>SUBTOTAL(9,H7:H176)</f>
        <v>1507</v>
      </c>
      <c r="I177" s="239">
        <f>SUBTOTAL(9,I7:I176)</f>
        <v>813.60000000000036</v>
      </c>
      <c r="J177" s="238">
        <f>H177/G177</f>
        <v>0.23117042491179629</v>
      </c>
      <c r="K177" s="238">
        <f>I177/G177</f>
        <v>0.12480441785549937</v>
      </c>
      <c r="L177" s="243">
        <f>K177-J177</f>
        <v>-0.10636600705629692</v>
      </c>
    </row>
  </sheetData>
  <sortState xmlns:xlrd2="http://schemas.microsoft.com/office/spreadsheetml/2017/richdata2" ref="A7:L174">
    <sortCondition ref="A7:A56"/>
    <sortCondition ref="D7:D56"/>
  </sortState>
  <dataConsolidate/>
  <phoneticPr fontId="1" type="noConversion"/>
  <hyperlinks>
    <hyperlink ref="B88" location="Schedule!$D$8" display="1.1.1.1" xr:uid="{0A75D4F1-34E0-4D77-AF8C-746A0753F8D6}"/>
    <hyperlink ref="B67" location="Schedule!$D$10" display="1.1.2.1" xr:uid="{50736DA6-4C93-446C-A27B-24F7E79D6C2C}"/>
    <hyperlink ref="B89" location="Schedule!$D$11" display="1.1.2.2" xr:uid="{7FF9FB81-0ADB-4972-A10F-10144F5C19DD}"/>
    <hyperlink ref="B68" location="Schedule!$D$12" display="1.1.2.3" xr:uid="{30E3596C-52B4-4167-972A-6DB4D59A980F}"/>
    <hyperlink ref="B170" location="Schedule!$D$14" display="1.1.3.1" xr:uid="{EE28BA79-60B7-4F9A-BDD7-56CD6137D249}"/>
    <hyperlink ref="B173" location="Schedule!$D$15" display="1.1.3.2" xr:uid="{6CD00D20-E2F8-44A2-AC4E-6BDC1E1C8708}"/>
    <hyperlink ref="B174" location="Schedule!$D$16" display="1.1.3.3" xr:uid="{9A3D7B08-B411-48EF-ADEE-6751F7C8CB67}"/>
    <hyperlink ref="B69" location="Schedule!$D$19" display="1.2.1.1" xr:uid="{CE63F70B-EFAA-4DFC-9625-02D1CCA07644}"/>
    <hyperlink ref="B70" location="Schedule!$D$21" display="1.2.2.1" xr:uid="{36A03009-A565-46B1-8228-49A9A5F6716A}"/>
    <hyperlink ref="B71" location="Schedule!$D$22" display="1.2.2.2" xr:uid="{7144477A-CB46-4C4F-AC0A-E31A27E5780F}"/>
    <hyperlink ref="B72" location="Schedule!$D$24" display="1.2.3.1" xr:uid="{16B820EE-8994-41B4-893B-CA35CD059F09}"/>
    <hyperlink ref="B73" location="Schedule!$D$25" display="1.2.3.2" xr:uid="{C351CFA0-73AC-4CFB-A896-7C216C4C2E2C}"/>
    <hyperlink ref="B78" location="Schedule!$D$26" display="1.2.3.3" xr:uid="{6380DCF7-3372-41F7-9A45-9880DA04A78C}"/>
    <hyperlink ref="B74" location="Schedule!$D$27" display="1.2.3.4" xr:uid="{F5294720-5802-49E0-9AFD-D2156F2C3C0E}"/>
    <hyperlink ref="B75" location="Schedule!$D$30" display="1.3.1.1" xr:uid="{D19C5F52-42C3-4DB1-8AFC-5D1CBD298425}"/>
    <hyperlink ref="B77" location="Schedule!$D$32" display="1.3.2.1" xr:uid="{7C2BD4AB-99E6-4F9C-AE3B-C05677E5DA56}"/>
    <hyperlink ref="B79" location="Schedule!$D$35" display="1.4.1.1" xr:uid="{0347F3A0-AECA-46DD-AC07-88B5C13D7A99}"/>
    <hyperlink ref="B94" location="Schedule!$D$37" display="1.4.2.1" xr:uid="{2E23EE4A-52CB-4189-87B1-A9B87DBF3619}"/>
    <hyperlink ref="B83" location="Schedule!$D$40" display="1.5.1.1" xr:uid="{11F0ADD2-1A52-44A7-AB34-AB676BC07D6E}"/>
    <hyperlink ref="B84" location="Schedule!$D$41" display="1.5.1.2" xr:uid="{671D6816-C4E7-4F74-8F83-E19BF9F8DBD7}"/>
    <hyperlink ref="B85" location="Schedule!$D$42" display="1.5.1.3" xr:uid="{E7A5F98D-32CA-448A-8F1D-1BC7F21AA1BF}"/>
    <hyperlink ref="B86" location="Schedule!$D$44" display="1.5.2.1" xr:uid="{8905C579-F523-41DE-AA9C-D87C9E16BD7B}"/>
    <hyperlink ref="B171" location="Schedule!$D$48" display="2.1.1.1" xr:uid="{BB0D2F42-E121-47E7-866C-7D72B3FFA4F1}"/>
    <hyperlink ref="B172" location="Schedule!$D$49" display="2.1.1.2" xr:uid="{8C05B511-03D0-499B-B2D9-39D4D84C7F8B}"/>
    <hyperlink ref="B100" location="Schedule!$D$50" display="2.1.1.3" xr:uid="{8FC40564-A14B-4152-91D9-A8C97AE03F39}"/>
    <hyperlink ref="B101" location="Schedule!$D$53" display="2.2.1.1" xr:uid="{9B427150-D8B7-40DA-9166-2B8DCC03BC67}"/>
    <hyperlink ref="B90" location="Schedule!$D$54" display="2.2.1.2" xr:uid="{70D60C2D-0F25-4BE6-97BE-46CF9EDF0F5C}"/>
    <hyperlink ref="B91" location="Schedule!$D$55" display="2.2.1.3" xr:uid="{B53AE508-921D-4DCA-A840-0948FDE4AB22}"/>
    <hyperlink ref="B76" location="Schedule!$D$56" display="2.2.1.4" xr:uid="{81CC8A4E-1E94-407E-8640-590B5632E0E2}"/>
    <hyperlink ref="B10" location="Schedule!$D$58" display="2.2.2.1" xr:uid="{EEFB8571-4408-445B-B364-CF72B8BEF969}"/>
    <hyperlink ref="B102" location="Schedule!$D$59" display="2.2.2.2" xr:uid="{D3A7AD15-E1B7-40E3-B01B-3803E52D0567}"/>
    <hyperlink ref="B103" location="Schedule!$D$60" display="2.2.2.3" xr:uid="{62D8982D-FDCD-4749-B42B-B375B073030F}"/>
    <hyperlink ref="B11" location="Schedule!$D$63" display="2.3.1.1" xr:uid="{65E1B3F3-4CB1-4701-A923-86769C3E4DEE}"/>
    <hyperlink ref="B105" location="Schedule!$D$65" display="2.3.1.2.1" xr:uid="{A9A9E054-3ED6-4ACF-BDB5-30F85BBA9AD3}"/>
    <hyperlink ref="B106" location="Schedule!$D$66" display="2.3.1.2.2" xr:uid="{21B8AAD3-F08F-412E-A406-65FE95657F18}"/>
    <hyperlink ref="B107" location="Schedule!$D$67" display="2.3.1.2.3" xr:uid="{26E4B2CA-9F3D-4AB2-B4D9-5B05AF50B26D}"/>
    <hyperlink ref="B108" location="Schedule!$D$68" display="2.3.1.2.4" xr:uid="{45AA8F46-93DC-41E7-B1D4-3BE5F1A11F0B}"/>
    <hyperlink ref="B109" location="Schedule!$D$69" display="2.3.1.2.5" xr:uid="{E8289FC2-1544-4C03-88E2-B46ADF6CB2CB}"/>
    <hyperlink ref="B110" location="Schedule!$D$70" display="2.3.1.2.6" xr:uid="{5A7A332C-5872-42D5-8006-1E7DF07AE52E}"/>
    <hyperlink ref="B111" location="Schedule!$D$71" display="2.3.1.2.7" xr:uid="{63AAE7D4-6518-4A20-B225-9B893ACD0B2A}"/>
    <hyperlink ref="B112" location="Schedule!$D$72" display="2.3.1.2.8" xr:uid="{BA9931CC-2C05-4207-8620-8BFFF7677748}"/>
    <hyperlink ref="B113" location="Schedule!$D$73" display="2.3.1.2.9" xr:uid="{FE9BE28A-674D-4403-8018-067AD6C1E6A9}"/>
    <hyperlink ref="B114" location="Schedule!$D$74" display="2.3.1.2.10" xr:uid="{32D9C7E0-349C-492D-8B63-6482CCEA7CD8}"/>
    <hyperlink ref="B115" location="Schedule!$D$75" display="2.3.1.2.11" xr:uid="{55EBB07A-ABA7-41E0-8110-361B6B3AD73C}"/>
    <hyperlink ref="B116" location="Schedule!$D$76" display="2.3.1.2.12" xr:uid="{E8EE7D11-5924-44A5-BC3F-3368D56FA886}"/>
    <hyperlink ref="B117" location="Schedule!$D$77" display="2.3.1.2.13" xr:uid="{75843D4C-B90E-484C-B2F3-57E5445B2B03}"/>
    <hyperlink ref="B118" location="Schedule!$D$78" display="2.3.1.2.14" xr:uid="{06AF44E8-E580-4BD8-90A8-B4E7EAEBFD95}"/>
    <hyperlink ref="B119" location="Schedule!$D$79" display="2.3.1.2.15" xr:uid="{C51AF37A-C0E0-4DF2-AB51-B398FC2DB1BB}"/>
    <hyperlink ref="B12" location="Schedule!$D$80" display="2.3.1.3" xr:uid="{8650A54A-E571-4B98-AA7A-A038753C9EA2}"/>
    <hyperlink ref="B120" location="Schedule!$D$83" display="2.3.1.4.1.1" xr:uid="{E4F54735-A6BA-4FA4-81F8-A19B72872E47}"/>
    <hyperlink ref="B121" location="Schedule!$D$84" display="2.3.1.4.1.2" xr:uid="{0EED8BB6-64F8-4579-B1C2-57FDBE78FE49}"/>
    <hyperlink ref="B122" location="Schedule!$D$85" display="2.3.1.4.1.3" xr:uid="{5E36F1C1-D317-4541-BCCC-6CD9DB8DC6D6}"/>
    <hyperlink ref="B123" location="Schedule!$D$86" display="2.3.1.4.1.4" xr:uid="{3FDD6FC4-09B0-4D31-B371-BB7B215274F0}"/>
    <hyperlink ref="B124" location="Schedule!$D$87" display="2.3.1.4.1.5" xr:uid="{503BE240-330E-4039-9099-4EA64072C4C4}"/>
    <hyperlink ref="B125" location="Schedule!$D$88" display="2.3.1.4.1.6" xr:uid="{979CFC9F-3C06-4DAC-94E3-FE6330D3B311}"/>
    <hyperlink ref="B126" location="Schedule!$D$89" display="2.3.1.4.1.7" xr:uid="{AE91EDFD-6963-4521-B538-721F40837A09}"/>
    <hyperlink ref="B127" location="Schedule!$D$90" display="2.3.1.4.1.8" xr:uid="{B14E1AF2-D06A-45B8-BFAC-9FD79CE2EF56}"/>
    <hyperlink ref="B128" location="Schedule!$D$91" display="2.3.1.4.1.9" xr:uid="{0C645E79-7420-46A3-8ED4-87AAC0D15FC3}"/>
    <hyperlink ref="B129" location="Schedule!$D$92" display="2.3.1.4.1.10" xr:uid="{2F0E1C19-E142-412B-9175-07EAB88F8CEF}"/>
    <hyperlink ref="B130" location="Schedule!$D$93" display="2.3.1.4.1.11" xr:uid="{0D563F0D-5A2B-4198-84C7-4D054B8B41D0}"/>
    <hyperlink ref="B131" location="Schedule!$D$94" display="2.3.1.4.1.12" xr:uid="{71AE84EB-FC2D-4CC2-8117-E03E1C6694C9}"/>
    <hyperlink ref="B132" location="Schedule!$D$95" display="2.3.1.4.1.13" xr:uid="{45CE96D2-9185-4C63-8182-E742E242950A}"/>
    <hyperlink ref="B133" location="Schedule!$D$96" display="2.3.1.4.1.14" xr:uid="{493B9D7F-4A26-4216-9F94-38966A6F4634}"/>
    <hyperlink ref="B7" location="Schedule!$D$98" display="2.3.1.4.2.1" xr:uid="{7F7D9638-81BB-4A9D-9709-EF14665BDD45}"/>
    <hyperlink ref="B134" location="Schedule!$D$99" display="2.3.1.4.2.2" xr:uid="{2B91272A-451B-4444-9BC0-3671D6500ECE}"/>
    <hyperlink ref="B135" location="Schedule!$D$100" display="2.3.1.4.2.3" xr:uid="{512C93AB-7B3E-4FC7-92E3-2F0020E378A4}"/>
    <hyperlink ref="B136" location="Schedule!$D$101" display="2.3.1.4.2.4" xr:uid="{A679F635-8AE5-43AD-AC38-195D7560E6AE}"/>
    <hyperlink ref="B137" location="Schedule!$D$102" display="2.3.1.4.2.5" xr:uid="{8EDEC532-A17F-4437-878B-C91F89A77FD6}"/>
    <hyperlink ref="B138" location="Schedule!$D$103" display="2.3.1.4.2.6" xr:uid="{3B3C7A43-30E9-4704-A741-981ADBBCEFBF}"/>
    <hyperlink ref="B139" location="Schedule!$D$104" display="2.3.1.4.2.7" xr:uid="{94FB14F8-EF31-4CAA-9F8D-4CDDE7E24173}"/>
    <hyperlink ref="B140" location="Schedule!$D$105" display="2.3.1.4.2.8" xr:uid="{694952AF-961B-4038-9F2C-54543FC1DC04}"/>
    <hyperlink ref="B141" location="Schedule!$D$106" display="2.3.1.4.2.9" xr:uid="{C6B091E0-B430-450F-92F7-A4D16896495C}"/>
    <hyperlink ref="B142" location="Schedule!$D$107" display="2.3.1.4.2.10" xr:uid="{78F8FD54-998F-4632-92B7-320503A602A4}"/>
    <hyperlink ref="B143" location="Schedule!$D$108" display="2.3.1.4.2.11" xr:uid="{E8C8B8E3-B80A-4910-BC40-0BDB2BD1570F}"/>
    <hyperlink ref="B144" location="Schedule!$D$109" display="2.3.1.4.2.12" xr:uid="{F6C863E3-411E-4E63-BDF0-CF3C985D100E}"/>
    <hyperlink ref="B145" location="Schedule!$D$110" display="2.3.1.4.2.13" xr:uid="{FD2E3C50-6F6B-4191-A7F7-130E6E7A3196}"/>
    <hyperlink ref="B146" location="Schedule!$D$111" display="2.3.1.4.2.14" xr:uid="{45168CB7-B62D-418A-968C-85D087845B3D}"/>
    <hyperlink ref="B147" location="Schedule!$D$112" display="2.3.1.4.2.15" xr:uid="{A4B160DB-89C9-4582-A73D-8BCB176AC6A0}"/>
    <hyperlink ref="B148" location="Schedule!$D$113" display="2.3.1.4.2.16" xr:uid="{E11C3E49-38EC-4E3F-9D01-DBA0A17BD139}"/>
    <hyperlink ref="B151" location="Schedule!$D$115" display="2.3.1.5.1" xr:uid="{04E89F3A-D133-47B2-911C-00E99DE76282}"/>
    <hyperlink ref="B152" location="Schedule!$D$116" display="2.3.1.5.2" xr:uid="{A8CA6A09-6D92-4F9D-A4BD-5D3C621DFF2E}"/>
    <hyperlink ref="B153" location="Schedule!$D$117" display="2.3.1.5.3" xr:uid="{2B99B58C-C276-45C7-807B-9DA515285A92}"/>
    <hyperlink ref="B8" location="Schedule!$D$118" display="2.3.1.5.4" xr:uid="{CAA76FFB-D1F1-4993-A634-DA2303779EEE}"/>
    <hyperlink ref="B46" location="Schedule!$D$119" display="2.3.1.6" xr:uid="{CE95B16E-1D7F-4688-98FA-9772965F2EA8}"/>
    <hyperlink ref="B44" location="Schedule!$D$120" display="2.3.1.7" xr:uid="{DC65B00C-4571-41AC-BA2D-5AC7FCB323AE}"/>
    <hyperlink ref="B104" location="Schedule!$D$121" display="2.3.1.8" xr:uid="{9C3D8625-7286-402A-8DFC-C7A1144408BB}"/>
    <hyperlink ref="B92" location="Schedule!$D$123" display="2.3.2.1" xr:uid="{2CD9954F-4EFF-49D4-9545-0291F693E4EB}"/>
    <hyperlink ref="B93" location="Schedule!$D$124" display="2.3.2.2" xr:uid="{627A3C7C-DFB7-4185-BDAA-492E3D3F0416}"/>
    <hyperlink ref="B154" location="Schedule!$D$127" display="2.4.1.1" xr:uid="{ED581DCB-9F4D-486C-98C4-BCDBFC83DED7}"/>
    <hyperlink ref="B155" location="Schedule!$D$129" display="2.4.1.2.1" xr:uid="{A2F05E5E-BE0A-4214-BE17-90339627959F}"/>
    <hyperlink ref="B156" location="Schedule!$D$130" display="2.4.1.2.2" xr:uid="{3998FBF0-54D1-49F3-AD60-6CC4C2CB3770}"/>
    <hyperlink ref="B157" location="Schedule!$D$131" display="2.4.1.2.3" xr:uid="{A3C031AC-6EFD-4BB2-BE04-0D8FEC6068BA}"/>
    <hyperlink ref="B158" location="Schedule!$D$132" display="2.4.1.2.4" xr:uid="{469BD566-CD81-4BEE-94A7-A924A2C59FD4}"/>
    <hyperlink ref="B159" location="Schedule!$D$133" display="2.4.1.2.5" xr:uid="{40FB7CB3-CCC5-4893-BB4E-40EAC6965EC6}"/>
    <hyperlink ref="B160" location="Schedule!$D$134" display="2.4.1.2.6" xr:uid="{09DA516F-3055-4C7A-B7D1-1E73A5862D54}"/>
    <hyperlink ref="B161" location="Schedule!$D$135" display="2.4.1.2.7" xr:uid="{12ABE447-77FD-4E02-967A-02D48ECA4ABC}"/>
    <hyperlink ref="B162" location="Schedule!$D$136" display="2.4.1.2.8" xr:uid="{C3468BE0-D7CC-43F4-AF31-8A4A95DF5128}"/>
    <hyperlink ref="B163" location="Schedule!$D$137" display="2.4.1.2.9" xr:uid="{0C44EFAD-A30F-4609-9FE2-41691836F549}"/>
    <hyperlink ref="B164" location="Schedule!$D$138" display="2.4.1.2.10" xr:uid="{BD7E6794-EA1A-4D9C-B8B2-D64AFC5CBC9B}"/>
    <hyperlink ref="B165" location="Schedule!$D$139" display="2.4.1.2.11" xr:uid="{EC21EDD3-F4C8-478F-8F32-93482B576B96}"/>
    <hyperlink ref="B166" location="Schedule!$D$140" display="2.4.1.2.12" xr:uid="{3E58D888-E06B-460A-B3E1-A3B32B5D5C2E}"/>
    <hyperlink ref="B167" location="Schedule!$D$141" display="2.4.1.2.13" xr:uid="{639FD8C8-B90F-4A49-A95E-6D90142E6B3F}"/>
    <hyperlink ref="B168" location="Schedule!$D$142" display="2.4.1.2.14" xr:uid="{2AD62B33-55C7-4F1F-A84D-F08A345F0FCE}"/>
    <hyperlink ref="B48" location="Schedule!$D$144" display="2.4.2.1" xr:uid="{F221A7A9-CFD0-4E2D-8501-0B9672889985}"/>
    <hyperlink ref="B52" location="Schedule!$D$146" display="2.4.2.2.1" xr:uid="{6423AAF8-B42A-453D-89AB-5DD89A51A8D9}"/>
    <hyperlink ref="B53" location="Schedule!$D$147" display="2.4.2.2.2" xr:uid="{2B61730C-35B2-4872-8D2C-31657EC2CBEC}"/>
    <hyperlink ref="B54" location="Schedule!$D$148" display="2.4.2.2.3" xr:uid="{563C6337-5F63-4490-A8C1-C461293746F5}"/>
    <hyperlink ref="B55" location="Schedule!$D$149" display="2.4.2.2.4" xr:uid="{8AF29149-752F-4AA5-A893-C1F60878F15D}"/>
    <hyperlink ref="B56" location="Schedule!$D$150" display="2.4.2.2.5" xr:uid="{11BE6F9B-2A98-446F-9CEB-A12E299B4E6C}"/>
    <hyperlink ref="B57" location="Schedule!$D$151" display="2.4.2.2.6" xr:uid="{BC4C350A-E442-4F65-B228-804458DD4FC7}"/>
    <hyperlink ref="B58" location="Schedule!$D$152" display="2.4.2.2.7" xr:uid="{F656C860-6EFA-4241-A83E-C4D6146071DC}"/>
    <hyperlink ref="B59" location="Schedule!$D$153" display="2.4.2.2.8" xr:uid="{56E5DCA5-ED1E-4B1C-9247-63D20FE7FDB6}"/>
    <hyperlink ref="B60" location="Schedule!$D$154" display="2.4.2.2.9" xr:uid="{1EC6DA88-C315-4633-BE4A-9B6AEE41FD49}"/>
    <hyperlink ref="B61" location="Schedule!$D$155" display="2.4.2.2.10" xr:uid="{C493E1A4-A151-40BE-B3E3-9D669F38E62E}"/>
    <hyperlink ref="B62" location="Schedule!$D$156" display="2.4.2.2.11" xr:uid="{55021103-75E7-4598-85A4-DE1CC4A607D2}"/>
    <hyperlink ref="B63" location="Schedule!$D$157" display="2.4.2.2.12" xr:uid="{7AF2AA74-D7FD-42F8-AEB8-6F9426D643DF}"/>
    <hyperlink ref="B64" location="Schedule!$D$158" display="2.4.2.2.13" xr:uid="{2769AB23-2559-48A8-AE68-F999A1D4165B}"/>
    <hyperlink ref="B65" location="Schedule!$D$159" display="2.4.2.2.14" xr:uid="{D26D4DFA-D49F-4DDB-8ED5-A3D8485F8455}"/>
    <hyperlink ref="B15" location="Schedule!$D$161" display="2.4.2.3.1" xr:uid="{FBAF965C-5AFB-4A0C-8A6C-1D3985804110}"/>
    <hyperlink ref="B16" location="Schedule!$D$162" display="2.4.2.3.2" xr:uid="{1AA057BE-DE46-4471-8D6A-F9B9C512F98F}"/>
    <hyperlink ref="B17" location="Schedule!$D$163" display="2.4.2.3.3" xr:uid="{134F60B5-0E34-42AE-99AB-08F1E0DDEA93}"/>
    <hyperlink ref="B18" location="Schedule!$D$164" display="2.4.2.3.4" xr:uid="{C2CEC69C-06C6-4D05-9ABE-9541B405D236}"/>
    <hyperlink ref="B19" location="Schedule!$D$165" display="2.4.2.3.5" xr:uid="{C7FB24D6-4E1B-4B61-94B0-309C294AB267}"/>
    <hyperlink ref="B20" location="Schedule!$D$166" display="2.4.2.3.6" xr:uid="{D7DDFBB8-0B98-4A38-8786-292B28945C18}"/>
    <hyperlink ref="B21" location="Schedule!$D$167" display="2.4.2.3.7" xr:uid="{2822D8A1-E84D-46C8-A27D-73912FC23ADC}"/>
    <hyperlink ref="B22" location="Schedule!$D$168" display="2.4.2.3.8" xr:uid="{78A31961-29C6-4C69-86A3-3CD8BB53918A}"/>
    <hyperlink ref="B23" location="Schedule!$D$169" display="2.4.2.3.9" xr:uid="{CF3B5311-2CDF-4B1A-860C-4A69447C29F3}"/>
    <hyperlink ref="B24" location="Schedule!$D$170" display="2.4.2.3.10" xr:uid="{021EE2DE-15C1-4DB9-9E09-8782F629A45E}"/>
    <hyperlink ref="B25" location="Schedule!$D$171" display="2.4.2.3.11" xr:uid="{685562E7-82AF-4ED9-96FE-41C84F7F26C1}"/>
    <hyperlink ref="B26" location="Schedule!$D$172" display="2.4.2.3.12" xr:uid="{A5CFC11E-239C-44F4-BD57-21B946ADA35B}"/>
    <hyperlink ref="B27" location="Schedule!$D$173" display="2.4.2.3.13" xr:uid="{0EE666AB-CBA1-41E1-ADC0-5DB5F58672A6}"/>
    <hyperlink ref="B28" location="Schedule!$D$174" display="2.4.2.3.14" xr:uid="{BA4419B1-B66F-4A3D-AF91-EBCF41731E87}"/>
    <hyperlink ref="B29" location="Schedule!$D$175" display="2.4.2.3.15" xr:uid="{3B761BC2-3F29-45DF-9D16-4531D994D44A}"/>
    <hyperlink ref="B30" location="Schedule!$D$176" display="2.4.2.3.16" xr:uid="{390C3BA6-B57C-407E-B611-9EDDD123AD34}"/>
    <hyperlink ref="B31" location="Schedule!$D$177" display="2.4.2.4" xr:uid="{787D15F9-E881-47C4-90E6-B34A8B6131CB}"/>
    <hyperlink ref="B33" location="Schedule!$D$178" display="2.4.2.5" xr:uid="{308D752E-098A-4619-812B-8174A801B97E}"/>
    <hyperlink ref="B149" location="Schedule!$D$178" display="2.4.2.5" xr:uid="{E326AFE0-C1A7-48C3-A898-D6172F53C301}"/>
    <hyperlink ref="B34" location="Schedule!$D$179" display="2.4.2.6" xr:uid="{A798E466-1899-4D42-A6FA-A5E483A580AC}"/>
    <hyperlink ref="B35" location="Schedule!$D$181" display="2.4.3.1" xr:uid="{1B11B8F3-F24E-4EF5-BCB4-D01BE9D1239B}"/>
    <hyperlink ref="B36" location="Schedule!$D$182" display="2.4.3.2" xr:uid="{C5512893-9293-4BD3-86A1-1573F7B48E06}"/>
    <hyperlink ref="B37" location="Schedule!$D$185" display="2.5.1.1" xr:uid="{D3A177E5-610F-484C-9D4B-11AA2E0E3133}"/>
    <hyperlink ref="B38" location="Schedule!$D$186" display="2.5.1.2" xr:uid="{3FDA5713-78A9-4EB8-ACA4-2FE9575E56B3}"/>
    <hyperlink ref="B97" location="Schedule!$D$187" display="2.5.1.3" xr:uid="{93987E80-AF5B-4C6D-8E56-24CA8380DFF2}"/>
    <hyperlink ref="B98" location="Schedule!$D$188" display="2.5.1.4" xr:uid="{B5C77293-0D49-4804-ABF9-7E303C45D4B5}"/>
    <hyperlink ref="B39" location="Schedule!$D$189" display="2.5.1.5" xr:uid="{35D9BE39-A8A2-482D-A2C4-DAD9F76FA087}"/>
    <hyperlink ref="B95" location="Schedule!$D$190" display="2.5.1.6" xr:uid="{C249766E-BAD5-4E27-A64A-D55D0CFF3D25}"/>
    <hyperlink ref="B49" location="Schedule!$D$192" display="2.5.2.1" xr:uid="{23787872-89E3-491B-B8A7-A12519AF9EE8}"/>
    <hyperlink ref="B50" location="Schedule!$D$193" display="2.5.2.2" xr:uid="{D6317065-FCA5-4A09-A03E-CD26F1C7024F}"/>
    <hyperlink ref="B80" location="Schedule!$D$195" display="2.6.1" xr:uid="{D0B085E6-DDF0-4ABD-8386-EBF8A535FF68}"/>
    <hyperlink ref="B81" location="Schedule!$D$196" display="2.6.2" xr:uid="{FC014EAD-6B45-4D6A-A070-F316A598DE6A}"/>
    <hyperlink ref="B82" location="Schedule!$D$197" display="2.6.3" xr:uid="{1DA78024-117B-47F3-A939-3F4DEDC6FF6B}"/>
    <hyperlink ref="B13" location="Schedule!$D$199" display="2.7.1" xr:uid="{F720B279-6062-4CC6-A0B4-667C448974FC}"/>
    <hyperlink ref="B40" location="Schedule!$D$200" display="2.7.2" xr:uid="{80CD6D62-B92A-46E1-967E-7141B2B74EA2}"/>
    <hyperlink ref="B41" location="Schedule!$D$201" display="2.7.3" xr:uid="{EAA5091B-D616-4ADD-AD1E-FBB8C6EA9779}"/>
    <hyperlink ref="B42" location="Schedule!$D$202" display="2.7.4" xr:uid="{75380A35-87AD-4284-84CF-62A00394BA68}"/>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5D129-C0A8-4CA3-98F8-0E2C906D0B31}">
  <sheetPr codeName="Sheet7">
    <tabColor theme="2" tint="-9.9978637043366805E-2"/>
  </sheetPr>
  <dimension ref="A1:K156"/>
  <sheetViews>
    <sheetView zoomScale="85" zoomScaleNormal="85" workbookViewId="0"/>
  </sheetViews>
  <sheetFormatPr defaultRowHeight="16.899999999999999"/>
  <cols>
    <col min="1" max="1" width="11.625" bestFit="1" customWidth="1"/>
    <col min="2" max="2" width="5.5" bestFit="1" customWidth="1"/>
    <col min="3" max="4" width="26.375" bestFit="1" customWidth="1"/>
    <col min="5" max="5" width="18.125" bestFit="1" customWidth="1"/>
    <col min="6" max="7" width="24.1875" bestFit="1" customWidth="1"/>
    <col min="8" max="8" width="16.125" bestFit="1" customWidth="1"/>
    <col min="9" max="10" width="30.5" bestFit="1" customWidth="1"/>
    <col min="11" max="11" width="22.1875" bestFit="1" customWidth="1"/>
  </cols>
  <sheetData>
    <row r="1" spans="1:11">
      <c r="A1" s="154" t="s">
        <v>1498</v>
      </c>
      <c r="B1" s="154" t="s">
        <v>1499</v>
      </c>
      <c r="C1" s="154" t="s">
        <v>1435</v>
      </c>
      <c r="D1" s="154" t="s">
        <v>1494</v>
      </c>
      <c r="E1" s="154" t="s">
        <v>1340</v>
      </c>
      <c r="F1" s="154" t="s">
        <v>1436</v>
      </c>
      <c r="G1" s="154" t="s">
        <v>1495</v>
      </c>
      <c r="H1" s="154" t="s">
        <v>1336</v>
      </c>
      <c r="I1" s="154" t="s">
        <v>1500</v>
      </c>
      <c r="J1" s="154" t="s">
        <v>1496</v>
      </c>
      <c r="K1" s="154" t="s">
        <v>1497</v>
      </c>
    </row>
    <row r="2" spans="1:11">
      <c r="A2" s="155">
        <v>46086</v>
      </c>
      <c r="B2" s="156">
        <v>10</v>
      </c>
      <c r="C2" s="157">
        <v>3</v>
      </c>
      <c r="D2" s="157">
        <v>3</v>
      </c>
      <c r="E2" s="147">
        <v>1.1824990145841546E-2</v>
      </c>
      <c r="F2" s="157">
        <v>3</v>
      </c>
      <c r="G2" s="157">
        <v>3</v>
      </c>
      <c r="H2" s="147">
        <v>1.1824990145841546E-2</v>
      </c>
      <c r="I2" s="157">
        <v>0</v>
      </c>
      <c r="J2" s="157">
        <v>0</v>
      </c>
      <c r="K2" s="147">
        <v>0</v>
      </c>
    </row>
    <row r="3" spans="1:11">
      <c r="A3" s="155">
        <v>46087</v>
      </c>
      <c r="B3" s="156">
        <v>10</v>
      </c>
      <c r="C3" s="157">
        <v>1</v>
      </c>
      <c r="D3" s="157">
        <v>4</v>
      </c>
      <c r="E3" s="147">
        <v>1.5766653527788728E-2</v>
      </c>
      <c r="F3" s="157">
        <v>1</v>
      </c>
      <c r="G3" s="157">
        <v>4</v>
      </c>
      <c r="H3" s="147">
        <v>1.5766653527788728E-2</v>
      </c>
      <c r="I3" s="157">
        <v>0</v>
      </c>
      <c r="J3" s="157">
        <v>0</v>
      </c>
      <c r="K3" s="147">
        <v>0</v>
      </c>
    </row>
    <row r="4" spans="1:11">
      <c r="A4" s="155">
        <v>46088</v>
      </c>
      <c r="B4" s="156">
        <v>10</v>
      </c>
      <c r="C4" s="157">
        <v>0</v>
      </c>
      <c r="D4" s="157">
        <v>4</v>
      </c>
      <c r="E4" s="147">
        <v>1.5766653527788728E-2</v>
      </c>
      <c r="F4" s="157">
        <v>0</v>
      </c>
      <c r="G4" s="157">
        <v>4</v>
      </c>
      <c r="H4" s="147">
        <v>1.5766653527788728E-2</v>
      </c>
      <c r="I4" s="157">
        <v>0</v>
      </c>
      <c r="J4" s="157">
        <v>0</v>
      </c>
      <c r="K4" s="147">
        <v>0</v>
      </c>
    </row>
    <row r="5" spans="1:11">
      <c r="A5" s="155">
        <v>46089</v>
      </c>
      <c r="B5" s="156">
        <v>11</v>
      </c>
      <c r="C5" s="157">
        <v>0</v>
      </c>
      <c r="D5" s="157">
        <v>4</v>
      </c>
      <c r="E5" s="147">
        <v>1.5766653527788728E-2</v>
      </c>
      <c r="F5" s="157">
        <v>0</v>
      </c>
      <c r="G5" s="157">
        <v>4</v>
      </c>
      <c r="H5" s="147">
        <v>1.5766653527788728E-2</v>
      </c>
      <c r="I5" s="157">
        <v>0</v>
      </c>
      <c r="J5" s="157">
        <v>0</v>
      </c>
      <c r="K5" s="147">
        <v>0</v>
      </c>
    </row>
    <row r="6" spans="1:11">
      <c r="A6" s="155">
        <v>46090</v>
      </c>
      <c r="B6" s="156">
        <v>11</v>
      </c>
      <c r="C6" s="157">
        <v>1</v>
      </c>
      <c r="D6" s="157">
        <v>5</v>
      </c>
      <c r="E6" s="147">
        <v>1.9708316909735908E-2</v>
      </c>
      <c r="F6" s="157">
        <v>1</v>
      </c>
      <c r="G6" s="157">
        <v>5</v>
      </c>
      <c r="H6" s="147">
        <v>1.9708316909735908E-2</v>
      </c>
      <c r="I6" s="157">
        <v>0</v>
      </c>
      <c r="J6" s="157">
        <v>0</v>
      </c>
      <c r="K6" s="147">
        <v>0</v>
      </c>
    </row>
    <row r="7" spans="1:11">
      <c r="A7" s="155">
        <v>46091</v>
      </c>
      <c r="B7" s="156">
        <v>11</v>
      </c>
      <c r="C7" s="157">
        <v>1</v>
      </c>
      <c r="D7" s="157">
        <v>6</v>
      </c>
      <c r="E7" s="147">
        <v>2.3649980291683092E-2</v>
      </c>
      <c r="F7" s="157">
        <v>1</v>
      </c>
      <c r="G7" s="157">
        <v>6</v>
      </c>
      <c r="H7" s="147">
        <v>2.3649980291683092E-2</v>
      </c>
      <c r="I7" s="157">
        <v>0</v>
      </c>
      <c r="J7" s="157">
        <v>0</v>
      </c>
      <c r="K7" s="147">
        <v>0</v>
      </c>
    </row>
    <row r="8" spans="1:11">
      <c r="A8" s="155">
        <v>46092</v>
      </c>
      <c r="B8" s="156">
        <v>11</v>
      </c>
      <c r="C8" s="157">
        <v>1</v>
      </c>
      <c r="D8" s="157">
        <v>7</v>
      </c>
      <c r="E8" s="147">
        <v>2.7591643673630272E-2</v>
      </c>
      <c r="F8" s="157">
        <v>1</v>
      </c>
      <c r="G8" s="157">
        <v>7</v>
      </c>
      <c r="H8" s="147">
        <v>2.7591643673630272E-2</v>
      </c>
      <c r="I8" s="157">
        <v>0</v>
      </c>
      <c r="J8" s="157">
        <v>0</v>
      </c>
      <c r="K8" s="147">
        <v>0</v>
      </c>
    </row>
    <row r="9" spans="1:11">
      <c r="A9" s="155">
        <v>46093</v>
      </c>
      <c r="B9" s="156">
        <v>11</v>
      </c>
      <c r="C9" s="157">
        <v>2</v>
      </c>
      <c r="D9" s="157">
        <v>9</v>
      </c>
      <c r="E9" s="147">
        <v>3.5474970437524636E-2</v>
      </c>
      <c r="F9" s="157">
        <v>2</v>
      </c>
      <c r="G9" s="157">
        <v>9</v>
      </c>
      <c r="H9" s="147">
        <v>3.5474970437524636E-2</v>
      </c>
      <c r="I9" s="157">
        <v>0</v>
      </c>
      <c r="J9" s="157">
        <v>0</v>
      </c>
      <c r="K9" s="147">
        <v>0</v>
      </c>
    </row>
    <row r="10" spans="1:11">
      <c r="A10" s="155">
        <v>46094</v>
      </c>
      <c r="B10" s="156">
        <v>11</v>
      </c>
      <c r="C10" s="157">
        <v>2</v>
      </c>
      <c r="D10" s="157">
        <v>11</v>
      </c>
      <c r="E10" s="147">
        <v>4.3358297201419004E-2</v>
      </c>
      <c r="F10" s="157">
        <v>2</v>
      </c>
      <c r="G10" s="157">
        <v>11</v>
      </c>
      <c r="H10" s="147">
        <v>4.3358297201419004E-2</v>
      </c>
      <c r="I10" s="157">
        <v>0</v>
      </c>
      <c r="J10" s="157">
        <v>0</v>
      </c>
      <c r="K10" s="147">
        <v>0</v>
      </c>
    </row>
    <row r="11" spans="1:11">
      <c r="A11" s="155">
        <v>46095</v>
      </c>
      <c r="B11" s="156">
        <v>11</v>
      </c>
      <c r="C11" s="157">
        <v>0</v>
      </c>
      <c r="D11" s="157">
        <v>11</v>
      </c>
      <c r="E11" s="147">
        <v>4.3358297201419004E-2</v>
      </c>
      <c r="F11" s="157">
        <v>0</v>
      </c>
      <c r="G11" s="157">
        <v>11</v>
      </c>
      <c r="H11" s="147">
        <v>4.3358297201419004E-2</v>
      </c>
      <c r="I11" s="157">
        <v>0</v>
      </c>
      <c r="J11" s="157">
        <v>0</v>
      </c>
      <c r="K11" s="147">
        <v>0</v>
      </c>
    </row>
    <row r="12" spans="1:11">
      <c r="A12" s="155">
        <v>46096</v>
      </c>
      <c r="B12" s="156">
        <v>12</v>
      </c>
      <c r="C12" s="157">
        <v>0</v>
      </c>
      <c r="D12" s="157">
        <v>11</v>
      </c>
      <c r="E12" s="147">
        <v>4.3358297201419004E-2</v>
      </c>
      <c r="F12" s="157">
        <v>0</v>
      </c>
      <c r="G12" s="157">
        <v>11</v>
      </c>
      <c r="H12" s="147">
        <v>4.3358297201419004E-2</v>
      </c>
      <c r="I12" s="157">
        <v>0</v>
      </c>
      <c r="J12" s="157">
        <v>0</v>
      </c>
      <c r="K12" s="147">
        <v>0</v>
      </c>
    </row>
    <row r="13" spans="1:11">
      <c r="A13" s="155">
        <v>46097</v>
      </c>
      <c r="B13" s="156">
        <v>12</v>
      </c>
      <c r="C13" s="157">
        <v>2</v>
      </c>
      <c r="D13" s="157">
        <v>13</v>
      </c>
      <c r="E13" s="147">
        <v>5.1241623965313364E-2</v>
      </c>
      <c r="F13" s="157">
        <v>2</v>
      </c>
      <c r="G13" s="157">
        <v>13</v>
      </c>
      <c r="H13" s="147">
        <v>5.1241623965313364E-2</v>
      </c>
      <c r="I13" s="157">
        <v>0</v>
      </c>
      <c r="J13" s="157">
        <v>0</v>
      </c>
      <c r="K13" s="147">
        <v>0</v>
      </c>
    </row>
    <row r="14" spans="1:11">
      <c r="A14" s="155">
        <v>46098</v>
      </c>
      <c r="B14" s="156">
        <v>12</v>
      </c>
      <c r="C14" s="157">
        <v>1</v>
      </c>
      <c r="D14" s="157">
        <v>14</v>
      </c>
      <c r="E14" s="147">
        <v>5.5183287347260544E-2</v>
      </c>
      <c r="F14" s="157">
        <v>1</v>
      </c>
      <c r="G14" s="157">
        <v>14</v>
      </c>
      <c r="H14" s="147">
        <v>5.5183287347260544E-2</v>
      </c>
      <c r="I14" s="157">
        <v>0</v>
      </c>
      <c r="J14" s="157">
        <v>0</v>
      </c>
      <c r="K14" s="147">
        <v>0</v>
      </c>
    </row>
    <row r="15" spans="1:11">
      <c r="A15" s="155">
        <v>46099</v>
      </c>
      <c r="B15" s="156">
        <v>12</v>
      </c>
      <c r="C15" s="157">
        <v>1</v>
      </c>
      <c r="D15" s="157">
        <v>15</v>
      </c>
      <c r="E15" s="147">
        <v>5.9124950729207731E-2</v>
      </c>
      <c r="F15" s="157">
        <v>1</v>
      </c>
      <c r="G15" s="157">
        <v>15</v>
      </c>
      <c r="H15" s="147">
        <v>5.9124950729207731E-2</v>
      </c>
      <c r="I15" s="157">
        <v>0</v>
      </c>
      <c r="J15" s="157">
        <v>0</v>
      </c>
      <c r="K15" s="147">
        <v>0</v>
      </c>
    </row>
    <row r="16" spans="1:11">
      <c r="A16" s="155">
        <v>46100</v>
      </c>
      <c r="B16" s="156">
        <v>12</v>
      </c>
      <c r="C16" s="157">
        <v>2</v>
      </c>
      <c r="D16" s="157">
        <v>17</v>
      </c>
      <c r="E16" s="147">
        <v>6.7008277493102092E-2</v>
      </c>
      <c r="F16" s="157">
        <v>2</v>
      </c>
      <c r="G16" s="157">
        <v>17</v>
      </c>
      <c r="H16" s="147">
        <v>6.7008277493102092E-2</v>
      </c>
      <c r="I16" s="157">
        <v>0</v>
      </c>
      <c r="J16" s="157">
        <v>0</v>
      </c>
      <c r="K16" s="147">
        <v>0</v>
      </c>
    </row>
    <row r="17" spans="1:11">
      <c r="A17" s="155">
        <v>46101</v>
      </c>
      <c r="B17" s="156">
        <v>12</v>
      </c>
      <c r="C17" s="157">
        <v>2</v>
      </c>
      <c r="D17" s="157">
        <v>19</v>
      </c>
      <c r="E17" s="147">
        <v>7.4891604256996452E-2</v>
      </c>
      <c r="F17" s="157">
        <v>2</v>
      </c>
      <c r="G17" s="157">
        <v>19</v>
      </c>
      <c r="H17" s="147">
        <v>7.4891604256996452E-2</v>
      </c>
      <c r="I17" s="157">
        <v>0</v>
      </c>
      <c r="J17" s="157">
        <v>0</v>
      </c>
      <c r="K17" s="147">
        <v>0</v>
      </c>
    </row>
    <row r="18" spans="1:11">
      <c r="A18" s="155">
        <v>46102</v>
      </c>
      <c r="B18" s="156">
        <v>12</v>
      </c>
      <c r="C18" s="157">
        <v>0</v>
      </c>
      <c r="D18" s="157">
        <v>19</v>
      </c>
      <c r="E18" s="147">
        <v>7.4891604256996452E-2</v>
      </c>
      <c r="F18" s="157">
        <v>0</v>
      </c>
      <c r="G18" s="157">
        <v>19</v>
      </c>
      <c r="H18" s="147">
        <v>7.4891604256996452E-2</v>
      </c>
      <c r="I18" s="157">
        <v>0</v>
      </c>
      <c r="J18" s="157">
        <v>0</v>
      </c>
      <c r="K18" s="147">
        <v>0</v>
      </c>
    </row>
    <row r="19" spans="1:11">
      <c r="A19" s="155">
        <v>46103</v>
      </c>
      <c r="B19" s="156">
        <v>13</v>
      </c>
      <c r="C19" s="157">
        <v>0</v>
      </c>
      <c r="D19" s="157">
        <v>19</v>
      </c>
      <c r="E19" s="147">
        <v>7.4891604256996452E-2</v>
      </c>
      <c r="F19" s="157">
        <v>0</v>
      </c>
      <c r="G19" s="157">
        <v>19</v>
      </c>
      <c r="H19" s="147">
        <v>7.4891604256996452E-2</v>
      </c>
      <c r="I19" s="157">
        <v>0</v>
      </c>
      <c r="J19" s="157">
        <v>0</v>
      </c>
      <c r="K19" s="147">
        <v>0</v>
      </c>
    </row>
    <row r="20" spans="1:11">
      <c r="A20" s="155">
        <v>46104</v>
      </c>
      <c r="B20" s="156">
        <v>13</v>
      </c>
      <c r="C20" s="157">
        <v>2</v>
      </c>
      <c r="D20" s="157">
        <v>21</v>
      </c>
      <c r="E20" s="147">
        <v>8.2774931020890813E-2</v>
      </c>
      <c r="F20" s="157">
        <v>2</v>
      </c>
      <c r="G20" s="157">
        <v>21</v>
      </c>
      <c r="H20" s="147">
        <v>8.2774931020890813E-2</v>
      </c>
      <c r="I20" s="157">
        <v>0</v>
      </c>
      <c r="J20" s="157">
        <v>0</v>
      </c>
      <c r="K20" s="147">
        <v>0</v>
      </c>
    </row>
    <row r="21" spans="1:11">
      <c r="A21" s="155">
        <v>46105</v>
      </c>
      <c r="B21" s="156">
        <v>13</v>
      </c>
      <c r="C21" s="157">
        <v>2</v>
      </c>
      <c r="D21" s="157">
        <v>23</v>
      </c>
      <c r="E21" s="147">
        <v>9.0658257784785187E-2</v>
      </c>
      <c r="F21" s="157">
        <v>2</v>
      </c>
      <c r="G21" s="157">
        <v>23</v>
      </c>
      <c r="H21" s="147">
        <v>9.0658257784785187E-2</v>
      </c>
      <c r="I21" s="157">
        <v>0</v>
      </c>
      <c r="J21" s="157">
        <v>0</v>
      </c>
      <c r="K21" s="147">
        <v>0</v>
      </c>
    </row>
    <row r="22" spans="1:11">
      <c r="A22" s="155">
        <v>46106</v>
      </c>
      <c r="B22" s="156">
        <v>13</v>
      </c>
      <c r="C22" s="157">
        <v>2</v>
      </c>
      <c r="D22" s="157">
        <v>25</v>
      </c>
      <c r="E22" s="147">
        <v>9.8541584548679548E-2</v>
      </c>
      <c r="F22" s="157">
        <v>2</v>
      </c>
      <c r="G22" s="157">
        <v>25</v>
      </c>
      <c r="H22" s="147">
        <v>9.8541584548679548E-2</v>
      </c>
      <c r="I22" s="157">
        <v>0</v>
      </c>
      <c r="J22" s="157">
        <v>0</v>
      </c>
      <c r="K22" s="147">
        <v>0</v>
      </c>
    </row>
    <row r="23" spans="1:11">
      <c r="A23" s="155">
        <v>46107</v>
      </c>
      <c r="B23" s="156">
        <v>13</v>
      </c>
      <c r="C23" s="157">
        <v>5.7</v>
      </c>
      <c r="D23" s="157">
        <v>30.7</v>
      </c>
      <c r="E23" s="147">
        <v>0.12100906582577849</v>
      </c>
      <c r="F23" s="157">
        <v>5.19</v>
      </c>
      <c r="G23" s="157">
        <v>30.19</v>
      </c>
      <c r="H23" s="147">
        <v>0.11899881750098541</v>
      </c>
      <c r="I23" s="157">
        <v>0</v>
      </c>
      <c r="J23" s="157">
        <v>0</v>
      </c>
      <c r="K23" s="147">
        <v>0</v>
      </c>
    </row>
    <row r="24" spans="1:11">
      <c r="A24" s="155">
        <v>46108</v>
      </c>
      <c r="B24" s="156">
        <v>13</v>
      </c>
      <c r="C24" s="157">
        <v>4.7</v>
      </c>
      <c r="D24" s="157">
        <v>35.4</v>
      </c>
      <c r="E24" s="147">
        <v>0.13953488372093023</v>
      </c>
      <c r="F24" s="157">
        <v>4.1900000000000004</v>
      </c>
      <c r="G24" s="157">
        <v>34.380000000000003</v>
      </c>
      <c r="H24" s="147">
        <v>0.13551438707134408</v>
      </c>
      <c r="I24" s="157">
        <v>0</v>
      </c>
      <c r="J24" s="157">
        <v>0</v>
      </c>
      <c r="K24" s="147">
        <v>0</v>
      </c>
    </row>
    <row r="25" spans="1:11">
      <c r="A25" s="155">
        <v>46109</v>
      </c>
      <c r="B25" s="156">
        <v>13</v>
      </c>
      <c r="C25" s="157">
        <v>0</v>
      </c>
      <c r="D25" s="157">
        <v>35.4</v>
      </c>
      <c r="E25" s="147">
        <v>0.13953488372093023</v>
      </c>
      <c r="F25" s="157">
        <v>0</v>
      </c>
      <c r="G25" s="157">
        <v>34.380000000000003</v>
      </c>
      <c r="H25" s="147">
        <v>0.13551438707134408</v>
      </c>
      <c r="I25" s="157">
        <v>0</v>
      </c>
      <c r="J25" s="157">
        <v>0</v>
      </c>
      <c r="K25" s="147">
        <v>0</v>
      </c>
    </row>
    <row r="26" spans="1:11">
      <c r="A26" s="155">
        <v>46110</v>
      </c>
      <c r="B26" s="156">
        <v>14</v>
      </c>
      <c r="C26" s="157">
        <v>0</v>
      </c>
      <c r="D26" s="157">
        <v>35.4</v>
      </c>
      <c r="E26" s="147">
        <v>0.13953488372093023</v>
      </c>
      <c r="F26" s="157">
        <v>0</v>
      </c>
      <c r="G26" s="157">
        <v>34.380000000000003</v>
      </c>
      <c r="H26" s="147">
        <v>0.13551438707134408</v>
      </c>
      <c r="I26" s="157">
        <v>0</v>
      </c>
      <c r="J26" s="157">
        <v>0</v>
      </c>
      <c r="K26" s="147">
        <v>0</v>
      </c>
    </row>
    <row r="27" spans="1:11">
      <c r="A27" s="155">
        <v>46111</v>
      </c>
      <c r="B27" s="156">
        <v>14</v>
      </c>
      <c r="C27" s="157">
        <v>4.7</v>
      </c>
      <c r="D27" s="157">
        <v>40.1</v>
      </c>
      <c r="E27" s="147">
        <v>0.15806070161608199</v>
      </c>
      <c r="F27" s="157">
        <v>4.1900000000000004</v>
      </c>
      <c r="G27" s="157">
        <v>38.57</v>
      </c>
      <c r="H27" s="147">
        <v>0.15202995664170277</v>
      </c>
      <c r="I27" s="157">
        <v>0</v>
      </c>
      <c r="J27" s="157">
        <v>0</v>
      </c>
      <c r="K27" s="147">
        <v>0</v>
      </c>
    </row>
    <row r="28" spans="1:11">
      <c r="A28" s="155">
        <v>46112</v>
      </c>
      <c r="B28" s="156">
        <v>14</v>
      </c>
      <c r="C28" s="157">
        <v>1</v>
      </c>
      <c r="D28" s="157">
        <v>41.1</v>
      </c>
      <c r="E28" s="147">
        <v>0.16200236499802917</v>
      </c>
      <c r="F28" s="157">
        <v>1</v>
      </c>
      <c r="G28" s="157">
        <v>39.57</v>
      </c>
      <c r="H28" s="147">
        <v>0.15597162002364995</v>
      </c>
      <c r="I28" s="157">
        <v>0</v>
      </c>
      <c r="J28" s="157">
        <v>0</v>
      </c>
      <c r="K28" s="147">
        <v>0</v>
      </c>
    </row>
    <row r="29" spans="1:11">
      <c r="A29" s="155">
        <v>46113</v>
      </c>
      <c r="B29" s="156">
        <v>14</v>
      </c>
      <c r="C29" s="157">
        <v>1</v>
      </c>
      <c r="D29" s="157">
        <v>42.1</v>
      </c>
      <c r="E29" s="147">
        <v>0.16594402837997635</v>
      </c>
      <c r="F29" s="157">
        <v>1</v>
      </c>
      <c r="G29" s="157">
        <v>40.57</v>
      </c>
      <c r="H29" s="147">
        <v>0.15991328340559713</v>
      </c>
      <c r="I29" s="157">
        <v>0</v>
      </c>
      <c r="J29" s="157">
        <v>0</v>
      </c>
      <c r="K29" s="147">
        <v>0</v>
      </c>
    </row>
    <row r="30" spans="1:11">
      <c r="A30" s="155">
        <v>46114</v>
      </c>
      <c r="B30" s="156">
        <v>14</v>
      </c>
      <c r="C30" s="157">
        <v>2.2000000000000002</v>
      </c>
      <c r="D30" s="157">
        <v>44.3</v>
      </c>
      <c r="E30" s="147">
        <v>0.17461568782026018</v>
      </c>
      <c r="F30" s="157">
        <v>3.2</v>
      </c>
      <c r="G30" s="157">
        <v>43.77</v>
      </c>
      <c r="H30" s="147">
        <v>0.17252660622782814</v>
      </c>
      <c r="I30" s="157">
        <v>0</v>
      </c>
      <c r="J30" s="157">
        <v>0</v>
      </c>
      <c r="K30" s="147">
        <v>0</v>
      </c>
    </row>
    <row r="31" spans="1:11">
      <c r="A31" s="155">
        <v>46115</v>
      </c>
      <c r="B31" s="156">
        <v>14</v>
      </c>
      <c r="C31" s="157">
        <v>2</v>
      </c>
      <c r="D31" s="157">
        <v>46.3</v>
      </c>
      <c r="E31" s="147">
        <v>0.18249901458415455</v>
      </c>
      <c r="F31" s="157">
        <v>3</v>
      </c>
      <c r="G31" s="157">
        <v>46.77</v>
      </c>
      <c r="H31" s="147">
        <v>0.18435159637366968</v>
      </c>
      <c r="I31" s="157">
        <v>0</v>
      </c>
      <c r="J31" s="157">
        <v>0</v>
      </c>
      <c r="K31" s="147">
        <v>0</v>
      </c>
    </row>
    <row r="32" spans="1:11">
      <c r="A32" s="155">
        <v>46116</v>
      </c>
      <c r="B32" s="156">
        <v>14</v>
      </c>
      <c r="C32" s="157">
        <v>0</v>
      </c>
      <c r="D32" s="157">
        <v>46.3</v>
      </c>
      <c r="E32" s="147">
        <v>0.18249901458415455</v>
      </c>
      <c r="F32" s="157">
        <v>0</v>
      </c>
      <c r="G32" s="157">
        <v>46.77</v>
      </c>
      <c r="H32" s="147">
        <v>0.18435159637366968</v>
      </c>
      <c r="I32" s="157">
        <v>0</v>
      </c>
      <c r="J32" s="157">
        <v>0</v>
      </c>
      <c r="K32" s="147">
        <v>0</v>
      </c>
    </row>
    <row r="33" spans="1:11">
      <c r="A33" s="155">
        <v>46117</v>
      </c>
      <c r="B33" s="156">
        <v>15</v>
      </c>
      <c r="C33" s="157">
        <v>0</v>
      </c>
      <c r="D33" s="157">
        <v>46.3</v>
      </c>
      <c r="E33" s="147">
        <v>0.18249901458415455</v>
      </c>
      <c r="F33" s="157">
        <v>0</v>
      </c>
      <c r="G33" s="157">
        <v>46.77</v>
      </c>
      <c r="H33" s="147">
        <v>0.18435159637366968</v>
      </c>
      <c r="I33" s="157">
        <v>0</v>
      </c>
      <c r="J33" s="157">
        <v>0</v>
      </c>
      <c r="K33" s="147">
        <v>0</v>
      </c>
    </row>
    <row r="34" spans="1:11">
      <c r="A34" s="155">
        <v>46118</v>
      </c>
      <c r="B34" s="156">
        <v>15</v>
      </c>
      <c r="C34" s="157">
        <v>3</v>
      </c>
      <c r="D34" s="157">
        <v>49.3</v>
      </c>
      <c r="E34" s="147">
        <v>0.19432400472999609</v>
      </c>
      <c r="F34" s="157">
        <v>3</v>
      </c>
      <c r="G34" s="157">
        <v>49.77</v>
      </c>
      <c r="H34" s="147">
        <v>0.19617658651951123</v>
      </c>
      <c r="I34" s="157">
        <v>0</v>
      </c>
      <c r="J34" s="157">
        <v>0</v>
      </c>
      <c r="K34" s="147">
        <v>0</v>
      </c>
    </row>
    <row r="35" spans="1:11">
      <c r="A35" s="155">
        <v>46119</v>
      </c>
      <c r="B35" s="156">
        <v>15</v>
      </c>
      <c r="C35" s="157">
        <v>2</v>
      </c>
      <c r="D35" s="157">
        <v>51.3</v>
      </c>
      <c r="E35" s="147">
        <v>0.20220733149389045</v>
      </c>
      <c r="F35" s="157">
        <v>9.6999999999999993</v>
      </c>
      <c r="G35" s="157">
        <v>59.47</v>
      </c>
      <c r="H35" s="147">
        <v>0.23441072132439891</v>
      </c>
      <c r="I35" s="157">
        <v>0</v>
      </c>
      <c r="J35" s="157">
        <v>0</v>
      </c>
      <c r="K35" s="147">
        <v>0</v>
      </c>
    </row>
    <row r="36" spans="1:11">
      <c r="A36" s="155">
        <v>46120</v>
      </c>
      <c r="B36" s="156">
        <v>15</v>
      </c>
      <c r="C36" s="157">
        <v>2</v>
      </c>
      <c r="D36" s="157">
        <v>53.3</v>
      </c>
      <c r="E36" s="147">
        <v>0.21009065825778481</v>
      </c>
      <c r="F36" s="157">
        <v>0</v>
      </c>
      <c r="G36" s="157">
        <v>59.47</v>
      </c>
      <c r="H36" s="147">
        <v>0.23441072132439891</v>
      </c>
      <c r="I36" s="157">
        <v>0</v>
      </c>
      <c r="J36" s="157">
        <v>0</v>
      </c>
      <c r="K36" s="147">
        <v>0</v>
      </c>
    </row>
    <row r="37" spans="1:11">
      <c r="A37" s="155">
        <v>46121</v>
      </c>
      <c r="B37" s="156">
        <v>15</v>
      </c>
      <c r="C37" s="157">
        <v>2</v>
      </c>
      <c r="D37" s="157">
        <v>55.3</v>
      </c>
      <c r="E37" s="147">
        <v>0.21797398502167917</v>
      </c>
      <c r="F37" s="157">
        <v>0</v>
      </c>
      <c r="G37" s="157">
        <v>59.47</v>
      </c>
      <c r="H37" s="147">
        <v>0.23441072132439891</v>
      </c>
      <c r="I37" s="157">
        <v>0</v>
      </c>
      <c r="J37" s="157">
        <v>0</v>
      </c>
      <c r="K37" s="147">
        <v>0</v>
      </c>
    </row>
    <row r="38" spans="1:11">
      <c r="A38" s="155">
        <v>46122</v>
      </c>
      <c r="B38" s="156">
        <v>15</v>
      </c>
      <c r="C38" s="157">
        <v>2</v>
      </c>
      <c r="D38" s="157">
        <v>57.3</v>
      </c>
      <c r="E38" s="147">
        <v>0.22585731178557353</v>
      </c>
      <c r="F38" s="157">
        <v>0</v>
      </c>
      <c r="G38" s="157">
        <v>59.47</v>
      </c>
      <c r="H38" s="147">
        <v>0.23441072132439891</v>
      </c>
      <c r="I38" s="157">
        <v>0</v>
      </c>
      <c r="J38" s="157">
        <v>0</v>
      </c>
      <c r="K38" s="147">
        <v>0</v>
      </c>
    </row>
    <row r="39" spans="1:11">
      <c r="A39" s="155">
        <v>46123</v>
      </c>
      <c r="B39" s="156">
        <v>15</v>
      </c>
      <c r="C39" s="157">
        <v>0</v>
      </c>
      <c r="D39" s="157">
        <v>57.3</v>
      </c>
      <c r="E39" s="147">
        <v>0.22585731178557353</v>
      </c>
      <c r="F39" s="157">
        <v>0</v>
      </c>
      <c r="G39" s="157">
        <v>59.47</v>
      </c>
      <c r="H39" s="147">
        <v>0.23441072132439891</v>
      </c>
      <c r="I39" s="157">
        <v>0</v>
      </c>
      <c r="J39" s="157">
        <v>0</v>
      </c>
      <c r="K39" s="147">
        <v>0</v>
      </c>
    </row>
    <row r="40" spans="1:11">
      <c r="A40" s="155">
        <v>46124</v>
      </c>
      <c r="B40" s="156">
        <v>16</v>
      </c>
      <c r="C40" s="157">
        <v>0</v>
      </c>
      <c r="D40" s="157">
        <v>57.3</v>
      </c>
      <c r="E40" s="147">
        <v>0.22585731178557353</v>
      </c>
      <c r="F40" s="157">
        <v>0</v>
      </c>
      <c r="G40" s="157">
        <v>59.47</v>
      </c>
      <c r="H40" s="147">
        <v>0.23441072132439891</v>
      </c>
      <c r="I40" s="157">
        <v>0</v>
      </c>
      <c r="J40" s="157">
        <v>0</v>
      </c>
      <c r="K40" s="147">
        <v>0</v>
      </c>
    </row>
    <row r="41" spans="1:11">
      <c r="A41" s="155">
        <v>46125</v>
      </c>
      <c r="B41" s="156">
        <v>16</v>
      </c>
      <c r="C41" s="157">
        <v>2</v>
      </c>
      <c r="D41" s="157">
        <v>59.3</v>
      </c>
      <c r="E41" s="147">
        <v>0.23374063854946792</v>
      </c>
      <c r="F41" s="157">
        <v>0</v>
      </c>
      <c r="G41" s="157">
        <v>59.47</v>
      </c>
      <c r="H41" s="147">
        <v>0.23441072132439891</v>
      </c>
      <c r="I41" s="157">
        <v>0</v>
      </c>
      <c r="J41" s="157">
        <v>0</v>
      </c>
      <c r="K41" s="147">
        <v>0</v>
      </c>
    </row>
    <row r="42" spans="1:11">
      <c r="A42" s="155">
        <v>46126</v>
      </c>
      <c r="B42" s="156">
        <v>16</v>
      </c>
      <c r="C42" s="157">
        <v>1</v>
      </c>
      <c r="D42" s="157">
        <v>60.3</v>
      </c>
      <c r="E42" s="147">
        <v>0.2376823019314151</v>
      </c>
      <c r="F42" s="157">
        <v>0</v>
      </c>
      <c r="G42" s="157">
        <v>59.47</v>
      </c>
      <c r="H42" s="147">
        <v>0.23441072132439891</v>
      </c>
      <c r="I42" s="157">
        <v>0</v>
      </c>
      <c r="J42" s="157">
        <v>0</v>
      </c>
      <c r="K42" s="147">
        <v>0</v>
      </c>
    </row>
    <row r="43" spans="1:11">
      <c r="A43" s="155">
        <v>46127</v>
      </c>
      <c r="B43" s="156">
        <v>16</v>
      </c>
      <c r="C43" s="157">
        <v>1</v>
      </c>
      <c r="D43" s="157">
        <v>61.3</v>
      </c>
      <c r="E43" s="147">
        <v>0.24162396531336228</v>
      </c>
      <c r="F43" s="157">
        <v>0</v>
      </c>
      <c r="G43" s="157">
        <v>59.47</v>
      </c>
      <c r="H43" s="147">
        <v>0.23441072132439891</v>
      </c>
      <c r="I43" s="157">
        <v>0</v>
      </c>
      <c r="J43" s="157">
        <v>0</v>
      </c>
      <c r="K43" s="147">
        <v>0</v>
      </c>
    </row>
    <row r="44" spans="1:11">
      <c r="A44" s="155">
        <v>46128</v>
      </c>
      <c r="B44" s="156">
        <v>16</v>
      </c>
      <c r="C44" s="157">
        <v>1</v>
      </c>
      <c r="D44" s="157">
        <v>62.3</v>
      </c>
      <c r="E44" s="147">
        <v>0.24556562869530946</v>
      </c>
      <c r="F44" s="157">
        <v>0</v>
      </c>
      <c r="G44" s="157">
        <v>59.47</v>
      </c>
      <c r="H44" s="147">
        <v>0.23441072132439891</v>
      </c>
      <c r="I44" s="157">
        <v>0</v>
      </c>
      <c r="J44" s="157">
        <v>0</v>
      </c>
      <c r="K44" s="147">
        <v>0</v>
      </c>
    </row>
    <row r="45" spans="1:11">
      <c r="A45" s="155">
        <v>46129</v>
      </c>
      <c r="B45" s="156">
        <v>16</v>
      </c>
      <c r="C45" s="157">
        <v>1</v>
      </c>
      <c r="D45" s="157">
        <v>63.3</v>
      </c>
      <c r="E45" s="147">
        <v>0.24950729207725664</v>
      </c>
      <c r="F45" s="157">
        <v>0</v>
      </c>
      <c r="G45" s="157">
        <v>59.47</v>
      </c>
      <c r="H45" s="147">
        <v>0.23441072132439891</v>
      </c>
      <c r="I45" s="157">
        <v>0</v>
      </c>
      <c r="J45" s="157">
        <v>0</v>
      </c>
      <c r="K45" s="147">
        <v>0</v>
      </c>
    </row>
    <row r="46" spans="1:11">
      <c r="A46" s="155">
        <v>46130</v>
      </c>
      <c r="B46" s="156">
        <v>16</v>
      </c>
      <c r="C46" s="157">
        <v>0</v>
      </c>
      <c r="D46" s="157">
        <v>63.3</v>
      </c>
      <c r="E46" s="147">
        <v>0.24950729207725664</v>
      </c>
      <c r="F46" s="157">
        <v>0</v>
      </c>
      <c r="G46" s="157">
        <v>59.47</v>
      </c>
      <c r="H46" s="147">
        <v>0.23441072132439891</v>
      </c>
      <c r="I46" s="157">
        <v>0</v>
      </c>
      <c r="J46" s="157">
        <v>0</v>
      </c>
      <c r="K46" s="147">
        <v>0</v>
      </c>
    </row>
    <row r="47" spans="1:11">
      <c r="A47" s="155">
        <v>46131</v>
      </c>
      <c r="B47" s="156">
        <v>17</v>
      </c>
      <c r="C47" s="157">
        <v>0</v>
      </c>
      <c r="D47" s="157">
        <v>63.3</v>
      </c>
      <c r="E47" s="147">
        <v>0.24950729207725664</v>
      </c>
      <c r="F47" s="157">
        <v>0</v>
      </c>
      <c r="G47" s="157">
        <v>59.47</v>
      </c>
      <c r="H47" s="147">
        <v>0.23441072132439891</v>
      </c>
      <c r="I47" s="157">
        <v>0</v>
      </c>
      <c r="J47" s="157">
        <v>0</v>
      </c>
      <c r="K47" s="147">
        <v>0</v>
      </c>
    </row>
    <row r="48" spans="1:11">
      <c r="A48" s="155">
        <v>46132</v>
      </c>
      <c r="B48" s="156">
        <v>17</v>
      </c>
      <c r="C48" s="157">
        <v>1</v>
      </c>
      <c r="D48" s="157">
        <v>64.3</v>
      </c>
      <c r="E48" s="147">
        <v>0.25344895545920382</v>
      </c>
      <c r="F48" s="157">
        <v>0</v>
      </c>
      <c r="G48" s="157">
        <v>59.47</v>
      </c>
      <c r="H48" s="147">
        <v>0.23441072132439891</v>
      </c>
      <c r="I48" s="157">
        <v>0</v>
      </c>
      <c r="J48" s="157">
        <v>0</v>
      </c>
      <c r="K48" s="147">
        <v>0</v>
      </c>
    </row>
    <row r="49" spans="1:11">
      <c r="A49" s="155">
        <v>46133</v>
      </c>
      <c r="B49" s="156">
        <v>17</v>
      </c>
      <c r="C49" s="157">
        <v>1</v>
      </c>
      <c r="D49" s="157">
        <v>65.3</v>
      </c>
      <c r="E49" s="147">
        <v>0.257390618841151</v>
      </c>
      <c r="F49" s="157">
        <v>0</v>
      </c>
      <c r="G49" s="157">
        <v>59.47</v>
      </c>
      <c r="H49" s="147">
        <v>0.23441072132439891</v>
      </c>
      <c r="I49" s="157">
        <v>0</v>
      </c>
      <c r="J49" s="157">
        <v>0</v>
      </c>
      <c r="K49" s="147">
        <v>0</v>
      </c>
    </row>
    <row r="50" spans="1:11">
      <c r="A50" s="155">
        <v>46134</v>
      </c>
      <c r="B50" s="156">
        <v>17</v>
      </c>
      <c r="C50" s="157">
        <v>1</v>
      </c>
      <c r="D50" s="157">
        <v>66.3</v>
      </c>
      <c r="E50" s="147">
        <v>0.26133228222309818</v>
      </c>
      <c r="F50" s="157">
        <v>0</v>
      </c>
      <c r="G50" s="157">
        <v>59.47</v>
      </c>
      <c r="H50" s="147">
        <v>0.23441072132439891</v>
      </c>
      <c r="I50" s="157">
        <v>0</v>
      </c>
      <c r="J50" s="157">
        <v>0</v>
      </c>
      <c r="K50" s="147">
        <v>0</v>
      </c>
    </row>
    <row r="51" spans="1:11">
      <c r="A51" s="155">
        <v>46135</v>
      </c>
      <c r="B51" s="156">
        <v>17</v>
      </c>
      <c r="C51" s="157">
        <v>1</v>
      </c>
      <c r="D51" s="157">
        <v>67.3</v>
      </c>
      <c r="E51" s="147">
        <v>0.26527394560504536</v>
      </c>
      <c r="F51" s="157">
        <v>0</v>
      </c>
      <c r="G51" s="157">
        <v>59.47</v>
      </c>
      <c r="H51" s="147">
        <v>0.23441072132439891</v>
      </c>
      <c r="I51" s="157">
        <v>0</v>
      </c>
      <c r="J51" s="157">
        <v>0</v>
      </c>
      <c r="K51" s="147">
        <v>0</v>
      </c>
    </row>
    <row r="52" spans="1:11">
      <c r="A52" s="155">
        <v>46136</v>
      </c>
      <c r="B52" s="156">
        <v>17</v>
      </c>
      <c r="C52" s="157">
        <v>1</v>
      </c>
      <c r="D52" s="157">
        <v>68.3</v>
      </c>
      <c r="E52" s="147">
        <v>0.26921560898699259</v>
      </c>
      <c r="F52" s="157">
        <v>0</v>
      </c>
      <c r="G52" s="157">
        <v>59.47</v>
      </c>
      <c r="H52" s="147">
        <v>0.23441072132439891</v>
      </c>
      <c r="I52" s="157">
        <v>0</v>
      </c>
      <c r="J52" s="157">
        <v>0</v>
      </c>
      <c r="K52" s="147">
        <v>0</v>
      </c>
    </row>
    <row r="53" spans="1:11">
      <c r="A53" s="155">
        <v>46137</v>
      </c>
      <c r="B53" s="156">
        <v>17</v>
      </c>
      <c r="C53" s="157">
        <v>0</v>
      </c>
      <c r="D53" s="157">
        <v>68.3</v>
      </c>
      <c r="E53" s="147">
        <v>0.26921560898699259</v>
      </c>
      <c r="F53" s="157">
        <v>0</v>
      </c>
      <c r="G53" s="157">
        <v>59.47</v>
      </c>
      <c r="H53" s="147">
        <v>0.23441072132439891</v>
      </c>
      <c r="I53" s="157">
        <v>0</v>
      </c>
      <c r="J53" s="157">
        <v>0</v>
      </c>
      <c r="K53" s="147">
        <v>0</v>
      </c>
    </row>
    <row r="54" spans="1:11">
      <c r="A54" s="155">
        <v>46138</v>
      </c>
      <c r="B54" s="156">
        <v>18</v>
      </c>
      <c r="C54" s="157">
        <v>0</v>
      </c>
      <c r="D54" s="157">
        <v>68.3</v>
      </c>
      <c r="E54" s="147">
        <v>0.26921560898699259</v>
      </c>
      <c r="F54" s="157">
        <v>0</v>
      </c>
      <c r="G54" s="157">
        <v>59.47</v>
      </c>
      <c r="H54" s="147">
        <v>0.23441072132439891</v>
      </c>
      <c r="I54" s="157">
        <v>0</v>
      </c>
      <c r="J54" s="157">
        <v>0</v>
      </c>
      <c r="K54" s="147">
        <v>0</v>
      </c>
    </row>
    <row r="55" spans="1:11">
      <c r="A55" s="155">
        <v>46139</v>
      </c>
      <c r="B55" s="156">
        <v>18</v>
      </c>
      <c r="C55" s="157">
        <v>1</v>
      </c>
      <c r="D55" s="157">
        <v>69.3</v>
      </c>
      <c r="E55" s="147">
        <v>0.27315727236893977</v>
      </c>
      <c r="F55" s="157">
        <v>0</v>
      </c>
      <c r="G55" s="157">
        <v>59.47</v>
      </c>
      <c r="H55" s="147">
        <v>0.23441072132439891</v>
      </c>
      <c r="I55" s="157">
        <v>0</v>
      </c>
      <c r="J55" s="157">
        <v>0</v>
      </c>
      <c r="K55" s="147">
        <v>0</v>
      </c>
    </row>
    <row r="56" spans="1:11">
      <c r="A56" s="155">
        <v>46140</v>
      </c>
      <c r="B56" s="156">
        <v>18</v>
      </c>
      <c r="C56" s="157">
        <v>0</v>
      </c>
      <c r="D56" s="157">
        <v>69.3</v>
      </c>
      <c r="E56" s="147">
        <v>0.27315727236893977</v>
      </c>
      <c r="F56" s="157">
        <v>0</v>
      </c>
      <c r="G56" s="157">
        <v>59.47</v>
      </c>
      <c r="H56" s="147">
        <v>0.23441072132439891</v>
      </c>
      <c r="I56" s="157">
        <v>0</v>
      </c>
      <c r="J56" s="157">
        <v>0</v>
      </c>
      <c r="K56" s="147">
        <v>0</v>
      </c>
    </row>
    <row r="57" spans="1:11">
      <c r="A57" s="155">
        <v>46141</v>
      </c>
      <c r="B57" s="156">
        <v>18</v>
      </c>
      <c r="C57" s="157">
        <v>0</v>
      </c>
      <c r="D57" s="157">
        <v>69.3</v>
      </c>
      <c r="E57" s="147">
        <v>0.27315727236893977</v>
      </c>
      <c r="F57" s="157">
        <v>0</v>
      </c>
      <c r="G57" s="157">
        <v>59.47</v>
      </c>
      <c r="H57" s="147">
        <v>0.23441072132439891</v>
      </c>
      <c r="I57" s="157">
        <v>0</v>
      </c>
      <c r="J57" s="157">
        <v>0</v>
      </c>
      <c r="K57" s="147">
        <v>0</v>
      </c>
    </row>
    <row r="58" spans="1:11">
      <c r="A58" s="155">
        <v>46142</v>
      </c>
      <c r="B58" s="156">
        <v>18</v>
      </c>
      <c r="C58" s="157">
        <v>1.2</v>
      </c>
      <c r="D58" s="157">
        <v>70.5</v>
      </c>
      <c r="E58" s="147">
        <v>0.2778872684272764</v>
      </c>
      <c r="F58" s="157">
        <v>0</v>
      </c>
      <c r="G58" s="157">
        <v>59.47</v>
      </c>
      <c r="H58" s="147">
        <v>0.23441072132439891</v>
      </c>
      <c r="I58" s="157">
        <v>0</v>
      </c>
      <c r="J58" s="157">
        <v>0</v>
      </c>
      <c r="K58" s="147">
        <v>0</v>
      </c>
    </row>
    <row r="59" spans="1:11">
      <c r="A59" s="155">
        <v>46143</v>
      </c>
      <c r="B59" s="156">
        <v>18</v>
      </c>
      <c r="C59" s="157">
        <v>1</v>
      </c>
      <c r="D59" s="157">
        <v>71.5</v>
      </c>
      <c r="E59" s="147">
        <v>0.28182893180922358</v>
      </c>
      <c r="F59" s="157">
        <v>0</v>
      </c>
      <c r="G59" s="157">
        <v>59.47</v>
      </c>
      <c r="H59" s="147">
        <v>0.23441072132439891</v>
      </c>
      <c r="I59" s="157">
        <v>0</v>
      </c>
      <c r="J59" s="157">
        <v>0</v>
      </c>
      <c r="K59" s="147">
        <v>0</v>
      </c>
    </row>
    <row r="60" spans="1:11">
      <c r="A60" s="155">
        <v>46144</v>
      </c>
      <c r="B60" s="156">
        <v>18</v>
      </c>
      <c r="C60" s="157">
        <v>0</v>
      </c>
      <c r="D60" s="157">
        <v>71.5</v>
      </c>
      <c r="E60" s="147">
        <v>0.28182893180922358</v>
      </c>
      <c r="F60" s="157">
        <v>0</v>
      </c>
      <c r="G60" s="157">
        <v>59.47</v>
      </c>
      <c r="H60" s="147">
        <v>0.23441072132439891</v>
      </c>
      <c r="I60" s="157">
        <v>0</v>
      </c>
      <c r="J60" s="157">
        <v>0</v>
      </c>
      <c r="K60" s="147">
        <v>0</v>
      </c>
    </row>
    <row r="61" spans="1:11">
      <c r="A61" s="155">
        <v>46145</v>
      </c>
      <c r="B61" s="156">
        <v>19</v>
      </c>
      <c r="C61" s="157">
        <v>0</v>
      </c>
      <c r="D61" s="157">
        <v>71.5</v>
      </c>
      <c r="E61" s="147">
        <v>0.28182893180922358</v>
      </c>
      <c r="F61" s="157">
        <v>0</v>
      </c>
      <c r="G61" s="157">
        <v>59.47</v>
      </c>
      <c r="H61" s="147">
        <v>0.23441072132439891</v>
      </c>
      <c r="I61" s="157">
        <v>0</v>
      </c>
      <c r="J61" s="157">
        <v>0</v>
      </c>
      <c r="K61" s="147">
        <v>0</v>
      </c>
    </row>
    <row r="62" spans="1:11">
      <c r="A62" s="155">
        <v>46146</v>
      </c>
      <c r="B62" s="156">
        <v>19</v>
      </c>
      <c r="C62" s="157">
        <v>3</v>
      </c>
      <c r="D62" s="157">
        <v>74.5</v>
      </c>
      <c r="E62" s="147">
        <v>0.29365392195506512</v>
      </c>
      <c r="F62" s="157">
        <v>0</v>
      </c>
      <c r="G62" s="157">
        <v>59.47</v>
      </c>
      <c r="H62" s="147">
        <v>0.23441072132439891</v>
      </c>
      <c r="I62" s="157">
        <v>0</v>
      </c>
      <c r="J62" s="157">
        <v>0</v>
      </c>
      <c r="K62" s="147">
        <v>0</v>
      </c>
    </row>
    <row r="63" spans="1:11">
      <c r="A63" s="155">
        <v>46147</v>
      </c>
      <c r="B63" s="156">
        <v>19</v>
      </c>
      <c r="C63" s="157">
        <v>0</v>
      </c>
      <c r="D63" s="157">
        <v>74.5</v>
      </c>
      <c r="E63" s="147">
        <v>0.29365392195506512</v>
      </c>
      <c r="F63" s="157">
        <v>0</v>
      </c>
      <c r="G63" s="157">
        <v>59.47</v>
      </c>
      <c r="H63" s="147">
        <v>0.23441072132439891</v>
      </c>
      <c r="I63" s="157">
        <v>0</v>
      </c>
      <c r="J63" s="157">
        <v>0</v>
      </c>
      <c r="K63" s="147">
        <v>0</v>
      </c>
    </row>
    <row r="64" spans="1:11">
      <c r="A64" s="155">
        <v>46148</v>
      </c>
      <c r="B64" s="156">
        <v>19</v>
      </c>
      <c r="C64" s="157">
        <v>3</v>
      </c>
      <c r="D64" s="157">
        <v>77.5</v>
      </c>
      <c r="E64" s="147">
        <v>0.30547891210090666</v>
      </c>
      <c r="F64" s="157">
        <v>0</v>
      </c>
      <c r="G64" s="157">
        <v>59.47</v>
      </c>
      <c r="H64" s="147">
        <v>0.23441072132439891</v>
      </c>
      <c r="I64" s="157">
        <v>0</v>
      </c>
      <c r="J64" s="157">
        <v>0</v>
      </c>
      <c r="K64" s="147">
        <v>0</v>
      </c>
    </row>
    <row r="65" spans="1:11">
      <c r="A65" s="155">
        <v>46149</v>
      </c>
      <c r="B65" s="156">
        <v>19</v>
      </c>
      <c r="C65" s="157">
        <v>5</v>
      </c>
      <c r="D65" s="157">
        <v>82.5</v>
      </c>
      <c r="E65" s="147">
        <v>0.32518722901064256</v>
      </c>
      <c r="F65" s="157">
        <v>0</v>
      </c>
      <c r="G65" s="157">
        <v>59.47</v>
      </c>
      <c r="H65" s="147">
        <v>0.23441072132439891</v>
      </c>
      <c r="I65" s="157">
        <v>0</v>
      </c>
      <c r="J65" s="157">
        <v>0</v>
      </c>
      <c r="K65" s="147">
        <v>0</v>
      </c>
    </row>
    <row r="66" spans="1:11">
      <c r="A66" s="155">
        <v>46150</v>
      </c>
      <c r="B66" s="156">
        <v>19</v>
      </c>
      <c r="C66" s="157">
        <v>4</v>
      </c>
      <c r="D66" s="157">
        <v>86.5</v>
      </c>
      <c r="E66" s="147">
        <v>0.34095388253843129</v>
      </c>
      <c r="F66" s="157">
        <v>0</v>
      </c>
      <c r="G66" s="157">
        <v>59.47</v>
      </c>
      <c r="H66" s="147">
        <v>0.23441072132439891</v>
      </c>
      <c r="I66" s="157">
        <v>0</v>
      </c>
      <c r="J66" s="157">
        <v>0</v>
      </c>
      <c r="K66" s="147">
        <v>0</v>
      </c>
    </row>
    <row r="67" spans="1:11">
      <c r="A67" s="155">
        <v>46151</v>
      </c>
      <c r="B67" s="156">
        <v>19</v>
      </c>
      <c r="C67" s="157">
        <v>0</v>
      </c>
      <c r="D67" s="157">
        <v>86.5</v>
      </c>
      <c r="E67" s="147">
        <v>0.34095388253843129</v>
      </c>
      <c r="F67" s="157">
        <v>0</v>
      </c>
      <c r="G67" s="157">
        <v>59.47</v>
      </c>
      <c r="H67" s="147">
        <v>0.23441072132439891</v>
      </c>
      <c r="I67" s="157">
        <v>0</v>
      </c>
      <c r="J67" s="157">
        <v>0</v>
      </c>
      <c r="K67" s="147">
        <v>0</v>
      </c>
    </row>
    <row r="68" spans="1:11">
      <c r="A68" s="155">
        <v>46152</v>
      </c>
      <c r="B68" s="156">
        <v>20</v>
      </c>
      <c r="C68" s="157">
        <v>0</v>
      </c>
      <c r="D68" s="157">
        <v>86.5</v>
      </c>
      <c r="E68" s="147">
        <v>0.34095388253843129</v>
      </c>
      <c r="F68" s="157">
        <v>0</v>
      </c>
      <c r="G68" s="157">
        <v>59.47</v>
      </c>
      <c r="H68" s="147">
        <v>0.23441072132439891</v>
      </c>
      <c r="I68" s="157">
        <v>0</v>
      </c>
      <c r="J68" s="157">
        <v>0</v>
      </c>
      <c r="K68" s="147">
        <v>0</v>
      </c>
    </row>
    <row r="69" spans="1:11">
      <c r="A69" s="155">
        <v>46153</v>
      </c>
      <c r="B69" s="156">
        <v>20</v>
      </c>
      <c r="C69" s="157">
        <v>3</v>
      </c>
      <c r="D69" s="157">
        <v>89.5</v>
      </c>
      <c r="E69" s="147">
        <v>0.35277887268427283</v>
      </c>
      <c r="F69" s="157">
        <v>0</v>
      </c>
      <c r="G69" s="157">
        <v>59.47</v>
      </c>
      <c r="H69" s="147">
        <v>0.23441072132439891</v>
      </c>
      <c r="I69" s="157">
        <v>0</v>
      </c>
      <c r="J69" s="157">
        <v>0</v>
      </c>
      <c r="K69" s="147">
        <v>0</v>
      </c>
    </row>
    <row r="70" spans="1:11">
      <c r="A70" s="155">
        <v>46154</v>
      </c>
      <c r="B70" s="156">
        <v>20</v>
      </c>
      <c r="C70" s="157">
        <v>3</v>
      </c>
      <c r="D70" s="157">
        <v>92.5</v>
      </c>
      <c r="E70" s="147">
        <v>0.36460386283011437</v>
      </c>
      <c r="F70" s="157">
        <v>0</v>
      </c>
      <c r="G70" s="157">
        <v>59.47</v>
      </c>
      <c r="H70" s="147">
        <v>0.23441072132439891</v>
      </c>
      <c r="I70" s="157">
        <v>0</v>
      </c>
      <c r="J70" s="157">
        <v>0</v>
      </c>
      <c r="K70" s="147">
        <v>0</v>
      </c>
    </row>
    <row r="71" spans="1:11">
      <c r="A71" s="155">
        <v>46155</v>
      </c>
      <c r="B71" s="156">
        <v>20</v>
      </c>
      <c r="C71" s="157">
        <v>3</v>
      </c>
      <c r="D71" s="157">
        <v>95.5</v>
      </c>
      <c r="E71" s="147">
        <v>0.37642885297595591</v>
      </c>
      <c r="F71" s="157">
        <v>0</v>
      </c>
      <c r="G71" s="157">
        <v>59.47</v>
      </c>
      <c r="H71" s="147">
        <v>0.23441072132439891</v>
      </c>
      <c r="I71" s="157">
        <v>0</v>
      </c>
      <c r="J71" s="157">
        <v>0</v>
      </c>
      <c r="K71" s="147">
        <v>0</v>
      </c>
    </row>
    <row r="72" spans="1:11">
      <c r="A72" s="155">
        <v>46156</v>
      </c>
      <c r="B72" s="156">
        <v>20</v>
      </c>
      <c r="C72" s="157">
        <v>3</v>
      </c>
      <c r="D72" s="157">
        <v>98.5</v>
      </c>
      <c r="E72" s="147">
        <v>0.38825384312179745</v>
      </c>
      <c r="F72" s="157">
        <v>0</v>
      </c>
      <c r="G72" s="157">
        <v>59.47</v>
      </c>
      <c r="H72" s="147">
        <v>0.23441072132439891</v>
      </c>
      <c r="I72" s="157">
        <v>0</v>
      </c>
      <c r="J72" s="157">
        <v>0</v>
      </c>
      <c r="K72" s="147">
        <v>0</v>
      </c>
    </row>
    <row r="73" spans="1:11">
      <c r="A73" s="155">
        <v>46157</v>
      </c>
      <c r="B73" s="156">
        <v>20</v>
      </c>
      <c r="C73" s="157">
        <v>3</v>
      </c>
      <c r="D73" s="157">
        <v>101.5</v>
      </c>
      <c r="E73" s="147">
        <v>0.40007883326763904</v>
      </c>
      <c r="F73" s="157">
        <v>0</v>
      </c>
      <c r="G73" s="157">
        <v>59.47</v>
      </c>
      <c r="H73" s="147">
        <v>0.23441072132439891</v>
      </c>
      <c r="I73" s="157">
        <v>0</v>
      </c>
      <c r="J73" s="157">
        <v>0</v>
      </c>
      <c r="K73" s="147">
        <v>0</v>
      </c>
    </row>
    <row r="74" spans="1:11">
      <c r="A74" s="155">
        <v>46158</v>
      </c>
      <c r="B74" s="156">
        <v>20</v>
      </c>
      <c r="C74" s="157">
        <v>0</v>
      </c>
      <c r="D74" s="157">
        <v>101.5</v>
      </c>
      <c r="E74" s="147">
        <v>0.40007883326763904</v>
      </c>
      <c r="F74" s="157">
        <v>0</v>
      </c>
      <c r="G74" s="157">
        <v>59.47</v>
      </c>
      <c r="H74" s="147">
        <v>0.23441072132439891</v>
      </c>
      <c r="I74" s="157">
        <v>0</v>
      </c>
      <c r="J74" s="157">
        <v>0</v>
      </c>
      <c r="K74" s="147">
        <v>0</v>
      </c>
    </row>
    <row r="75" spans="1:11">
      <c r="A75" s="155">
        <v>46159</v>
      </c>
      <c r="B75" s="156">
        <v>21</v>
      </c>
      <c r="C75" s="157">
        <v>0</v>
      </c>
      <c r="D75" s="157">
        <v>101.5</v>
      </c>
      <c r="E75" s="147">
        <v>0.40007883326763904</v>
      </c>
      <c r="F75" s="157">
        <v>0</v>
      </c>
      <c r="G75" s="157">
        <v>59.47</v>
      </c>
      <c r="H75" s="147">
        <v>0.23441072132439891</v>
      </c>
      <c r="I75" s="157">
        <v>0</v>
      </c>
      <c r="J75" s="157">
        <v>0</v>
      </c>
      <c r="K75" s="147">
        <v>0</v>
      </c>
    </row>
    <row r="76" spans="1:11">
      <c r="A76" s="155">
        <v>46160</v>
      </c>
      <c r="B76" s="156">
        <v>21</v>
      </c>
      <c r="C76" s="157">
        <v>4</v>
      </c>
      <c r="D76" s="157">
        <v>105.5</v>
      </c>
      <c r="E76" s="147">
        <v>0.41584548679542777</v>
      </c>
      <c r="F76" s="157">
        <v>0</v>
      </c>
      <c r="G76" s="157">
        <v>59.47</v>
      </c>
      <c r="H76" s="147">
        <v>0.23441072132439891</v>
      </c>
      <c r="I76" s="157">
        <v>0</v>
      </c>
      <c r="J76" s="157">
        <v>0</v>
      </c>
      <c r="K76" s="147">
        <v>0</v>
      </c>
    </row>
    <row r="77" spans="1:11">
      <c r="A77" s="155">
        <v>46161</v>
      </c>
      <c r="B77" s="156">
        <v>21</v>
      </c>
      <c r="C77" s="157">
        <v>3</v>
      </c>
      <c r="D77" s="157">
        <v>108.5</v>
      </c>
      <c r="E77" s="147">
        <v>0.42767047694126931</v>
      </c>
      <c r="F77" s="157">
        <v>0</v>
      </c>
      <c r="G77" s="157">
        <v>59.47</v>
      </c>
      <c r="H77" s="147">
        <v>0.23441072132439891</v>
      </c>
      <c r="I77" s="157">
        <v>0</v>
      </c>
      <c r="J77" s="157">
        <v>0</v>
      </c>
      <c r="K77" s="147">
        <v>0</v>
      </c>
    </row>
    <row r="78" spans="1:11">
      <c r="A78" s="155">
        <v>46162</v>
      </c>
      <c r="B78" s="156">
        <v>21</v>
      </c>
      <c r="C78" s="157">
        <v>3</v>
      </c>
      <c r="D78" s="157">
        <v>111.5</v>
      </c>
      <c r="E78" s="147">
        <v>0.43949546708711085</v>
      </c>
      <c r="F78" s="157">
        <v>0</v>
      </c>
      <c r="G78" s="157">
        <v>59.47</v>
      </c>
      <c r="H78" s="147">
        <v>0.23441072132439891</v>
      </c>
      <c r="I78" s="157">
        <v>0</v>
      </c>
      <c r="J78" s="157">
        <v>0</v>
      </c>
      <c r="K78" s="147">
        <v>0</v>
      </c>
    </row>
    <row r="79" spans="1:11">
      <c r="A79" s="155">
        <v>46163</v>
      </c>
      <c r="B79" s="156">
        <v>21</v>
      </c>
      <c r="C79" s="157">
        <v>4</v>
      </c>
      <c r="D79" s="157">
        <v>115.5</v>
      </c>
      <c r="E79" s="147">
        <v>0.45526212061489957</v>
      </c>
      <c r="F79" s="157">
        <v>0</v>
      </c>
      <c r="G79" s="157">
        <v>59.47</v>
      </c>
      <c r="H79" s="147">
        <v>0.23441072132439891</v>
      </c>
      <c r="I79" s="157">
        <v>0</v>
      </c>
      <c r="J79" s="157">
        <v>0</v>
      </c>
      <c r="K79" s="147">
        <v>0</v>
      </c>
    </row>
    <row r="80" spans="1:11">
      <c r="A80" s="155">
        <v>46164</v>
      </c>
      <c r="B80" s="156">
        <v>21</v>
      </c>
      <c r="C80" s="157">
        <v>4</v>
      </c>
      <c r="D80" s="157">
        <v>119.5</v>
      </c>
      <c r="E80" s="147">
        <v>0.47102877414268829</v>
      </c>
      <c r="F80" s="157">
        <v>0</v>
      </c>
      <c r="G80" s="157">
        <v>59.47</v>
      </c>
      <c r="H80" s="147">
        <v>0.23441072132439891</v>
      </c>
      <c r="I80" s="157">
        <v>0</v>
      </c>
      <c r="J80" s="157">
        <v>0</v>
      </c>
      <c r="K80" s="147">
        <v>0</v>
      </c>
    </row>
    <row r="81" spans="1:11">
      <c r="A81" s="155">
        <v>46165</v>
      </c>
      <c r="B81" s="156">
        <v>21</v>
      </c>
      <c r="C81" s="157">
        <v>0</v>
      </c>
      <c r="D81" s="157">
        <v>119.5</v>
      </c>
      <c r="E81" s="147">
        <v>0.47102877414268829</v>
      </c>
      <c r="F81" s="157">
        <v>0</v>
      </c>
      <c r="G81" s="157">
        <v>59.47</v>
      </c>
      <c r="H81" s="147">
        <v>0.23441072132439891</v>
      </c>
      <c r="I81" s="157">
        <v>0</v>
      </c>
      <c r="J81" s="157">
        <v>0</v>
      </c>
      <c r="K81" s="147">
        <v>0</v>
      </c>
    </row>
    <row r="82" spans="1:11">
      <c r="A82" s="155">
        <v>46166</v>
      </c>
      <c r="B82" s="156">
        <v>22</v>
      </c>
      <c r="C82" s="157">
        <v>0</v>
      </c>
      <c r="D82" s="157">
        <v>119.5</v>
      </c>
      <c r="E82" s="147">
        <v>0.47102877414268829</v>
      </c>
      <c r="F82" s="157">
        <v>0</v>
      </c>
      <c r="G82" s="157">
        <v>59.47</v>
      </c>
      <c r="H82" s="147">
        <v>0.23441072132439891</v>
      </c>
      <c r="I82" s="157">
        <v>0</v>
      </c>
      <c r="J82" s="157">
        <v>0</v>
      </c>
      <c r="K82" s="147">
        <v>0</v>
      </c>
    </row>
    <row r="83" spans="1:11">
      <c r="A83" s="155">
        <v>46167</v>
      </c>
      <c r="B83" s="156">
        <v>22</v>
      </c>
      <c r="C83" s="157">
        <v>0</v>
      </c>
      <c r="D83" s="157">
        <v>119.5</v>
      </c>
      <c r="E83" s="147">
        <v>0.47102877414268829</v>
      </c>
      <c r="F83" s="157">
        <v>0</v>
      </c>
      <c r="G83" s="157">
        <v>59.47</v>
      </c>
      <c r="H83" s="147">
        <v>0.23441072132439891</v>
      </c>
      <c r="I83" s="157">
        <v>0</v>
      </c>
      <c r="J83" s="157">
        <v>0</v>
      </c>
      <c r="K83" s="147">
        <v>0</v>
      </c>
    </row>
    <row r="84" spans="1:11">
      <c r="A84" s="155">
        <v>46168</v>
      </c>
      <c r="B84" s="156">
        <v>22</v>
      </c>
      <c r="C84" s="157">
        <v>4</v>
      </c>
      <c r="D84" s="157">
        <v>123.5</v>
      </c>
      <c r="E84" s="147">
        <v>0.48679542767047701</v>
      </c>
      <c r="F84" s="157">
        <v>0</v>
      </c>
      <c r="G84" s="157">
        <v>59.47</v>
      </c>
      <c r="H84" s="147">
        <v>0.23441072132439891</v>
      </c>
      <c r="I84" s="157">
        <v>0</v>
      </c>
      <c r="J84" s="157">
        <v>0</v>
      </c>
      <c r="K84" s="147">
        <v>0</v>
      </c>
    </row>
    <row r="85" spans="1:11">
      <c r="A85" s="155">
        <v>46169</v>
      </c>
      <c r="B85" s="156">
        <v>22</v>
      </c>
      <c r="C85" s="157">
        <v>4</v>
      </c>
      <c r="D85" s="157">
        <v>127.5</v>
      </c>
      <c r="E85" s="147">
        <v>0.50256208119826573</v>
      </c>
      <c r="F85" s="157">
        <v>0</v>
      </c>
      <c r="G85" s="157">
        <v>59.47</v>
      </c>
      <c r="H85" s="147">
        <v>0.23441072132439891</v>
      </c>
      <c r="I85" s="157">
        <v>0</v>
      </c>
      <c r="J85" s="157">
        <v>0</v>
      </c>
      <c r="K85" s="147">
        <v>0</v>
      </c>
    </row>
    <row r="86" spans="1:11">
      <c r="A86" s="155">
        <v>46170</v>
      </c>
      <c r="B86" s="156">
        <v>22</v>
      </c>
      <c r="C86" s="157">
        <v>4</v>
      </c>
      <c r="D86" s="157">
        <v>131.5</v>
      </c>
      <c r="E86" s="147">
        <v>0.51832873472605445</v>
      </c>
      <c r="F86" s="157">
        <v>0</v>
      </c>
      <c r="G86" s="157">
        <v>59.47</v>
      </c>
      <c r="H86" s="147">
        <v>0.23441072132439891</v>
      </c>
      <c r="I86" s="157">
        <v>0</v>
      </c>
      <c r="J86" s="157">
        <v>0</v>
      </c>
      <c r="K86" s="147">
        <v>0</v>
      </c>
    </row>
    <row r="87" spans="1:11">
      <c r="A87" s="155">
        <v>46171</v>
      </c>
      <c r="B87" s="156">
        <v>22</v>
      </c>
      <c r="C87" s="157">
        <v>4</v>
      </c>
      <c r="D87" s="157">
        <v>135.5</v>
      </c>
      <c r="E87" s="147">
        <v>0.53409538825384317</v>
      </c>
      <c r="F87" s="157">
        <v>0</v>
      </c>
      <c r="G87" s="157">
        <v>59.47</v>
      </c>
      <c r="H87" s="147">
        <v>0.23441072132439891</v>
      </c>
      <c r="I87" s="157">
        <v>0</v>
      </c>
      <c r="J87" s="157">
        <v>0</v>
      </c>
      <c r="K87" s="147">
        <v>0</v>
      </c>
    </row>
    <row r="88" spans="1:11">
      <c r="A88" s="155">
        <v>46172</v>
      </c>
      <c r="B88" s="156">
        <v>22</v>
      </c>
      <c r="C88" s="157">
        <v>0</v>
      </c>
      <c r="D88" s="157">
        <v>135.5</v>
      </c>
      <c r="E88" s="147">
        <v>0.53409538825384317</v>
      </c>
      <c r="F88" s="157">
        <v>0</v>
      </c>
      <c r="G88" s="157">
        <v>59.47</v>
      </c>
      <c r="H88" s="147">
        <v>0.23441072132439891</v>
      </c>
      <c r="I88" s="157">
        <v>0</v>
      </c>
      <c r="J88" s="157">
        <v>0</v>
      </c>
      <c r="K88" s="147">
        <v>0</v>
      </c>
    </row>
    <row r="89" spans="1:11">
      <c r="A89" s="155">
        <v>46173</v>
      </c>
      <c r="B89" s="156">
        <v>23</v>
      </c>
      <c r="C89" s="157">
        <v>0</v>
      </c>
      <c r="D89" s="157">
        <v>135.5</v>
      </c>
      <c r="E89" s="147">
        <v>0.53409538825384317</v>
      </c>
      <c r="F89" s="157">
        <v>0</v>
      </c>
      <c r="G89" s="157">
        <v>59.47</v>
      </c>
      <c r="H89" s="147">
        <v>0.23441072132439891</v>
      </c>
      <c r="I89" s="157">
        <v>0</v>
      </c>
      <c r="J89" s="157">
        <v>0</v>
      </c>
      <c r="K89" s="147">
        <v>0</v>
      </c>
    </row>
    <row r="90" spans="1:11">
      <c r="A90" s="155">
        <v>46174</v>
      </c>
      <c r="B90" s="156">
        <v>23</v>
      </c>
      <c r="C90" s="157">
        <v>4</v>
      </c>
      <c r="D90" s="157">
        <v>139.5</v>
      </c>
      <c r="E90" s="147">
        <v>0.54986204178163189</v>
      </c>
      <c r="F90" s="157">
        <v>0</v>
      </c>
      <c r="G90" s="157">
        <v>59.47</v>
      </c>
      <c r="H90" s="147">
        <v>0.23441072132439891</v>
      </c>
      <c r="I90" s="157">
        <v>0</v>
      </c>
      <c r="J90" s="157">
        <v>0</v>
      </c>
      <c r="K90" s="147">
        <v>0</v>
      </c>
    </row>
    <row r="91" spans="1:11">
      <c r="A91" s="155">
        <v>46175</v>
      </c>
      <c r="B91" s="156">
        <v>23</v>
      </c>
      <c r="C91" s="157">
        <v>4</v>
      </c>
      <c r="D91" s="157">
        <v>143.5</v>
      </c>
      <c r="E91" s="147">
        <v>0.56562869530942061</v>
      </c>
      <c r="F91" s="157">
        <v>0</v>
      </c>
      <c r="G91" s="157">
        <v>59.47</v>
      </c>
      <c r="H91" s="147">
        <v>0.23441072132439891</v>
      </c>
      <c r="I91" s="157">
        <v>0</v>
      </c>
      <c r="J91" s="157">
        <v>0</v>
      </c>
      <c r="K91" s="147">
        <v>0</v>
      </c>
    </row>
    <row r="92" spans="1:11">
      <c r="A92" s="155">
        <v>46176</v>
      </c>
      <c r="B92" s="156">
        <v>23</v>
      </c>
      <c r="C92" s="157">
        <v>0</v>
      </c>
      <c r="D92" s="157">
        <v>143.5</v>
      </c>
      <c r="E92" s="147">
        <v>0.56562869530942061</v>
      </c>
      <c r="F92" s="157">
        <v>0</v>
      </c>
      <c r="G92" s="157">
        <v>59.47</v>
      </c>
      <c r="H92" s="147">
        <v>0.23441072132439891</v>
      </c>
      <c r="I92" s="157">
        <v>0</v>
      </c>
      <c r="J92" s="157">
        <v>0</v>
      </c>
      <c r="K92" s="147">
        <v>0</v>
      </c>
    </row>
    <row r="93" spans="1:11">
      <c r="A93" s="155">
        <v>46177</v>
      </c>
      <c r="B93" s="156">
        <v>23</v>
      </c>
      <c r="C93" s="157">
        <v>4.2</v>
      </c>
      <c r="D93" s="157">
        <v>147.69999999999999</v>
      </c>
      <c r="E93" s="147">
        <v>0.58218368151359867</v>
      </c>
      <c r="F93" s="157">
        <v>0</v>
      </c>
      <c r="G93" s="157">
        <v>59.47</v>
      </c>
      <c r="H93" s="147">
        <v>0.23441072132439891</v>
      </c>
      <c r="I93" s="157">
        <v>0</v>
      </c>
      <c r="J93" s="157">
        <v>0</v>
      </c>
      <c r="K93" s="147">
        <v>0</v>
      </c>
    </row>
    <row r="94" spans="1:11">
      <c r="A94" s="155">
        <v>46178</v>
      </c>
      <c r="B94" s="156">
        <v>23</v>
      </c>
      <c r="C94" s="157">
        <v>4</v>
      </c>
      <c r="D94" s="157">
        <v>151.69999999999999</v>
      </c>
      <c r="E94" s="147">
        <v>0.59795033504138739</v>
      </c>
      <c r="F94" s="157">
        <v>0</v>
      </c>
      <c r="G94" s="157">
        <v>59.47</v>
      </c>
      <c r="H94" s="147">
        <v>0.23441072132439891</v>
      </c>
      <c r="I94" s="157">
        <v>0</v>
      </c>
      <c r="J94" s="157">
        <v>0</v>
      </c>
      <c r="K94" s="147">
        <v>0</v>
      </c>
    </row>
    <row r="95" spans="1:11">
      <c r="A95" s="155">
        <v>46179</v>
      </c>
      <c r="B95" s="156">
        <v>23</v>
      </c>
      <c r="C95" s="157">
        <v>0</v>
      </c>
      <c r="D95" s="157">
        <v>151.69999999999999</v>
      </c>
      <c r="E95" s="147">
        <v>0.59795033504138739</v>
      </c>
      <c r="F95" s="157">
        <v>0</v>
      </c>
      <c r="G95" s="157">
        <v>59.47</v>
      </c>
      <c r="H95" s="147">
        <v>0.23441072132439891</v>
      </c>
      <c r="I95" s="157">
        <v>0</v>
      </c>
      <c r="J95" s="157">
        <v>0</v>
      </c>
      <c r="K95" s="147">
        <v>0</v>
      </c>
    </row>
    <row r="96" spans="1:11">
      <c r="A96" s="155">
        <v>46180</v>
      </c>
      <c r="B96" s="156">
        <v>24</v>
      </c>
      <c r="C96" s="157">
        <v>0</v>
      </c>
      <c r="D96" s="157">
        <v>151.69999999999999</v>
      </c>
      <c r="E96" s="147">
        <v>0.59795033504138739</v>
      </c>
      <c r="F96" s="157">
        <v>0</v>
      </c>
      <c r="G96" s="157">
        <v>59.47</v>
      </c>
      <c r="H96" s="147">
        <v>0.23441072132439891</v>
      </c>
      <c r="I96" s="157">
        <v>0</v>
      </c>
      <c r="J96" s="157">
        <v>0</v>
      </c>
      <c r="K96" s="147">
        <v>0</v>
      </c>
    </row>
    <row r="97" spans="1:11">
      <c r="A97" s="155">
        <v>46181</v>
      </c>
      <c r="B97" s="156">
        <v>24</v>
      </c>
      <c r="C97" s="157">
        <v>4</v>
      </c>
      <c r="D97" s="157">
        <v>155.69999999999999</v>
      </c>
      <c r="E97" s="147">
        <v>0.61371698856917622</v>
      </c>
      <c r="F97" s="157">
        <v>0</v>
      </c>
      <c r="G97" s="157">
        <v>59.47</v>
      </c>
      <c r="H97" s="147">
        <v>0.23441072132439891</v>
      </c>
      <c r="I97" s="157">
        <v>0</v>
      </c>
      <c r="J97" s="157">
        <v>0</v>
      </c>
      <c r="K97" s="147">
        <v>0</v>
      </c>
    </row>
    <row r="98" spans="1:11">
      <c r="A98" s="155">
        <v>46182</v>
      </c>
      <c r="B98" s="156">
        <v>24</v>
      </c>
      <c r="C98" s="157">
        <v>4</v>
      </c>
      <c r="D98" s="157">
        <v>159.69999999999999</v>
      </c>
      <c r="E98" s="147">
        <v>0.62948364209696495</v>
      </c>
      <c r="F98" s="157">
        <v>0</v>
      </c>
      <c r="G98" s="157">
        <v>59.47</v>
      </c>
      <c r="H98" s="147">
        <v>0.23441072132439891</v>
      </c>
      <c r="I98" s="157">
        <v>0</v>
      </c>
      <c r="J98" s="157">
        <v>0</v>
      </c>
      <c r="K98" s="147">
        <v>0</v>
      </c>
    </row>
    <row r="99" spans="1:11">
      <c r="A99" s="155">
        <v>46183</v>
      </c>
      <c r="B99" s="156">
        <v>24</v>
      </c>
      <c r="C99" s="157">
        <v>4</v>
      </c>
      <c r="D99" s="157">
        <v>163.69999999999999</v>
      </c>
      <c r="E99" s="147">
        <v>0.64525029562475367</v>
      </c>
      <c r="F99" s="157">
        <v>0</v>
      </c>
      <c r="G99" s="157">
        <v>59.47</v>
      </c>
      <c r="H99" s="147">
        <v>0.23441072132439891</v>
      </c>
      <c r="I99" s="157">
        <v>0</v>
      </c>
      <c r="J99" s="157">
        <v>0</v>
      </c>
      <c r="K99" s="147">
        <v>0</v>
      </c>
    </row>
    <row r="100" spans="1:11">
      <c r="A100" s="155">
        <v>46184</v>
      </c>
      <c r="B100" s="156">
        <v>24</v>
      </c>
      <c r="C100" s="157">
        <v>4</v>
      </c>
      <c r="D100" s="157">
        <v>167.7</v>
      </c>
      <c r="E100" s="147">
        <v>0.66101694915254239</v>
      </c>
      <c r="F100" s="157">
        <v>0</v>
      </c>
      <c r="G100" s="157">
        <v>59.47</v>
      </c>
      <c r="H100" s="147">
        <v>0.23441072132439891</v>
      </c>
      <c r="I100" s="157">
        <v>0</v>
      </c>
      <c r="J100" s="157">
        <v>0</v>
      </c>
      <c r="K100" s="147">
        <v>0</v>
      </c>
    </row>
    <row r="101" spans="1:11">
      <c r="A101" s="155">
        <v>46185</v>
      </c>
      <c r="B101" s="156">
        <v>24</v>
      </c>
      <c r="C101" s="157">
        <v>4</v>
      </c>
      <c r="D101" s="157">
        <v>171.7</v>
      </c>
      <c r="E101" s="147">
        <v>0.67678360268033111</v>
      </c>
      <c r="F101" s="157">
        <v>0</v>
      </c>
      <c r="G101" s="157">
        <v>59.47</v>
      </c>
      <c r="H101" s="147">
        <v>0.23441072132439891</v>
      </c>
      <c r="I101" s="157">
        <v>0</v>
      </c>
      <c r="J101" s="157">
        <v>0</v>
      </c>
      <c r="K101" s="147">
        <v>0</v>
      </c>
    </row>
    <row r="102" spans="1:11">
      <c r="A102" s="155">
        <v>46186</v>
      </c>
      <c r="B102" s="156">
        <v>24</v>
      </c>
      <c r="C102" s="157">
        <v>0</v>
      </c>
      <c r="D102" s="157">
        <v>171.7</v>
      </c>
      <c r="E102" s="147">
        <v>0.67678360268033111</v>
      </c>
      <c r="F102" s="157">
        <v>0</v>
      </c>
      <c r="G102" s="157">
        <v>59.47</v>
      </c>
      <c r="H102" s="147">
        <v>0.23441072132439891</v>
      </c>
      <c r="I102" s="157">
        <v>0</v>
      </c>
      <c r="J102" s="157">
        <v>0</v>
      </c>
      <c r="K102" s="147">
        <v>0</v>
      </c>
    </row>
    <row r="103" spans="1:11">
      <c r="A103" s="155">
        <v>46187</v>
      </c>
      <c r="B103" s="156">
        <v>25</v>
      </c>
      <c r="C103" s="157">
        <v>0</v>
      </c>
      <c r="D103" s="157">
        <v>171.7</v>
      </c>
      <c r="E103" s="147">
        <v>0.67678360268033111</v>
      </c>
      <c r="F103" s="157">
        <v>0</v>
      </c>
      <c r="G103" s="157">
        <v>59.47</v>
      </c>
      <c r="H103" s="147">
        <v>0.23441072132439891</v>
      </c>
      <c r="I103" s="157">
        <v>0</v>
      </c>
      <c r="J103" s="157">
        <v>0</v>
      </c>
      <c r="K103" s="147">
        <v>0</v>
      </c>
    </row>
    <row r="104" spans="1:11">
      <c r="A104" s="155">
        <v>46188</v>
      </c>
      <c r="B104" s="156">
        <v>25</v>
      </c>
      <c r="C104" s="157">
        <v>4</v>
      </c>
      <c r="D104" s="157">
        <v>175.7</v>
      </c>
      <c r="E104" s="147">
        <v>0.69255025620811983</v>
      </c>
      <c r="F104" s="157">
        <v>0</v>
      </c>
      <c r="G104" s="157">
        <v>59.47</v>
      </c>
      <c r="H104" s="147">
        <v>0.23441072132439891</v>
      </c>
      <c r="I104" s="157">
        <v>0</v>
      </c>
      <c r="J104" s="157">
        <v>0</v>
      </c>
      <c r="K104" s="147">
        <v>0</v>
      </c>
    </row>
    <row r="105" spans="1:11">
      <c r="A105" s="155">
        <v>46189</v>
      </c>
      <c r="B105" s="156">
        <v>25</v>
      </c>
      <c r="C105" s="157">
        <v>4</v>
      </c>
      <c r="D105" s="157">
        <v>179.7</v>
      </c>
      <c r="E105" s="147">
        <v>0.70831690973590855</v>
      </c>
      <c r="F105" s="157">
        <v>0</v>
      </c>
      <c r="G105" s="157">
        <v>59.47</v>
      </c>
      <c r="H105" s="147">
        <v>0.23441072132439891</v>
      </c>
      <c r="I105" s="157">
        <v>0</v>
      </c>
      <c r="J105" s="157">
        <v>0</v>
      </c>
      <c r="K105" s="147">
        <v>0</v>
      </c>
    </row>
    <row r="106" spans="1:11">
      <c r="A106" s="155">
        <v>46190</v>
      </c>
      <c r="B106" s="156">
        <v>25</v>
      </c>
      <c r="C106" s="157">
        <v>4</v>
      </c>
      <c r="D106" s="157">
        <v>183.7</v>
      </c>
      <c r="E106" s="147">
        <v>0.72408356326369727</v>
      </c>
      <c r="F106" s="157">
        <v>0</v>
      </c>
      <c r="G106" s="157">
        <v>59.47</v>
      </c>
      <c r="H106" s="147">
        <v>0.23441072132439891</v>
      </c>
      <c r="I106" s="157">
        <v>0</v>
      </c>
      <c r="J106" s="157">
        <v>0</v>
      </c>
      <c r="K106" s="147">
        <v>0</v>
      </c>
    </row>
    <row r="107" spans="1:11">
      <c r="A107" s="155">
        <v>46191</v>
      </c>
      <c r="B107" s="156">
        <v>25</v>
      </c>
      <c r="C107" s="157">
        <v>5</v>
      </c>
      <c r="D107" s="157">
        <v>188.7</v>
      </c>
      <c r="E107" s="147">
        <v>0.74379188017343323</v>
      </c>
      <c r="F107" s="157">
        <v>0</v>
      </c>
      <c r="G107" s="157">
        <v>59.47</v>
      </c>
      <c r="H107" s="147">
        <v>0.23441072132439891</v>
      </c>
      <c r="I107" s="157">
        <v>0</v>
      </c>
      <c r="J107" s="157">
        <v>0</v>
      </c>
      <c r="K107" s="147">
        <v>0</v>
      </c>
    </row>
    <row r="108" spans="1:11">
      <c r="A108" s="155">
        <v>46192</v>
      </c>
      <c r="B108" s="156">
        <v>25</v>
      </c>
      <c r="C108" s="157">
        <v>5</v>
      </c>
      <c r="D108" s="157">
        <v>193.7</v>
      </c>
      <c r="E108" s="147">
        <v>0.76350019708316907</v>
      </c>
      <c r="F108" s="157">
        <v>0</v>
      </c>
      <c r="G108" s="157">
        <v>59.47</v>
      </c>
      <c r="H108" s="147">
        <v>0.23441072132439891</v>
      </c>
      <c r="I108" s="157">
        <v>0</v>
      </c>
      <c r="J108" s="157">
        <v>0</v>
      </c>
      <c r="K108" s="147">
        <v>0</v>
      </c>
    </row>
    <row r="109" spans="1:11">
      <c r="A109" s="155">
        <v>46193</v>
      </c>
      <c r="B109" s="156">
        <v>25</v>
      </c>
      <c r="C109" s="157">
        <v>0</v>
      </c>
      <c r="D109" s="157">
        <v>193.7</v>
      </c>
      <c r="E109" s="147">
        <v>0.76350019708316907</v>
      </c>
      <c r="F109" s="157">
        <v>0</v>
      </c>
      <c r="G109" s="157">
        <v>59.47</v>
      </c>
      <c r="H109" s="147">
        <v>0.23441072132439891</v>
      </c>
      <c r="I109" s="157">
        <v>0</v>
      </c>
      <c r="J109" s="157">
        <v>0</v>
      </c>
      <c r="K109" s="147">
        <v>0</v>
      </c>
    </row>
    <row r="110" spans="1:11">
      <c r="A110" s="155">
        <v>46194</v>
      </c>
      <c r="B110" s="156">
        <v>26</v>
      </c>
      <c r="C110" s="157">
        <v>0</v>
      </c>
      <c r="D110" s="157">
        <v>193.7</v>
      </c>
      <c r="E110" s="147">
        <v>0.76350019708316907</v>
      </c>
      <c r="F110" s="157">
        <v>0</v>
      </c>
      <c r="G110" s="157">
        <v>59.47</v>
      </c>
      <c r="H110" s="147">
        <v>0.23441072132439891</v>
      </c>
      <c r="I110" s="157">
        <v>0</v>
      </c>
      <c r="J110" s="157">
        <v>0</v>
      </c>
      <c r="K110" s="147">
        <v>0</v>
      </c>
    </row>
    <row r="111" spans="1:11">
      <c r="A111" s="155">
        <v>46195</v>
      </c>
      <c r="B111" s="156">
        <v>26</v>
      </c>
      <c r="C111" s="157">
        <v>5</v>
      </c>
      <c r="D111" s="157">
        <v>198.7</v>
      </c>
      <c r="E111" s="147">
        <v>0.78320851399290503</v>
      </c>
      <c r="F111" s="157">
        <v>0</v>
      </c>
      <c r="G111" s="157">
        <v>59.47</v>
      </c>
      <c r="H111" s="147">
        <v>0.23441072132439891</v>
      </c>
      <c r="I111" s="157">
        <v>0</v>
      </c>
      <c r="J111" s="157">
        <v>0</v>
      </c>
      <c r="K111" s="147">
        <v>0</v>
      </c>
    </row>
    <row r="112" spans="1:11">
      <c r="A112" s="155">
        <v>46196</v>
      </c>
      <c r="B112" s="156">
        <v>26</v>
      </c>
      <c r="C112" s="157">
        <v>5</v>
      </c>
      <c r="D112" s="157">
        <v>203.7</v>
      </c>
      <c r="E112" s="147">
        <v>0.80291683090264088</v>
      </c>
      <c r="F112" s="157">
        <v>0</v>
      </c>
      <c r="G112" s="157">
        <v>59.47</v>
      </c>
      <c r="H112" s="147">
        <v>0.23441072132439891</v>
      </c>
      <c r="I112" s="157">
        <v>0</v>
      </c>
      <c r="J112" s="157">
        <v>0</v>
      </c>
      <c r="K112" s="147">
        <v>0</v>
      </c>
    </row>
    <row r="113" spans="1:11">
      <c r="A113" s="155">
        <v>46197</v>
      </c>
      <c r="B113" s="156">
        <v>26</v>
      </c>
      <c r="C113" s="157">
        <v>5</v>
      </c>
      <c r="D113" s="157">
        <v>208.7</v>
      </c>
      <c r="E113" s="147">
        <v>0.82262514781237683</v>
      </c>
      <c r="F113" s="157">
        <v>0</v>
      </c>
      <c r="G113" s="157">
        <v>59.47</v>
      </c>
      <c r="H113" s="147">
        <v>0.23441072132439891</v>
      </c>
      <c r="I113" s="157">
        <v>0</v>
      </c>
      <c r="J113" s="157">
        <v>0</v>
      </c>
      <c r="K113" s="147">
        <v>0</v>
      </c>
    </row>
    <row r="114" spans="1:11">
      <c r="A114" s="155">
        <v>46198</v>
      </c>
      <c r="B114" s="156">
        <v>26</v>
      </c>
      <c r="C114" s="157">
        <v>5</v>
      </c>
      <c r="D114" s="157">
        <v>213.7</v>
      </c>
      <c r="E114" s="147">
        <v>0.84233346472211268</v>
      </c>
      <c r="F114" s="157">
        <v>0</v>
      </c>
      <c r="G114" s="157">
        <v>59.47</v>
      </c>
      <c r="H114" s="147">
        <v>0.23441072132439891</v>
      </c>
      <c r="I114" s="157">
        <v>0</v>
      </c>
      <c r="J114" s="157">
        <v>0</v>
      </c>
      <c r="K114" s="147">
        <v>0</v>
      </c>
    </row>
    <row r="115" spans="1:11">
      <c r="A115" s="155">
        <v>46199</v>
      </c>
      <c r="B115" s="156">
        <v>26</v>
      </c>
      <c r="C115" s="157">
        <v>4</v>
      </c>
      <c r="D115" s="157">
        <v>217.7</v>
      </c>
      <c r="E115" s="147">
        <v>0.8581001182499014</v>
      </c>
      <c r="F115" s="157">
        <v>0</v>
      </c>
      <c r="G115" s="157">
        <v>59.47</v>
      </c>
      <c r="H115" s="147">
        <v>0.23441072132439891</v>
      </c>
      <c r="I115" s="157">
        <v>0</v>
      </c>
      <c r="J115" s="157">
        <v>0</v>
      </c>
      <c r="K115" s="147">
        <v>0</v>
      </c>
    </row>
    <row r="116" spans="1:11">
      <c r="A116" s="155">
        <v>46200</v>
      </c>
      <c r="B116" s="156">
        <v>26</v>
      </c>
      <c r="C116" s="157">
        <v>0</v>
      </c>
      <c r="D116" s="157">
        <v>217.7</v>
      </c>
      <c r="E116" s="147">
        <v>0.8581001182499014</v>
      </c>
      <c r="F116" s="157">
        <v>0</v>
      </c>
      <c r="G116" s="157">
        <v>59.47</v>
      </c>
      <c r="H116" s="147">
        <v>0.23441072132439891</v>
      </c>
      <c r="I116" s="157">
        <v>0</v>
      </c>
      <c r="J116" s="157">
        <v>0</v>
      </c>
      <c r="K116" s="147">
        <v>0</v>
      </c>
    </row>
    <row r="117" spans="1:11">
      <c r="A117" s="155">
        <v>46201</v>
      </c>
      <c r="B117" s="156">
        <v>27</v>
      </c>
      <c r="C117" s="157">
        <v>0</v>
      </c>
      <c r="D117" s="157">
        <v>217.7</v>
      </c>
      <c r="E117" s="147">
        <v>0.8581001182499014</v>
      </c>
      <c r="F117" s="157">
        <v>0</v>
      </c>
      <c r="G117" s="157">
        <v>59.47</v>
      </c>
      <c r="H117" s="147">
        <v>0.23441072132439891</v>
      </c>
      <c r="I117" s="157">
        <v>0</v>
      </c>
      <c r="J117" s="157">
        <v>0</v>
      </c>
      <c r="K117" s="147">
        <v>0</v>
      </c>
    </row>
    <row r="118" spans="1:11">
      <c r="A118" s="155">
        <v>46202</v>
      </c>
      <c r="B118" s="156">
        <v>27</v>
      </c>
      <c r="C118" s="157">
        <v>4</v>
      </c>
      <c r="D118" s="157">
        <v>221.7</v>
      </c>
      <c r="E118" s="147">
        <v>0.87386677177769023</v>
      </c>
      <c r="F118" s="157">
        <v>0</v>
      </c>
      <c r="G118" s="157">
        <v>59.47</v>
      </c>
      <c r="H118" s="147">
        <v>0.23441072132439891</v>
      </c>
      <c r="I118" s="157">
        <v>0</v>
      </c>
      <c r="J118" s="157">
        <v>0</v>
      </c>
      <c r="K118" s="147">
        <v>0</v>
      </c>
    </row>
    <row r="119" spans="1:11">
      <c r="A119" s="155">
        <v>46203</v>
      </c>
      <c r="B119" s="156">
        <v>27</v>
      </c>
      <c r="C119" s="157">
        <v>1</v>
      </c>
      <c r="D119" s="157">
        <v>222.7</v>
      </c>
      <c r="E119" s="147">
        <v>0.87780843515963736</v>
      </c>
      <c r="F119" s="157">
        <v>0</v>
      </c>
      <c r="G119" s="157">
        <v>59.47</v>
      </c>
      <c r="H119" s="147">
        <v>0.23441072132439891</v>
      </c>
      <c r="I119" s="157">
        <v>0</v>
      </c>
      <c r="J119" s="157">
        <v>0</v>
      </c>
      <c r="K119" s="147">
        <v>0</v>
      </c>
    </row>
    <row r="120" spans="1:11">
      <c r="A120" s="155">
        <v>46204</v>
      </c>
      <c r="B120" s="156">
        <v>27</v>
      </c>
      <c r="C120" s="157">
        <v>1</v>
      </c>
      <c r="D120" s="157">
        <v>223.7</v>
      </c>
      <c r="E120" s="147">
        <v>0.88175009854158459</v>
      </c>
      <c r="F120" s="157">
        <v>0</v>
      </c>
      <c r="G120" s="157">
        <v>59.47</v>
      </c>
      <c r="H120" s="147">
        <v>0.23441072132439891</v>
      </c>
      <c r="I120" s="157">
        <v>0</v>
      </c>
      <c r="J120" s="157">
        <v>0</v>
      </c>
      <c r="K120" s="147">
        <v>0</v>
      </c>
    </row>
    <row r="121" spans="1:11">
      <c r="A121" s="155">
        <v>46205</v>
      </c>
      <c r="B121" s="156">
        <v>27</v>
      </c>
      <c r="C121" s="157">
        <v>1</v>
      </c>
      <c r="D121" s="157">
        <v>224.7</v>
      </c>
      <c r="E121" s="147">
        <v>0.88569176192353172</v>
      </c>
      <c r="F121" s="157">
        <v>0</v>
      </c>
      <c r="G121" s="157">
        <v>59.47</v>
      </c>
      <c r="H121" s="147">
        <v>0.23441072132439891</v>
      </c>
      <c r="I121" s="157">
        <v>0</v>
      </c>
      <c r="J121" s="157">
        <v>0</v>
      </c>
      <c r="K121" s="147">
        <v>0</v>
      </c>
    </row>
    <row r="122" spans="1:11">
      <c r="A122" s="155">
        <v>46206</v>
      </c>
      <c r="B122" s="156">
        <v>27</v>
      </c>
      <c r="C122" s="157">
        <v>1</v>
      </c>
      <c r="D122" s="157">
        <v>225.7</v>
      </c>
      <c r="E122" s="147">
        <v>0.88963342530547895</v>
      </c>
      <c r="F122" s="157">
        <v>0</v>
      </c>
      <c r="G122" s="157">
        <v>59.47</v>
      </c>
      <c r="H122" s="147">
        <v>0.23441072132439891</v>
      </c>
      <c r="I122" s="157">
        <v>0</v>
      </c>
      <c r="J122" s="157">
        <v>0</v>
      </c>
      <c r="K122" s="147">
        <v>0</v>
      </c>
    </row>
    <row r="123" spans="1:11">
      <c r="A123" s="155">
        <v>46207</v>
      </c>
      <c r="B123" s="156">
        <v>27</v>
      </c>
      <c r="C123" s="157">
        <v>0</v>
      </c>
      <c r="D123" s="157">
        <v>225.7</v>
      </c>
      <c r="E123" s="147">
        <v>0.88963342530547895</v>
      </c>
      <c r="F123" s="157">
        <v>0</v>
      </c>
      <c r="G123" s="157">
        <v>59.47</v>
      </c>
      <c r="H123" s="147">
        <v>0.23441072132439891</v>
      </c>
      <c r="I123" s="157">
        <v>0</v>
      </c>
      <c r="J123" s="157">
        <v>0</v>
      </c>
      <c r="K123" s="147">
        <v>0</v>
      </c>
    </row>
    <row r="124" spans="1:11">
      <c r="A124" s="155">
        <v>46208</v>
      </c>
      <c r="B124" s="156">
        <v>28</v>
      </c>
      <c r="C124" s="157">
        <v>0</v>
      </c>
      <c r="D124" s="157">
        <v>225.7</v>
      </c>
      <c r="E124" s="147">
        <v>0.88963342530547895</v>
      </c>
      <c r="F124" s="157">
        <v>0</v>
      </c>
      <c r="G124" s="157">
        <v>59.47</v>
      </c>
      <c r="H124" s="147">
        <v>0.23441072132439891</v>
      </c>
      <c r="I124" s="157">
        <v>0</v>
      </c>
      <c r="J124" s="157">
        <v>0</v>
      </c>
      <c r="K124" s="147">
        <v>0</v>
      </c>
    </row>
    <row r="125" spans="1:11">
      <c r="A125" s="155">
        <v>46209</v>
      </c>
      <c r="B125" s="156">
        <v>28</v>
      </c>
      <c r="C125" s="157">
        <v>1</v>
      </c>
      <c r="D125" s="157">
        <v>226.7</v>
      </c>
      <c r="E125" s="147">
        <v>0.89357508868742608</v>
      </c>
      <c r="F125" s="157">
        <v>0</v>
      </c>
      <c r="G125" s="157">
        <v>59.47</v>
      </c>
      <c r="H125" s="147">
        <v>0.23441072132439891</v>
      </c>
      <c r="I125" s="157">
        <v>0</v>
      </c>
      <c r="J125" s="157">
        <v>0</v>
      </c>
      <c r="K125" s="147">
        <v>0</v>
      </c>
    </row>
    <row r="126" spans="1:11">
      <c r="A126" s="155">
        <v>46210</v>
      </c>
      <c r="B126" s="156">
        <v>28</v>
      </c>
      <c r="C126" s="157">
        <v>0</v>
      </c>
      <c r="D126" s="157">
        <v>226.7</v>
      </c>
      <c r="E126" s="147">
        <v>0.89357508868742608</v>
      </c>
      <c r="F126" s="157">
        <v>0</v>
      </c>
      <c r="G126" s="157">
        <v>59.47</v>
      </c>
      <c r="H126" s="147">
        <v>0.23441072132439891</v>
      </c>
      <c r="I126" s="157">
        <v>0</v>
      </c>
      <c r="J126" s="157">
        <v>0</v>
      </c>
      <c r="K126" s="147">
        <v>0</v>
      </c>
    </row>
    <row r="127" spans="1:11">
      <c r="A127" s="155">
        <v>46211</v>
      </c>
      <c r="B127" s="156">
        <v>28</v>
      </c>
      <c r="C127" s="157">
        <v>0</v>
      </c>
      <c r="D127" s="157">
        <v>226.7</v>
      </c>
      <c r="E127" s="147">
        <v>0.89357508868742608</v>
      </c>
      <c r="F127" s="157">
        <v>0</v>
      </c>
      <c r="G127" s="157">
        <v>59.47</v>
      </c>
      <c r="H127" s="147">
        <v>0.23441072132439891</v>
      </c>
      <c r="I127" s="157">
        <v>0</v>
      </c>
      <c r="J127" s="157">
        <v>0</v>
      </c>
      <c r="K127" s="147">
        <v>0</v>
      </c>
    </row>
    <row r="128" spans="1:11">
      <c r="A128" s="155">
        <v>46212</v>
      </c>
      <c r="B128" s="156">
        <v>28</v>
      </c>
      <c r="C128" s="157">
        <v>3</v>
      </c>
      <c r="D128" s="157">
        <v>229.7</v>
      </c>
      <c r="E128" s="147">
        <v>0.90540007883326767</v>
      </c>
      <c r="F128" s="157">
        <v>0</v>
      </c>
      <c r="G128" s="157">
        <v>59.47</v>
      </c>
      <c r="H128" s="147">
        <v>0.23441072132439891</v>
      </c>
      <c r="I128" s="157">
        <v>0</v>
      </c>
      <c r="J128" s="157">
        <v>0</v>
      </c>
      <c r="K128" s="147">
        <v>0</v>
      </c>
    </row>
    <row r="129" spans="1:11">
      <c r="A129" s="155">
        <v>46213</v>
      </c>
      <c r="B129" s="156">
        <v>28</v>
      </c>
      <c r="C129" s="157">
        <v>3</v>
      </c>
      <c r="D129" s="157">
        <v>232.7</v>
      </c>
      <c r="E129" s="147">
        <v>0.91722506897910916</v>
      </c>
      <c r="F129" s="157">
        <v>0</v>
      </c>
      <c r="G129" s="157">
        <v>59.47</v>
      </c>
      <c r="H129" s="147">
        <v>0.23441072132439891</v>
      </c>
      <c r="I129" s="157">
        <v>0</v>
      </c>
      <c r="J129" s="157">
        <v>0</v>
      </c>
      <c r="K129" s="147">
        <v>0</v>
      </c>
    </row>
    <row r="130" spans="1:11">
      <c r="A130" s="155">
        <v>46214</v>
      </c>
      <c r="B130" s="156">
        <v>28</v>
      </c>
      <c r="C130" s="157">
        <v>0</v>
      </c>
      <c r="D130" s="157">
        <v>232.7</v>
      </c>
      <c r="E130" s="147">
        <v>0.91722506897910916</v>
      </c>
      <c r="F130" s="157">
        <v>0</v>
      </c>
      <c r="G130" s="157">
        <v>59.47</v>
      </c>
      <c r="H130" s="147">
        <v>0.23441072132439891</v>
      </c>
      <c r="I130" s="157">
        <v>0</v>
      </c>
      <c r="J130" s="157">
        <v>0</v>
      </c>
      <c r="K130" s="147">
        <v>0</v>
      </c>
    </row>
    <row r="131" spans="1:11">
      <c r="A131" s="155">
        <v>46215</v>
      </c>
      <c r="B131" s="156">
        <v>29</v>
      </c>
      <c r="C131" s="157">
        <v>0</v>
      </c>
      <c r="D131" s="157">
        <v>232.7</v>
      </c>
      <c r="E131" s="147">
        <v>0.91722506897910916</v>
      </c>
      <c r="F131" s="157">
        <v>0</v>
      </c>
      <c r="G131" s="157">
        <v>59.47</v>
      </c>
      <c r="H131" s="147">
        <v>0.23441072132439891</v>
      </c>
      <c r="I131" s="157">
        <v>0</v>
      </c>
      <c r="J131" s="157">
        <v>0</v>
      </c>
      <c r="K131" s="147">
        <v>0</v>
      </c>
    </row>
    <row r="132" spans="1:11">
      <c r="A132" s="155">
        <v>46216</v>
      </c>
      <c r="B132" s="156">
        <v>29</v>
      </c>
      <c r="C132" s="157">
        <v>3</v>
      </c>
      <c r="D132" s="157">
        <v>235.7</v>
      </c>
      <c r="E132" s="147">
        <v>0.92905005912495076</v>
      </c>
      <c r="F132" s="157">
        <v>0</v>
      </c>
      <c r="G132" s="157">
        <v>59.47</v>
      </c>
      <c r="H132" s="147">
        <v>0.23441072132439891</v>
      </c>
      <c r="I132" s="157">
        <v>0</v>
      </c>
      <c r="J132" s="157">
        <v>0</v>
      </c>
      <c r="K132" s="147">
        <v>0</v>
      </c>
    </row>
    <row r="133" spans="1:11">
      <c r="A133" s="155">
        <v>46217</v>
      </c>
      <c r="B133" s="156">
        <v>29</v>
      </c>
      <c r="C133" s="157">
        <v>0</v>
      </c>
      <c r="D133" s="157">
        <v>235.7</v>
      </c>
      <c r="E133" s="147">
        <v>0.92905005912495076</v>
      </c>
      <c r="F133" s="157">
        <v>0</v>
      </c>
      <c r="G133" s="157">
        <v>59.47</v>
      </c>
      <c r="H133" s="147">
        <v>0.23441072132439891</v>
      </c>
      <c r="I133" s="157">
        <v>0</v>
      </c>
      <c r="J133" s="157">
        <v>0</v>
      </c>
      <c r="K133" s="147">
        <v>0</v>
      </c>
    </row>
    <row r="134" spans="1:11">
      <c r="A134" s="155">
        <v>46218</v>
      </c>
      <c r="B134" s="156">
        <v>29</v>
      </c>
      <c r="C134" s="157">
        <v>0</v>
      </c>
      <c r="D134" s="157">
        <v>235.7</v>
      </c>
      <c r="E134" s="147">
        <v>0.92905005912495076</v>
      </c>
      <c r="F134" s="157">
        <v>0</v>
      </c>
      <c r="G134" s="157">
        <v>59.47</v>
      </c>
      <c r="H134" s="147">
        <v>0.23441072132439891</v>
      </c>
      <c r="I134" s="157">
        <v>0</v>
      </c>
      <c r="J134" s="157">
        <v>0</v>
      </c>
      <c r="K134" s="147">
        <v>0</v>
      </c>
    </row>
    <row r="135" spans="1:11">
      <c r="A135" s="155">
        <v>46219</v>
      </c>
      <c r="B135" s="156">
        <v>29</v>
      </c>
      <c r="C135" s="157">
        <v>2</v>
      </c>
      <c r="D135" s="157">
        <v>237.7</v>
      </c>
      <c r="E135" s="147">
        <v>0.93693338588884512</v>
      </c>
      <c r="F135" s="157">
        <v>0</v>
      </c>
      <c r="G135" s="157">
        <v>59.47</v>
      </c>
      <c r="H135" s="147">
        <v>0.23441072132439891</v>
      </c>
      <c r="I135" s="157">
        <v>0</v>
      </c>
      <c r="J135" s="157">
        <v>0</v>
      </c>
      <c r="K135" s="147">
        <v>0</v>
      </c>
    </row>
    <row r="136" spans="1:11">
      <c r="A136" s="155">
        <v>46220</v>
      </c>
      <c r="B136" s="156">
        <v>29</v>
      </c>
      <c r="C136" s="157">
        <v>0</v>
      </c>
      <c r="D136" s="157">
        <v>237.7</v>
      </c>
      <c r="E136" s="147">
        <v>0.93693338588884512</v>
      </c>
      <c r="F136" s="157">
        <v>0</v>
      </c>
      <c r="G136" s="157">
        <v>59.47</v>
      </c>
      <c r="H136" s="147">
        <v>0.23441072132439891</v>
      </c>
      <c r="I136" s="157">
        <v>0</v>
      </c>
      <c r="J136" s="157">
        <v>0</v>
      </c>
      <c r="K136" s="147">
        <v>0</v>
      </c>
    </row>
    <row r="137" spans="1:11">
      <c r="A137" s="155">
        <v>46221</v>
      </c>
      <c r="B137" s="156">
        <v>29</v>
      </c>
      <c r="C137" s="157">
        <v>0</v>
      </c>
      <c r="D137" s="157">
        <v>237.7</v>
      </c>
      <c r="E137" s="147">
        <v>0.93693338588884512</v>
      </c>
      <c r="F137" s="157">
        <v>0</v>
      </c>
      <c r="G137" s="157">
        <v>59.47</v>
      </c>
      <c r="H137" s="147">
        <v>0.23441072132439891</v>
      </c>
      <c r="I137" s="157">
        <v>0</v>
      </c>
      <c r="J137" s="157">
        <v>0</v>
      </c>
      <c r="K137" s="147">
        <v>0</v>
      </c>
    </row>
    <row r="138" spans="1:11">
      <c r="A138" s="155">
        <v>46222</v>
      </c>
      <c r="B138" s="156">
        <v>30</v>
      </c>
      <c r="C138" s="157">
        <v>0</v>
      </c>
      <c r="D138" s="157">
        <v>237.7</v>
      </c>
      <c r="E138" s="147">
        <v>0.93693338588884512</v>
      </c>
      <c r="F138" s="157">
        <v>0</v>
      </c>
      <c r="G138" s="157">
        <v>59.47</v>
      </c>
      <c r="H138" s="147">
        <v>0.23441072132439891</v>
      </c>
      <c r="I138" s="157">
        <v>0</v>
      </c>
      <c r="J138" s="157">
        <v>0</v>
      </c>
      <c r="K138" s="147">
        <v>0</v>
      </c>
    </row>
    <row r="139" spans="1:11">
      <c r="A139" s="155">
        <v>46223</v>
      </c>
      <c r="B139" s="156">
        <v>30</v>
      </c>
      <c r="C139" s="157">
        <v>1</v>
      </c>
      <c r="D139" s="157">
        <v>238.7</v>
      </c>
      <c r="E139" s="147">
        <v>0.94087504927079224</v>
      </c>
      <c r="F139" s="157">
        <v>0</v>
      </c>
      <c r="G139" s="157">
        <v>59.47</v>
      </c>
      <c r="H139" s="147">
        <v>0.23441072132439891</v>
      </c>
      <c r="I139" s="157">
        <v>0</v>
      </c>
      <c r="J139" s="157">
        <v>0</v>
      </c>
      <c r="K139" s="147">
        <v>0</v>
      </c>
    </row>
    <row r="140" spans="1:11">
      <c r="A140" s="155">
        <v>46224</v>
      </c>
      <c r="B140" s="156">
        <v>30</v>
      </c>
      <c r="C140" s="157">
        <v>1</v>
      </c>
      <c r="D140" s="157">
        <v>239.7</v>
      </c>
      <c r="E140" s="147">
        <v>0.94481671265273948</v>
      </c>
      <c r="F140" s="157">
        <v>0</v>
      </c>
      <c r="G140" s="157">
        <v>59.47</v>
      </c>
      <c r="H140" s="147">
        <v>0.23441072132439891</v>
      </c>
      <c r="I140" s="157">
        <v>0</v>
      </c>
      <c r="J140" s="157">
        <v>0</v>
      </c>
      <c r="K140" s="147">
        <v>0</v>
      </c>
    </row>
    <row r="141" spans="1:11">
      <c r="A141" s="155">
        <v>46225</v>
      </c>
      <c r="B141" s="156">
        <v>30</v>
      </c>
      <c r="C141" s="157">
        <v>1</v>
      </c>
      <c r="D141" s="157">
        <v>240.7</v>
      </c>
      <c r="E141" s="147">
        <v>0.9487583760346866</v>
      </c>
      <c r="F141" s="157">
        <v>0</v>
      </c>
      <c r="G141" s="157">
        <v>59.47</v>
      </c>
      <c r="H141" s="147">
        <v>0.23441072132439891</v>
      </c>
      <c r="I141" s="157">
        <v>0</v>
      </c>
      <c r="J141" s="157">
        <v>0</v>
      </c>
      <c r="K141" s="147">
        <v>0</v>
      </c>
    </row>
    <row r="142" spans="1:11">
      <c r="A142" s="155">
        <v>46226</v>
      </c>
      <c r="B142" s="156">
        <v>30</v>
      </c>
      <c r="C142" s="157">
        <v>2</v>
      </c>
      <c r="D142" s="157">
        <v>242.7</v>
      </c>
      <c r="E142" s="147">
        <v>0.95664170279858096</v>
      </c>
      <c r="F142" s="157">
        <v>0</v>
      </c>
      <c r="G142" s="157">
        <v>59.47</v>
      </c>
      <c r="H142" s="147">
        <v>0.23441072132439891</v>
      </c>
      <c r="I142" s="157">
        <v>0</v>
      </c>
      <c r="J142" s="157">
        <v>0</v>
      </c>
      <c r="K142" s="147">
        <v>0</v>
      </c>
    </row>
    <row r="143" spans="1:11">
      <c r="A143" s="155">
        <v>46227</v>
      </c>
      <c r="B143" s="156">
        <v>30</v>
      </c>
      <c r="C143" s="157">
        <v>2</v>
      </c>
      <c r="D143" s="157">
        <v>244.7</v>
      </c>
      <c r="E143" s="147">
        <v>0.96452502956247532</v>
      </c>
      <c r="F143" s="157">
        <v>0</v>
      </c>
      <c r="G143" s="157">
        <v>59.47</v>
      </c>
      <c r="H143" s="147">
        <v>0.23441072132439891</v>
      </c>
      <c r="I143" s="157">
        <v>0</v>
      </c>
      <c r="J143" s="157">
        <v>0</v>
      </c>
      <c r="K143" s="147">
        <v>0</v>
      </c>
    </row>
    <row r="144" spans="1:11">
      <c r="A144" s="155">
        <v>46228</v>
      </c>
      <c r="B144" s="156">
        <v>30</v>
      </c>
      <c r="C144" s="157">
        <v>0</v>
      </c>
      <c r="D144" s="157">
        <v>244.7</v>
      </c>
      <c r="E144" s="147">
        <v>0.96452502956247532</v>
      </c>
      <c r="F144" s="157">
        <v>0</v>
      </c>
      <c r="G144" s="157">
        <v>59.47</v>
      </c>
      <c r="H144" s="147">
        <v>0.23441072132439891</v>
      </c>
      <c r="I144" s="157">
        <v>0</v>
      </c>
      <c r="J144" s="157">
        <v>0</v>
      </c>
      <c r="K144" s="147">
        <v>0</v>
      </c>
    </row>
    <row r="145" spans="1:11">
      <c r="A145" s="155">
        <v>46229</v>
      </c>
      <c r="B145" s="156">
        <v>31</v>
      </c>
      <c r="C145" s="157">
        <v>0</v>
      </c>
      <c r="D145" s="157">
        <v>244.7</v>
      </c>
      <c r="E145" s="147">
        <v>0.96452502956247532</v>
      </c>
      <c r="F145" s="157">
        <v>0</v>
      </c>
      <c r="G145" s="157">
        <v>59.47</v>
      </c>
      <c r="H145" s="147">
        <v>0.23441072132439891</v>
      </c>
      <c r="I145" s="157">
        <v>0</v>
      </c>
      <c r="J145" s="157">
        <v>0</v>
      </c>
      <c r="K145" s="147">
        <v>0</v>
      </c>
    </row>
    <row r="146" spans="1:11">
      <c r="A146" s="155">
        <v>46230</v>
      </c>
      <c r="B146" s="156">
        <v>31</v>
      </c>
      <c r="C146" s="157">
        <v>2</v>
      </c>
      <c r="D146" s="157">
        <v>246.7</v>
      </c>
      <c r="E146" s="147">
        <v>0.97240835632636968</v>
      </c>
      <c r="F146" s="157">
        <v>0</v>
      </c>
      <c r="G146" s="157">
        <v>59.47</v>
      </c>
      <c r="H146" s="147">
        <v>0.23441072132439891</v>
      </c>
      <c r="I146" s="157">
        <v>0</v>
      </c>
      <c r="J146" s="157">
        <v>0</v>
      </c>
      <c r="K146" s="147">
        <v>0</v>
      </c>
    </row>
    <row r="147" spans="1:11">
      <c r="A147" s="155">
        <v>46231</v>
      </c>
      <c r="B147" s="156">
        <v>31</v>
      </c>
      <c r="C147" s="157">
        <v>1</v>
      </c>
      <c r="D147" s="157">
        <v>247.7</v>
      </c>
      <c r="E147" s="147">
        <v>0.97635001970831692</v>
      </c>
      <c r="F147" s="157">
        <v>0</v>
      </c>
      <c r="G147" s="157">
        <v>59.47</v>
      </c>
      <c r="H147" s="147">
        <v>0.23441072132439891</v>
      </c>
      <c r="I147" s="157">
        <v>0</v>
      </c>
      <c r="J147" s="157">
        <v>0</v>
      </c>
      <c r="K147" s="147">
        <v>0</v>
      </c>
    </row>
    <row r="148" spans="1:11">
      <c r="A148" s="155">
        <v>46232</v>
      </c>
      <c r="B148" s="156">
        <v>31</v>
      </c>
      <c r="C148" s="157">
        <v>1</v>
      </c>
      <c r="D148" s="157">
        <v>248.7</v>
      </c>
      <c r="E148" s="147">
        <v>0.98029168309026404</v>
      </c>
      <c r="F148" s="157">
        <v>0</v>
      </c>
      <c r="G148" s="157">
        <v>59.47</v>
      </c>
      <c r="H148" s="147">
        <v>0.23441072132439891</v>
      </c>
      <c r="I148" s="157">
        <v>0</v>
      </c>
      <c r="J148" s="157">
        <v>0</v>
      </c>
      <c r="K148" s="147">
        <v>0</v>
      </c>
    </row>
    <row r="149" spans="1:11">
      <c r="A149" s="155">
        <v>46233</v>
      </c>
      <c r="B149" s="156">
        <v>31</v>
      </c>
      <c r="C149" s="157">
        <v>1</v>
      </c>
      <c r="D149" s="157">
        <v>249.7</v>
      </c>
      <c r="E149" s="147">
        <v>0.98423334647221128</v>
      </c>
      <c r="F149" s="157">
        <v>0</v>
      </c>
      <c r="G149" s="157">
        <v>59.47</v>
      </c>
      <c r="H149" s="147">
        <v>0.23441072132439891</v>
      </c>
      <c r="I149" s="157">
        <v>0</v>
      </c>
      <c r="J149" s="157">
        <v>0</v>
      </c>
      <c r="K149" s="147">
        <v>0</v>
      </c>
    </row>
    <row r="150" spans="1:11">
      <c r="A150" s="155">
        <v>46234</v>
      </c>
      <c r="B150" s="156">
        <v>31</v>
      </c>
      <c r="C150" s="157">
        <v>1</v>
      </c>
      <c r="D150" s="157">
        <v>250.7</v>
      </c>
      <c r="E150" s="147">
        <v>0.9881750098541584</v>
      </c>
      <c r="F150" s="157">
        <v>0</v>
      </c>
      <c r="G150" s="157">
        <v>59.47</v>
      </c>
      <c r="H150" s="147">
        <v>0.23441072132439891</v>
      </c>
      <c r="I150" s="157">
        <v>0</v>
      </c>
      <c r="J150" s="157">
        <v>0</v>
      </c>
      <c r="K150" s="147">
        <v>0</v>
      </c>
    </row>
    <row r="151" spans="1:11">
      <c r="A151" s="155">
        <v>46235</v>
      </c>
      <c r="B151" s="156">
        <v>31</v>
      </c>
      <c r="C151" s="157">
        <v>0</v>
      </c>
      <c r="D151" s="157">
        <v>250.7</v>
      </c>
      <c r="E151" s="147">
        <v>0.9881750098541584</v>
      </c>
      <c r="F151" s="157">
        <v>0</v>
      </c>
      <c r="G151" s="157">
        <v>59.47</v>
      </c>
      <c r="H151" s="147">
        <v>0.23441072132439891</v>
      </c>
      <c r="I151" s="157">
        <v>0</v>
      </c>
      <c r="J151" s="157">
        <v>0</v>
      </c>
      <c r="K151" s="147">
        <v>0</v>
      </c>
    </row>
    <row r="152" spans="1:11">
      <c r="A152" s="155">
        <v>46236</v>
      </c>
      <c r="B152" s="156">
        <v>32</v>
      </c>
      <c r="C152" s="157">
        <v>0</v>
      </c>
      <c r="D152" s="157">
        <v>250.7</v>
      </c>
      <c r="E152" s="147">
        <v>0.9881750098541584</v>
      </c>
      <c r="F152" s="157">
        <v>0</v>
      </c>
      <c r="G152" s="157">
        <v>59.47</v>
      </c>
      <c r="H152" s="147">
        <v>0.23441072132439891</v>
      </c>
      <c r="I152" s="157">
        <v>0</v>
      </c>
      <c r="J152" s="157">
        <v>0</v>
      </c>
      <c r="K152" s="147">
        <v>0</v>
      </c>
    </row>
    <row r="153" spans="1:11">
      <c r="A153" s="155">
        <v>46237</v>
      </c>
      <c r="B153" s="156">
        <v>32</v>
      </c>
      <c r="C153" s="157">
        <v>3</v>
      </c>
      <c r="D153" s="157">
        <v>253.7</v>
      </c>
      <c r="E153" s="147">
        <v>1</v>
      </c>
      <c r="F153" s="157">
        <v>0</v>
      </c>
      <c r="G153" s="157">
        <v>59.47</v>
      </c>
      <c r="H153" s="147">
        <v>0.23441072132439891</v>
      </c>
      <c r="I153" s="157">
        <v>0</v>
      </c>
      <c r="J153" s="157">
        <v>0</v>
      </c>
      <c r="K153" s="147">
        <v>0</v>
      </c>
    </row>
    <row r="154" spans="1:11">
      <c r="A154" s="155">
        <v>46238</v>
      </c>
      <c r="B154" s="156">
        <v>32</v>
      </c>
      <c r="C154" s="157">
        <v>0</v>
      </c>
      <c r="D154" s="157">
        <v>253.7</v>
      </c>
      <c r="E154" s="147">
        <v>1</v>
      </c>
      <c r="F154" s="157">
        <v>0</v>
      </c>
      <c r="G154" s="157">
        <v>59.47</v>
      </c>
      <c r="H154" s="147">
        <v>0.23441072132439891</v>
      </c>
      <c r="I154" s="157">
        <v>0</v>
      </c>
      <c r="J154" s="157">
        <v>0</v>
      </c>
      <c r="K154" s="147">
        <v>0</v>
      </c>
    </row>
    <row r="155" spans="1:11">
      <c r="A155" s="155">
        <v>46239</v>
      </c>
      <c r="B155" s="156">
        <v>32</v>
      </c>
      <c r="C155" s="157">
        <v>0</v>
      </c>
      <c r="D155" s="157">
        <v>253.7</v>
      </c>
      <c r="E155" s="147">
        <v>1</v>
      </c>
      <c r="F155" s="157">
        <v>0</v>
      </c>
      <c r="G155" s="157">
        <v>59.47</v>
      </c>
      <c r="H155" s="147">
        <v>0.23441072132439891</v>
      </c>
      <c r="I155" s="157">
        <v>0</v>
      </c>
      <c r="J155" s="157">
        <v>0</v>
      </c>
      <c r="K155" s="147">
        <v>0</v>
      </c>
    </row>
    <row r="156" spans="1:11">
      <c r="A156" s="155">
        <v>46240</v>
      </c>
      <c r="B156" s="156">
        <v>32</v>
      </c>
      <c r="C156" s="157">
        <v>0</v>
      </c>
      <c r="D156" s="157">
        <v>253.7</v>
      </c>
      <c r="E156" s="147">
        <v>1</v>
      </c>
      <c r="F156" s="157">
        <v>0</v>
      </c>
      <c r="G156" s="157">
        <v>59.47</v>
      </c>
      <c r="H156" s="147">
        <v>0.23441072132439891</v>
      </c>
      <c r="I156" s="157">
        <v>0</v>
      </c>
      <c r="J156" s="157">
        <v>0</v>
      </c>
      <c r="K156" s="147">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2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187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1596</v>
      </c>
      <c r="B1" s="1"/>
      <c r="C1" s="1"/>
      <c r="D1" s="1"/>
      <c r="E1" s="1"/>
      <c r="F1" s="1"/>
      <c r="G1" s="1"/>
      <c r="H1" s="1"/>
    </row>
    <row r="2" spans="1:9" s="63" customFormat="1" ht="78.75" customHeight="1">
      <c r="A2" s="304" t="s">
        <v>1597</v>
      </c>
      <c r="B2" s="305"/>
      <c r="C2" s="305"/>
      <c r="D2" s="305"/>
      <c r="E2" s="305"/>
      <c r="F2" s="305"/>
      <c r="G2" s="305"/>
      <c r="H2" s="305"/>
    </row>
    <row r="3" spans="1:9" s="63" customFormat="1" ht="24.75" customHeight="1">
      <c r="A3" s="306" t="s">
        <v>1598</v>
      </c>
      <c r="B3" s="306"/>
      <c r="D3" s="306" t="s">
        <v>1599</v>
      </c>
      <c r="E3" s="306"/>
      <c r="G3" s="306" t="s">
        <v>1600</v>
      </c>
      <c r="H3" s="306"/>
    </row>
    <row r="4" spans="1:9" s="65" customFormat="1" ht="19.5" customHeight="1">
      <c r="A4" s="64" t="s">
        <v>1601</v>
      </c>
      <c r="B4" s="64" t="s">
        <v>1602</v>
      </c>
      <c r="D4" s="64" t="s">
        <v>1601</v>
      </c>
      <c r="E4" s="64" t="s">
        <v>1602</v>
      </c>
      <c r="G4" s="64" t="s">
        <v>1601</v>
      </c>
      <c r="H4" s="64" t="s">
        <v>1602</v>
      </c>
    </row>
    <row r="5" spans="1:9" s="73" customFormat="1" ht="16.899999999999999">
      <c r="A5" s="71" t="s">
        <v>1423</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899999999999999">
      <c r="A6" s="71" t="s">
        <v>1409</v>
      </c>
      <c r="B6" s="72">
        <v>45684</v>
      </c>
      <c r="C6" s="73" t="str">
        <f t="shared" si="0"/>
        <v>(월)</v>
      </c>
      <c r="D6" s="71"/>
      <c r="E6" s="72"/>
      <c r="F6" s="73" t="str">
        <f t="shared" si="1"/>
        <v/>
      </c>
      <c r="G6" s="71"/>
      <c r="H6" s="72"/>
      <c r="I6" s="73" t="str">
        <f t="shared" si="2"/>
        <v/>
      </c>
    </row>
    <row r="7" spans="1:9" s="73" customFormat="1" ht="16.899999999999999">
      <c r="A7" s="71" t="s">
        <v>1410</v>
      </c>
      <c r="B7" s="72">
        <v>45685</v>
      </c>
      <c r="C7" s="73" t="str">
        <f t="shared" si="0"/>
        <v>(화)</v>
      </c>
      <c r="D7" s="71"/>
      <c r="E7" s="72"/>
      <c r="F7" s="73" t="str">
        <f t="shared" si="1"/>
        <v/>
      </c>
      <c r="G7" s="71"/>
      <c r="H7" s="72"/>
      <c r="I7" s="73" t="str">
        <f t="shared" si="2"/>
        <v/>
      </c>
    </row>
    <row r="8" spans="1:9" s="73" customFormat="1" ht="16.899999999999999">
      <c r="A8" s="71" t="s">
        <v>1411</v>
      </c>
      <c r="B8" s="72">
        <v>45686</v>
      </c>
      <c r="C8" s="73" t="str">
        <f t="shared" si="0"/>
        <v>(수)</v>
      </c>
      <c r="D8" s="71"/>
      <c r="E8" s="72"/>
      <c r="F8" s="73" t="str">
        <f t="shared" si="1"/>
        <v/>
      </c>
      <c r="G8" s="71"/>
      <c r="H8" s="72"/>
      <c r="I8" s="73" t="str">
        <f t="shared" si="2"/>
        <v/>
      </c>
    </row>
    <row r="9" spans="1:9" s="73" customFormat="1" ht="16.899999999999999">
      <c r="A9" s="71" t="s">
        <v>1410</v>
      </c>
      <c r="B9" s="72">
        <v>45687</v>
      </c>
      <c r="C9" s="73" t="str">
        <f t="shared" si="0"/>
        <v>(목)</v>
      </c>
      <c r="D9" s="71"/>
      <c r="E9" s="72"/>
      <c r="F9" s="73" t="str">
        <f t="shared" si="1"/>
        <v/>
      </c>
      <c r="G9" s="71"/>
      <c r="H9" s="72"/>
      <c r="I9" s="73" t="str">
        <f t="shared" si="2"/>
        <v/>
      </c>
    </row>
    <row r="10" spans="1:9" s="73" customFormat="1" ht="16.899999999999999">
      <c r="A10" s="71" t="s">
        <v>1515</v>
      </c>
      <c r="B10" s="72">
        <v>45719</v>
      </c>
      <c r="C10" s="73" t="str">
        <f t="shared" si="0"/>
        <v>(월)</v>
      </c>
      <c r="D10" s="71"/>
      <c r="E10" s="72"/>
      <c r="F10" s="73" t="str">
        <f t="shared" si="1"/>
        <v/>
      </c>
      <c r="G10" s="71"/>
      <c r="H10" s="72"/>
      <c r="I10" s="73" t="str">
        <f t="shared" si="2"/>
        <v/>
      </c>
    </row>
    <row r="11" spans="1:9" s="73" customFormat="1" ht="16.899999999999999">
      <c r="A11" s="71" t="s">
        <v>1412</v>
      </c>
      <c r="B11" s="72">
        <v>45782</v>
      </c>
      <c r="C11" s="73" t="str">
        <f t="shared" si="0"/>
        <v>(월)</v>
      </c>
      <c r="D11" s="71"/>
      <c r="E11" s="72"/>
      <c r="F11" s="73" t="str">
        <f t="shared" si="1"/>
        <v/>
      </c>
      <c r="G11" s="71"/>
      <c r="H11" s="72"/>
      <c r="I11" s="73" t="str">
        <f t="shared" si="2"/>
        <v/>
      </c>
    </row>
    <row r="12" spans="1:9" s="73" customFormat="1" ht="16.899999999999999">
      <c r="A12" s="71" t="s">
        <v>1516</v>
      </c>
      <c r="B12" s="72">
        <v>45783</v>
      </c>
      <c r="C12" s="73" t="str">
        <f t="shared" si="0"/>
        <v>(화)</v>
      </c>
      <c r="D12" s="71"/>
      <c r="E12" s="72"/>
      <c r="F12" s="73" t="str">
        <f t="shared" si="1"/>
        <v/>
      </c>
      <c r="G12" s="71"/>
      <c r="H12" s="72"/>
      <c r="I12" s="73" t="str">
        <f t="shared" si="2"/>
        <v/>
      </c>
    </row>
    <row r="13" spans="1:9" s="73" customFormat="1" ht="16.899999999999999">
      <c r="A13" s="71" t="s">
        <v>1427</v>
      </c>
      <c r="B13" s="72">
        <v>45811</v>
      </c>
      <c r="C13" s="73" t="str">
        <f t="shared" si="0"/>
        <v>(화)</v>
      </c>
      <c r="D13" s="71"/>
      <c r="E13" s="72"/>
      <c r="F13" s="73" t="str">
        <f t="shared" si="1"/>
        <v/>
      </c>
      <c r="G13" s="71"/>
      <c r="H13" s="72"/>
      <c r="I13" s="73" t="str">
        <f t="shared" si="2"/>
        <v/>
      </c>
    </row>
    <row r="14" spans="1:9" s="73" customFormat="1" ht="16.899999999999999">
      <c r="A14" s="71" t="s">
        <v>1428</v>
      </c>
      <c r="B14" s="72">
        <v>45814</v>
      </c>
      <c r="C14" s="73" t="str">
        <f t="shared" si="0"/>
        <v>(금)</v>
      </c>
      <c r="D14" s="71"/>
      <c r="E14" s="72"/>
      <c r="F14" s="73" t="str">
        <f t="shared" si="1"/>
        <v/>
      </c>
      <c r="G14" s="71"/>
      <c r="H14" s="72"/>
      <c r="I14" s="73" t="str">
        <f t="shared" si="2"/>
        <v/>
      </c>
    </row>
    <row r="15" spans="1:9" s="73" customFormat="1" ht="16.899999999999999">
      <c r="A15" s="71" t="s">
        <v>1429</v>
      </c>
      <c r="B15" s="72">
        <v>45884</v>
      </c>
      <c r="C15" s="73" t="str">
        <f t="shared" si="0"/>
        <v>(금)</v>
      </c>
      <c r="D15" s="71"/>
      <c r="E15" s="72"/>
      <c r="F15" s="73" t="str">
        <f t="shared" si="1"/>
        <v/>
      </c>
      <c r="G15" s="71"/>
      <c r="H15" s="72"/>
      <c r="I15" s="73" t="str">
        <f t="shared" si="2"/>
        <v/>
      </c>
    </row>
    <row r="16" spans="1:9" s="73" customFormat="1" ht="16.899999999999999">
      <c r="A16" s="71" t="s">
        <v>1413</v>
      </c>
      <c r="B16" s="72">
        <v>45933</v>
      </c>
      <c r="C16" s="73" t="str">
        <f t="shared" si="0"/>
        <v>(금)</v>
      </c>
      <c r="D16" s="71"/>
      <c r="E16" s="72"/>
      <c r="F16" s="73" t="str">
        <f t="shared" si="1"/>
        <v/>
      </c>
      <c r="G16" s="71"/>
      <c r="H16" s="72"/>
      <c r="I16" s="73" t="str">
        <f t="shared" si="2"/>
        <v/>
      </c>
    </row>
    <row r="17" spans="1:10" s="73" customFormat="1" ht="16.899999999999999">
      <c r="A17" s="71" t="s">
        <v>1414</v>
      </c>
      <c r="B17" s="72">
        <v>45936</v>
      </c>
      <c r="C17" s="73" t="str">
        <f t="shared" si="0"/>
        <v>(월)</v>
      </c>
      <c r="D17" s="71"/>
      <c r="E17" s="72"/>
      <c r="F17" s="73" t="str">
        <f t="shared" si="1"/>
        <v/>
      </c>
      <c r="G17" s="71"/>
      <c r="H17" s="72"/>
      <c r="I17" s="73" t="str">
        <f t="shared" si="2"/>
        <v/>
      </c>
    </row>
    <row r="18" spans="1:10" s="73" customFormat="1" ht="16.899999999999999">
      <c r="A18" s="71" t="s">
        <v>1415</v>
      </c>
      <c r="B18" s="72">
        <v>45937</v>
      </c>
      <c r="C18" s="73" t="str">
        <f t="shared" si="0"/>
        <v>(화)</v>
      </c>
      <c r="D18" s="71"/>
      <c r="E18" s="72"/>
      <c r="F18" s="73" t="str">
        <f t="shared" si="1"/>
        <v/>
      </c>
      <c r="G18" s="71"/>
      <c r="H18" s="72"/>
      <c r="I18" s="73" t="str">
        <f t="shared" si="2"/>
        <v/>
      </c>
    </row>
    <row r="19" spans="1:10" s="73" customFormat="1" ht="19.149999999999999">
      <c r="A19" s="71" t="s">
        <v>1517</v>
      </c>
      <c r="B19" s="72">
        <v>45938</v>
      </c>
      <c r="C19" s="73" t="str">
        <f t="shared" si="0"/>
        <v>(수)</v>
      </c>
      <c r="D19" s="71"/>
      <c r="E19" s="72"/>
      <c r="F19" s="73" t="str">
        <f t="shared" si="1"/>
        <v/>
      </c>
      <c r="G19" s="71"/>
      <c r="H19" s="72"/>
      <c r="I19" s="73" t="str">
        <f t="shared" si="2"/>
        <v/>
      </c>
      <c r="J19" s="74"/>
    </row>
    <row r="20" spans="1:10" s="73" customFormat="1" ht="19.149999999999999">
      <c r="A20" s="71" t="s">
        <v>1416</v>
      </c>
      <c r="B20" s="72">
        <v>45939</v>
      </c>
      <c r="C20" s="73" t="str">
        <f t="shared" si="0"/>
        <v>(목)</v>
      </c>
      <c r="D20" s="71"/>
      <c r="E20" s="72"/>
      <c r="F20" s="73" t="str">
        <f t="shared" si="1"/>
        <v/>
      </c>
      <c r="G20" s="71"/>
      <c r="H20" s="72"/>
      <c r="I20" s="73" t="str">
        <f t="shared" si="2"/>
        <v/>
      </c>
      <c r="J20" s="74"/>
    </row>
    <row r="21" spans="1:10" s="73" customFormat="1" ht="16.899999999999999">
      <c r="A21" s="71" t="s">
        <v>1424</v>
      </c>
      <c r="B21" s="72">
        <v>46016</v>
      </c>
      <c r="C21" s="73" t="str">
        <f t="shared" si="0"/>
        <v>(목)</v>
      </c>
      <c r="D21" s="71"/>
      <c r="E21" s="72"/>
      <c r="F21" s="73" t="str">
        <f t="shared" si="1"/>
        <v/>
      </c>
      <c r="G21" s="71"/>
      <c r="H21" s="72"/>
      <c r="I21" s="73" t="str">
        <f t="shared" si="2"/>
        <v/>
      </c>
    </row>
    <row r="22" spans="1:10" s="73" customFormat="1" ht="16.899999999999999">
      <c r="A22" s="71" t="s">
        <v>1425</v>
      </c>
      <c r="B22" s="72">
        <v>46023</v>
      </c>
      <c r="C22" s="73" t="str">
        <f t="shared" si="0"/>
        <v>(목)</v>
      </c>
      <c r="D22" s="71"/>
      <c r="E22" s="72"/>
      <c r="F22" s="73" t="str">
        <f t="shared" si="1"/>
        <v/>
      </c>
      <c r="G22" s="71"/>
      <c r="H22" s="72"/>
      <c r="I22" s="73" t="str">
        <f t="shared" si="2"/>
        <v/>
      </c>
    </row>
    <row r="23" spans="1:10" s="73" customFormat="1" ht="16.899999999999999">
      <c r="A23" s="71" t="s">
        <v>1418</v>
      </c>
      <c r="B23" s="72">
        <v>46069</v>
      </c>
      <c r="C23" s="73" t="str">
        <f t="shared" si="0"/>
        <v>(월)</v>
      </c>
      <c r="D23" s="71"/>
      <c r="E23" s="72"/>
      <c r="F23" s="73" t="str">
        <f t="shared" si="1"/>
        <v/>
      </c>
      <c r="G23" s="71"/>
      <c r="H23" s="72"/>
      <c r="I23" s="73" t="str">
        <f t="shared" si="2"/>
        <v/>
      </c>
    </row>
    <row r="24" spans="1:10" s="73" customFormat="1" ht="16.899999999999999">
      <c r="A24" s="71" t="s">
        <v>1417</v>
      </c>
      <c r="B24" s="72">
        <v>46070</v>
      </c>
      <c r="C24" s="73" t="str">
        <f t="shared" si="0"/>
        <v>(화)</v>
      </c>
      <c r="D24" s="71"/>
      <c r="E24" s="72"/>
      <c r="F24" s="73" t="str">
        <f t="shared" si="1"/>
        <v/>
      </c>
      <c r="G24" s="71"/>
      <c r="H24" s="72"/>
      <c r="I24" s="73" t="str">
        <f t="shared" si="2"/>
        <v/>
      </c>
    </row>
    <row r="25" spans="1:10" s="73" customFormat="1" ht="16.899999999999999">
      <c r="A25" s="71" t="s">
        <v>1418</v>
      </c>
      <c r="B25" s="72">
        <v>46071</v>
      </c>
      <c r="C25" s="73" t="str">
        <f t="shared" si="0"/>
        <v>(수)</v>
      </c>
      <c r="D25" s="71"/>
      <c r="E25" s="72"/>
      <c r="F25" s="73" t="str">
        <f t="shared" si="1"/>
        <v/>
      </c>
      <c r="G25" s="71"/>
      <c r="H25" s="72"/>
      <c r="I25" s="73" t="str">
        <f t="shared" si="2"/>
        <v/>
      </c>
    </row>
    <row r="26" spans="1:10" s="73" customFormat="1" ht="16.899999999999999">
      <c r="A26" s="71" t="s">
        <v>1518</v>
      </c>
      <c r="B26" s="72">
        <v>46083</v>
      </c>
      <c r="C26" s="73" t="str">
        <f t="shared" si="0"/>
        <v>(월)</v>
      </c>
      <c r="D26" s="71"/>
      <c r="E26" s="72"/>
      <c r="F26" s="73" t="str">
        <f t="shared" si="1"/>
        <v/>
      </c>
      <c r="G26" s="71"/>
      <c r="H26" s="72"/>
      <c r="I26" s="73" t="str">
        <f t="shared" si="2"/>
        <v/>
      </c>
    </row>
    <row r="27" spans="1:10" s="73" customFormat="1" ht="16.899999999999999">
      <c r="A27" s="71" t="s">
        <v>1419</v>
      </c>
      <c r="B27" s="72">
        <v>46147</v>
      </c>
      <c r="C27" s="73" t="str">
        <f t="shared" si="0"/>
        <v>(화)</v>
      </c>
      <c r="D27" s="71"/>
      <c r="E27" s="72"/>
      <c r="F27" s="73" t="str">
        <f t="shared" si="1"/>
        <v/>
      </c>
      <c r="G27" s="71"/>
      <c r="H27" s="72"/>
      <c r="I27" s="73" t="str">
        <f t="shared" si="2"/>
        <v/>
      </c>
    </row>
    <row r="28" spans="1:10" s="73" customFormat="1" ht="16.899999999999999">
      <c r="A28" s="71" t="s">
        <v>1519</v>
      </c>
      <c r="B28" s="72">
        <v>46167</v>
      </c>
      <c r="C28" s="73" t="str">
        <f t="shared" si="0"/>
        <v>(월)</v>
      </c>
      <c r="D28" s="71"/>
      <c r="E28" s="72"/>
      <c r="F28" s="73" t="str">
        <f t="shared" si="1"/>
        <v/>
      </c>
      <c r="G28" s="71"/>
      <c r="H28" s="72"/>
      <c r="I28" s="73" t="str">
        <f t="shared" si="2"/>
        <v/>
      </c>
    </row>
    <row r="29" spans="1:10" s="73" customFormat="1" ht="16.899999999999999">
      <c r="A29" s="71" t="s">
        <v>1501</v>
      </c>
      <c r="B29" s="72">
        <v>46176</v>
      </c>
      <c r="C29" s="73" t="str">
        <f t="shared" si="0"/>
        <v>(수)</v>
      </c>
      <c r="D29" s="71"/>
      <c r="E29" s="72"/>
      <c r="F29" s="73" t="str">
        <f t="shared" si="1"/>
        <v/>
      </c>
      <c r="G29" s="71"/>
      <c r="H29" s="72"/>
      <c r="I29" s="73" t="str">
        <f t="shared" si="2"/>
        <v/>
      </c>
    </row>
    <row r="30" spans="1:10" s="73" customFormat="1" ht="16.899999999999999">
      <c r="A30" s="71" t="s">
        <v>1502</v>
      </c>
      <c r="B30" s="72">
        <v>46220</v>
      </c>
      <c r="C30" s="73" t="str">
        <f t="shared" si="0"/>
        <v>(금)</v>
      </c>
      <c r="D30" s="71"/>
      <c r="E30" s="72"/>
      <c r="F30" s="73" t="str">
        <f t="shared" si="1"/>
        <v/>
      </c>
      <c r="G30" s="71"/>
      <c r="H30" s="72"/>
      <c r="I30" s="73" t="str">
        <f t="shared" si="2"/>
        <v/>
      </c>
    </row>
    <row r="31" spans="1:10" s="73" customFormat="1" ht="16.899999999999999">
      <c r="A31" s="71" t="s">
        <v>1520</v>
      </c>
      <c r="B31" s="72">
        <v>46251</v>
      </c>
      <c r="C31" s="73" t="str">
        <f t="shared" si="0"/>
        <v>(월)</v>
      </c>
      <c r="D31" s="71"/>
      <c r="E31" s="72"/>
      <c r="F31" s="73" t="str">
        <f t="shared" si="1"/>
        <v/>
      </c>
      <c r="G31" s="71"/>
      <c r="H31" s="72"/>
      <c r="I31" s="73" t="str">
        <f t="shared" si="2"/>
        <v/>
      </c>
    </row>
    <row r="32" spans="1:10" s="73" customFormat="1" ht="16.899999999999999">
      <c r="A32" s="71" t="s">
        <v>1420</v>
      </c>
      <c r="B32" s="72">
        <v>46289</v>
      </c>
      <c r="C32" s="73" t="str">
        <f t="shared" si="0"/>
        <v>(목)</v>
      </c>
      <c r="D32" s="71"/>
      <c r="E32" s="72"/>
      <c r="F32" s="73" t="str">
        <f t="shared" si="1"/>
        <v/>
      </c>
      <c r="G32" s="71"/>
      <c r="H32" s="72"/>
      <c r="I32" s="73" t="str">
        <f t="shared" si="2"/>
        <v/>
      </c>
    </row>
    <row r="33" spans="1:9" s="73" customFormat="1" ht="16.899999999999999">
      <c r="A33" s="71" t="s">
        <v>1421</v>
      </c>
      <c r="B33" s="72">
        <v>46290</v>
      </c>
      <c r="C33" s="73" t="str">
        <f t="shared" si="0"/>
        <v>(금)</v>
      </c>
      <c r="D33" s="71"/>
      <c r="E33" s="72"/>
      <c r="F33" s="73" t="str">
        <f t="shared" si="1"/>
        <v/>
      </c>
      <c r="G33" s="71"/>
      <c r="H33" s="72"/>
      <c r="I33" s="73" t="str">
        <f t="shared" si="2"/>
        <v/>
      </c>
    </row>
    <row r="34" spans="1:9" s="73" customFormat="1" ht="16.899999999999999">
      <c r="A34" s="71" t="s">
        <v>1521</v>
      </c>
      <c r="B34" s="72">
        <v>46300</v>
      </c>
      <c r="C34" s="73" t="str">
        <f t="shared" si="0"/>
        <v>(월)</v>
      </c>
      <c r="D34" s="71"/>
      <c r="E34" s="72"/>
      <c r="F34" s="73" t="str">
        <f t="shared" si="1"/>
        <v/>
      </c>
      <c r="G34" s="71"/>
      <c r="H34" s="72"/>
      <c r="I34" s="73" t="str">
        <f t="shared" si="2"/>
        <v/>
      </c>
    </row>
    <row r="35" spans="1:9" s="73" customFormat="1" ht="16.899999999999999">
      <c r="A35" s="71" t="s">
        <v>1422</v>
      </c>
      <c r="B35" s="72">
        <v>46304</v>
      </c>
      <c r="C35" s="73" t="str">
        <f t="shared" si="0"/>
        <v>(금)</v>
      </c>
      <c r="D35" s="71"/>
      <c r="E35" s="72"/>
      <c r="F35" s="73" t="str">
        <f t="shared" si="1"/>
        <v/>
      </c>
      <c r="G35" s="71"/>
      <c r="H35" s="72"/>
      <c r="I35" s="73" t="str">
        <f t="shared" si="2"/>
        <v/>
      </c>
    </row>
    <row r="36" spans="1:9" s="73" customFormat="1" ht="16.899999999999999">
      <c r="A36" s="71" t="s">
        <v>1426</v>
      </c>
      <c r="B36" s="72">
        <v>46381</v>
      </c>
      <c r="C36" s="73" t="str">
        <f t="shared" si="0"/>
        <v>(금)</v>
      </c>
      <c r="D36" s="71"/>
      <c r="E36" s="72"/>
      <c r="F36" s="73" t="str">
        <f t="shared" si="1"/>
        <v/>
      </c>
      <c r="G36" s="71"/>
      <c r="H36" s="72"/>
      <c r="I36" s="73" t="str">
        <f t="shared" si="2"/>
        <v/>
      </c>
    </row>
    <row r="37" spans="1:9" s="73" customFormat="1" ht="16.899999999999999">
      <c r="A37" s="71" t="s">
        <v>1503</v>
      </c>
      <c r="B37" s="72">
        <v>46388</v>
      </c>
      <c r="C37" s="73" t="str">
        <f t="shared" si="0"/>
        <v>(금)</v>
      </c>
      <c r="D37" s="71"/>
      <c r="E37" s="72"/>
      <c r="F37" s="73" t="str">
        <f t="shared" si="1"/>
        <v/>
      </c>
      <c r="G37" s="71"/>
      <c r="H37" s="72"/>
      <c r="I37" s="73" t="str">
        <f t="shared" si="2"/>
        <v/>
      </c>
    </row>
    <row r="38" spans="1:9" s="73" customFormat="1" ht="16.899999999999999">
      <c r="A38" s="71" t="s">
        <v>1504</v>
      </c>
      <c r="B38" s="72">
        <v>46426</v>
      </c>
      <c r="C38" s="73" t="str">
        <f t="shared" si="0"/>
        <v>(월)</v>
      </c>
      <c r="D38" s="71"/>
      <c r="E38" s="72"/>
      <c r="F38" s="73" t="str">
        <f t="shared" si="1"/>
        <v/>
      </c>
      <c r="G38" s="71"/>
      <c r="H38" s="72"/>
      <c r="I38" s="73" t="str">
        <f t="shared" si="2"/>
        <v/>
      </c>
    </row>
    <row r="39" spans="1:9" s="73" customFormat="1" ht="16.899999999999999">
      <c r="A39" s="71" t="s">
        <v>1505</v>
      </c>
      <c r="B39" s="72">
        <v>46427</v>
      </c>
      <c r="C39" s="73" t="str">
        <f t="shared" si="0"/>
        <v>(화)</v>
      </c>
      <c r="D39" s="71"/>
      <c r="E39" s="72"/>
      <c r="F39" s="73" t="str">
        <f t="shared" si="1"/>
        <v/>
      </c>
      <c r="G39" s="71"/>
      <c r="H39" s="72"/>
      <c r="I39" s="73" t="str">
        <f t="shared" si="2"/>
        <v/>
      </c>
    </row>
    <row r="40" spans="1:9" s="73" customFormat="1" ht="16.899999999999999">
      <c r="A40" s="71" t="s">
        <v>1506</v>
      </c>
      <c r="B40" s="72">
        <v>46447</v>
      </c>
      <c r="C40" s="73" t="str">
        <f t="shared" si="0"/>
        <v>(월)</v>
      </c>
      <c r="D40" s="71"/>
      <c r="E40" s="72"/>
      <c r="F40" s="73" t="str">
        <f t="shared" si="1"/>
        <v/>
      </c>
      <c r="G40" s="71"/>
      <c r="H40" s="72"/>
      <c r="I40" s="73" t="str">
        <f t="shared" si="2"/>
        <v/>
      </c>
    </row>
    <row r="41" spans="1:9" s="73" customFormat="1" ht="16.899999999999999">
      <c r="A41" s="71" t="s">
        <v>1507</v>
      </c>
      <c r="B41" s="72">
        <v>46512</v>
      </c>
      <c r="C41" s="73" t="str">
        <f t="shared" si="0"/>
        <v>(수)</v>
      </c>
      <c r="D41" s="71"/>
      <c r="E41" s="72"/>
      <c r="F41" s="73" t="str">
        <f t="shared" si="1"/>
        <v/>
      </c>
      <c r="G41" s="71"/>
      <c r="H41" s="72"/>
      <c r="I41" s="73" t="str">
        <f t="shared" si="2"/>
        <v/>
      </c>
    </row>
    <row r="42" spans="1:9" s="73" customFormat="1" ht="16.899999999999999">
      <c r="A42" s="71" t="s">
        <v>1508</v>
      </c>
      <c r="B42" s="72">
        <v>46520</v>
      </c>
      <c r="C42" s="73" t="str">
        <f t="shared" si="0"/>
        <v>(목)</v>
      </c>
      <c r="D42" s="71"/>
      <c r="E42" s="72"/>
      <c r="F42" s="73" t="str">
        <f t="shared" si="1"/>
        <v/>
      </c>
      <c r="G42" s="71"/>
      <c r="H42" s="72"/>
      <c r="I42" s="73" t="str">
        <f t="shared" si="2"/>
        <v/>
      </c>
    </row>
    <row r="43" spans="1:9" s="73" customFormat="1" ht="16.899999999999999">
      <c r="A43" s="71" t="s">
        <v>1509</v>
      </c>
      <c r="B43" s="72">
        <v>46615</v>
      </c>
      <c r="C43" s="73" t="str">
        <f t="shared" si="0"/>
        <v>(월)</v>
      </c>
      <c r="D43" s="71"/>
      <c r="E43" s="72"/>
      <c r="F43" s="73" t="str">
        <f t="shared" si="1"/>
        <v/>
      </c>
      <c r="G43" s="71"/>
      <c r="H43" s="72"/>
      <c r="I43" s="73" t="str">
        <f t="shared" si="2"/>
        <v/>
      </c>
    </row>
    <row r="44" spans="1:9" s="73" customFormat="1" ht="16.899999999999999">
      <c r="A44" s="71" t="s">
        <v>1510</v>
      </c>
      <c r="B44" s="72">
        <v>46644</v>
      </c>
      <c r="C44" s="73" t="str">
        <f t="shared" si="0"/>
        <v>(화)</v>
      </c>
      <c r="D44" s="71"/>
      <c r="E44" s="72"/>
      <c r="F44" s="73" t="str">
        <f t="shared" si="1"/>
        <v/>
      </c>
      <c r="G44" s="71"/>
      <c r="H44" s="72"/>
      <c r="I44" s="73" t="str">
        <f t="shared" si="2"/>
        <v/>
      </c>
    </row>
    <row r="45" spans="1:9" s="73" customFormat="1" ht="16.899999999999999">
      <c r="A45" s="71" t="s">
        <v>1511</v>
      </c>
      <c r="B45" s="72">
        <v>46645</v>
      </c>
      <c r="C45" s="73" t="str">
        <f t="shared" si="0"/>
        <v>(수)</v>
      </c>
      <c r="D45" s="71"/>
      <c r="E45" s="72"/>
      <c r="F45" s="73" t="str">
        <f t="shared" si="1"/>
        <v/>
      </c>
      <c r="G45" s="71"/>
      <c r="H45" s="72"/>
      <c r="I45" s="73" t="str">
        <f t="shared" si="2"/>
        <v/>
      </c>
    </row>
    <row r="46" spans="1:9" s="73" customFormat="1" ht="16.899999999999999">
      <c r="A46" s="71" t="s">
        <v>1510</v>
      </c>
      <c r="B46" s="72">
        <v>46646</v>
      </c>
      <c r="C46" s="73" t="str">
        <f t="shared" si="0"/>
        <v>(목)</v>
      </c>
      <c r="D46" s="71"/>
      <c r="E46" s="72"/>
      <c r="F46" s="73" t="str">
        <f t="shared" si="1"/>
        <v/>
      </c>
      <c r="G46" s="71"/>
      <c r="H46" s="72"/>
      <c r="I46" s="73" t="str">
        <f t="shared" si="2"/>
        <v/>
      </c>
    </row>
    <row r="47" spans="1:9" s="73" customFormat="1" ht="16.899999999999999">
      <c r="A47" s="71" t="s">
        <v>1512</v>
      </c>
      <c r="B47" s="73">
        <v>46664</v>
      </c>
      <c r="C47" s="73" t="str">
        <f t="shared" si="0"/>
        <v>(월)</v>
      </c>
      <c r="D47" s="71"/>
      <c r="E47" s="72"/>
      <c r="F47" s="73" t="str">
        <f t="shared" si="1"/>
        <v/>
      </c>
      <c r="G47" s="71"/>
      <c r="H47" s="72"/>
      <c r="I47" s="73" t="str">
        <f t="shared" si="2"/>
        <v/>
      </c>
    </row>
    <row r="48" spans="1:9" s="73" customFormat="1" ht="16.899999999999999">
      <c r="A48" s="71" t="s">
        <v>1513</v>
      </c>
      <c r="B48" s="72">
        <v>46671</v>
      </c>
      <c r="C48" s="73" t="str">
        <f t="shared" si="0"/>
        <v>(월)</v>
      </c>
      <c r="D48" s="71"/>
      <c r="E48" s="72"/>
      <c r="F48" s="73" t="str">
        <f t="shared" si="1"/>
        <v/>
      </c>
      <c r="G48" s="71"/>
      <c r="H48" s="72"/>
      <c r="I48" s="73" t="str">
        <f t="shared" si="2"/>
        <v/>
      </c>
    </row>
    <row r="49" spans="1:9" s="73" customFormat="1" ht="16.899999999999999">
      <c r="A49" s="71" t="s">
        <v>1514</v>
      </c>
      <c r="B49" s="72">
        <v>46748</v>
      </c>
      <c r="C49" s="73" t="str">
        <f t="shared" si="0"/>
        <v>(월)</v>
      </c>
      <c r="D49" s="71"/>
      <c r="E49" s="72"/>
      <c r="F49" s="73" t="str">
        <f t="shared" si="1"/>
        <v/>
      </c>
      <c r="G49" s="71"/>
      <c r="H49" s="72"/>
      <c r="I49" s="73" t="str">
        <f t="shared" si="2"/>
        <v/>
      </c>
    </row>
    <row r="50" spans="1:9" s="73" customFormat="1" ht="16.899999999999999">
      <c r="A50" s="71"/>
      <c r="B50" s="72"/>
      <c r="C50" s="73" t="str">
        <f t="shared" si="0"/>
        <v/>
      </c>
      <c r="D50" s="71"/>
      <c r="E50" s="72"/>
      <c r="F50" s="73" t="str">
        <f t="shared" si="1"/>
        <v/>
      </c>
      <c r="G50" s="71"/>
      <c r="H50" s="72"/>
      <c r="I50" s="73" t="str">
        <f t="shared" si="2"/>
        <v/>
      </c>
    </row>
    <row r="51" spans="1:9" s="73" customFormat="1" ht="16.899999999999999">
      <c r="A51" s="71"/>
      <c r="B51" s="72"/>
      <c r="C51" s="73" t="str">
        <f t="shared" si="0"/>
        <v/>
      </c>
      <c r="D51" s="71"/>
      <c r="E51" s="72"/>
      <c r="F51" s="73" t="str">
        <f t="shared" si="1"/>
        <v/>
      </c>
      <c r="G51" s="71"/>
      <c r="H51" s="72"/>
      <c r="I51" s="73" t="str">
        <f t="shared" si="2"/>
        <v/>
      </c>
    </row>
    <row r="52" spans="1:9" s="73" customFormat="1" ht="16.899999999999999">
      <c r="A52" s="71"/>
      <c r="B52" s="72"/>
      <c r="C52" s="73" t="str">
        <f t="shared" si="0"/>
        <v/>
      </c>
      <c r="D52" s="71"/>
      <c r="E52" s="72"/>
      <c r="F52" s="73" t="str">
        <f t="shared" si="1"/>
        <v/>
      </c>
      <c r="G52" s="71"/>
      <c r="H52" s="72"/>
      <c r="I52" s="73" t="str">
        <f t="shared" si="2"/>
        <v/>
      </c>
    </row>
    <row r="53" spans="1:9" s="73" customFormat="1" ht="16.899999999999999">
      <c r="A53" s="71"/>
      <c r="B53" s="72"/>
      <c r="C53" s="73" t="str">
        <f t="shared" si="0"/>
        <v/>
      </c>
      <c r="D53" s="71"/>
      <c r="E53" s="72"/>
      <c r="F53" s="73" t="str">
        <f t="shared" si="1"/>
        <v/>
      </c>
      <c r="G53" s="71"/>
      <c r="H53" s="72"/>
      <c r="I53" s="73" t="str">
        <f t="shared" si="2"/>
        <v/>
      </c>
    </row>
    <row r="54" spans="1:9" s="73" customFormat="1" ht="16.899999999999999">
      <c r="A54" s="71"/>
      <c r="B54" s="72"/>
      <c r="C54" s="73" t="str">
        <f t="shared" si="0"/>
        <v/>
      </c>
      <c r="D54" s="71"/>
      <c r="E54" s="72"/>
      <c r="F54" s="73" t="str">
        <f t="shared" si="1"/>
        <v/>
      </c>
      <c r="G54" s="71"/>
      <c r="H54" s="72"/>
      <c r="I54" s="73" t="str">
        <f t="shared" si="2"/>
        <v/>
      </c>
    </row>
    <row r="55" spans="1:9" s="73" customFormat="1" ht="16.899999999999999">
      <c r="A55" s="71"/>
      <c r="B55" s="72"/>
      <c r="C55" s="73" t="str">
        <f t="shared" si="0"/>
        <v/>
      </c>
      <c r="D55" s="71"/>
      <c r="E55" s="72"/>
      <c r="F55" s="73" t="str">
        <f t="shared" si="1"/>
        <v/>
      </c>
      <c r="G55" s="71"/>
      <c r="H55" s="72"/>
      <c r="I55" s="73" t="str">
        <f t="shared" si="2"/>
        <v/>
      </c>
    </row>
    <row r="56" spans="1:9" s="73" customFormat="1" ht="16.899999999999999">
      <c r="A56" s="71"/>
      <c r="B56" s="72"/>
      <c r="C56" s="73" t="str">
        <f t="shared" si="0"/>
        <v/>
      </c>
      <c r="D56" s="71"/>
      <c r="E56" s="72"/>
      <c r="F56" s="73" t="str">
        <f t="shared" si="1"/>
        <v/>
      </c>
      <c r="G56" s="71"/>
      <c r="H56" s="72"/>
      <c r="I56" s="73" t="str">
        <f t="shared" si="2"/>
        <v/>
      </c>
    </row>
    <row r="57" spans="1:9" s="73" customFormat="1" ht="16.899999999999999">
      <c r="A57" s="71"/>
      <c r="B57" s="72"/>
      <c r="C57" s="73" t="str">
        <f t="shared" si="0"/>
        <v/>
      </c>
      <c r="D57" s="71"/>
      <c r="E57" s="72"/>
      <c r="F57" s="73" t="str">
        <f t="shared" si="1"/>
        <v/>
      </c>
      <c r="G57" s="71"/>
      <c r="H57" s="72"/>
      <c r="I57" s="73" t="str">
        <f t="shared" si="2"/>
        <v/>
      </c>
    </row>
    <row r="58" spans="1:9" s="73" customFormat="1" ht="16.899999999999999">
      <c r="A58" s="71"/>
      <c r="B58" s="72"/>
      <c r="C58" s="73" t="str">
        <f t="shared" si="0"/>
        <v/>
      </c>
      <c r="D58" s="71"/>
      <c r="E58" s="72"/>
      <c r="F58" s="73" t="str">
        <f t="shared" si="1"/>
        <v/>
      </c>
      <c r="G58" s="71"/>
      <c r="H58" s="72"/>
      <c r="I58" s="73" t="str">
        <f t="shared" si="2"/>
        <v/>
      </c>
    </row>
    <row r="59" spans="1:9" s="73" customFormat="1" ht="16.899999999999999">
      <c r="A59" s="71"/>
      <c r="B59" s="72"/>
      <c r="C59" s="73" t="str">
        <f t="shared" si="0"/>
        <v/>
      </c>
      <c r="D59" s="71"/>
      <c r="E59" s="72"/>
      <c r="F59" s="73" t="str">
        <f t="shared" si="1"/>
        <v/>
      </c>
      <c r="G59" s="71"/>
      <c r="H59" s="72"/>
      <c r="I59" s="73" t="str">
        <f t="shared" si="2"/>
        <v/>
      </c>
    </row>
    <row r="60" spans="1:9" s="73" customFormat="1" ht="16.899999999999999">
      <c r="A60" s="71"/>
      <c r="B60" s="72"/>
      <c r="C60" s="73" t="str">
        <f t="shared" si="0"/>
        <v/>
      </c>
      <c r="D60" s="71"/>
      <c r="E60" s="72"/>
      <c r="F60" s="73" t="str">
        <f t="shared" si="1"/>
        <v/>
      </c>
      <c r="G60" s="71"/>
      <c r="H60" s="72"/>
      <c r="I60" s="73" t="str">
        <f t="shared" si="2"/>
        <v/>
      </c>
    </row>
    <row r="61" spans="1:9" s="73" customFormat="1" ht="16.899999999999999">
      <c r="A61" s="71"/>
      <c r="B61" s="72"/>
      <c r="C61" s="73" t="str">
        <f t="shared" si="0"/>
        <v/>
      </c>
      <c r="D61" s="71"/>
      <c r="E61" s="72"/>
      <c r="F61" s="73" t="str">
        <f t="shared" si="1"/>
        <v/>
      </c>
      <c r="G61" s="71"/>
      <c r="H61" s="72"/>
      <c r="I61" s="73" t="str">
        <f t="shared" si="2"/>
        <v/>
      </c>
    </row>
    <row r="62" spans="1:9" s="73" customFormat="1" ht="16.899999999999999">
      <c r="A62" s="71"/>
      <c r="B62" s="72"/>
      <c r="C62" s="73" t="str">
        <f t="shared" si="0"/>
        <v/>
      </c>
      <c r="D62" s="71"/>
      <c r="E62" s="72"/>
      <c r="F62" s="73" t="str">
        <f t="shared" si="1"/>
        <v/>
      </c>
      <c r="G62" s="71"/>
      <c r="H62" s="72"/>
      <c r="I62" s="73" t="str">
        <f t="shared" si="2"/>
        <v/>
      </c>
    </row>
    <row r="63" spans="1:9" s="73" customFormat="1" ht="16.899999999999999">
      <c r="A63" s="71"/>
      <c r="B63" s="72"/>
      <c r="C63" s="73" t="str">
        <f t="shared" si="0"/>
        <v/>
      </c>
      <c r="D63" s="71"/>
      <c r="E63" s="72"/>
      <c r="F63" s="73" t="str">
        <f t="shared" si="1"/>
        <v/>
      </c>
      <c r="G63" s="71"/>
      <c r="H63" s="72"/>
      <c r="I63" s="73" t="str">
        <f t="shared" si="2"/>
        <v/>
      </c>
    </row>
    <row r="64" spans="1:9" s="73" customFormat="1" ht="16.899999999999999">
      <c r="A64" s="71"/>
      <c r="B64" s="72"/>
      <c r="C64" s="73" t="str">
        <f t="shared" si="0"/>
        <v/>
      </c>
      <c r="D64" s="71"/>
      <c r="E64" s="72"/>
      <c r="F64" s="73" t="str">
        <f t="shared" si="1"/>
        <v/>
      </c>
      <c r="G64" s="71"/>
      <c r="H64" s="72"/>
      <c r="I64" s="73" t="str">
        <f t="shared" si="2"/>
        <v/>
      </c>
    </row>
    <row r="65" spans="1:9" s="73" customFormat="1" ht="16.899999999999999">
      <c r="A65" s="71"/>
      <c r="B65" s="72"/>
      <c r="C65" s="73" t="str">
        <f t="shared" si="0"/>
        <v/>
      </c>
      <c r="D65" s="71"/>
      <c r="E65" s="72"/>
      <c r="F65" s="73" t="str">
        <f t="shared" si="1"/>
        <v/>
      </c>
      <c r="G65" s="71"/>
      <c r="H65" s="72"/>
      <c r="I65" s="73" t="str">
        <f t="shared" si="2"/>
        <v/>
      </c>
    </row>
    <row r="66" spans="1:9" s="73" customFormat="1" ht="16.899999999999999">
      <c r="A66" s="71"/>
      <c r="B66" s="72"/>
      <c r="C66" s="73" t="str">
        <f t="shared" si="0"/>
        <v/>
      </c>
      <c r="D66" s="71"/>
      <c r="E66" s="72"/>
      <c r="F66" s="73" t="str">
        <f t="shared" si="1"/>
        <v/>
      </c>
      <c r="G66" s="71"/>
      <c r="H66" s="72"/>
      <c r="I66" s="73" t="str">
        <f t="shared" si="2"/>
        <v/>
      </c>
    </row>
    <row r="67" spans="1:9" s="73" customFormat="1" ht="16.899999999999999">
      <c r="A67" s="71"/>
      <c r="B67" s="72"/>
      <c r="C67" s="73" t="str">
        <f t="shared" si="0"/>
        <v/>
      </c>
      <c r="D67" s="71"/>
      <c r="E67" s="72"/>
      <c r="F67" s="73" t="str">
        <f t="shared" si="1"/>
        <v/>
      </c>
      <c r="G67" s="71"/>
      <c r="H67" s="72"/>
      <c r="I67" s="73" t="str">
        <f t="shared" si="2"/>
        <v/>
      </c>
    </row>
    <row r="68" spans="1:9" s="73" customFormat="1" ht="16.899999999999999">
      <c r="A68" s="71"/>
      <c r="B68" s="72"/>
      <c r="C68" s="73" t="str">
        <f t="shared" si="0"/>
        <v/>
      </c>
      <c r="D68" s="71"/>
      <c r="E68" s="72"/>
      <c r="F68" s="73" t="str">
        <f t="shared" si="1"/>
        <v/>
      </c>
      <c r="G68" s="71"/>
      <c r="H68" s="72"/>
      <c r="I68" s="73" t="str">
        <f t="shared" si="2"/>
        <v/>
      </c>
    </row>
    <row r="69" spans="1:9" s="73" customFormat="1" ht="16.899999999999999">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899999999999999">
      <c r="A70" s="71"/>
      <c r="B70" s="72"/>
      <c r="C70" s="73" t="str">
        <f t="shared" si="3"/>
        <v/>
      </c>
      <c r="D70" s="71"/>
      <c r="E70" s="72"/>
      <c r="F70" s="73" t="str">
        <f t="shared" si="4"/>
        <v/>
      </c>
      <c r="G70" s="71"/>
      <c r="H70" s="72"/>
      <c r="I70" s="73" t="str">
        <f t="shared" si="5"/>
        <v/>
      </c>
    </row>
    <row r="71" spans="1:9" s="73" customFormat="1" ht="16.899999999999999">
      <c r="A71" s="71"/>
      <c r="B71" s="72"/>
      <c r="C71" s="73" t="str">
        <f t="shared" si="3"/>
        <v/>
      </c>
      <c r="D71" s="71"/>
      <c r="E71" s="72"/>
      <c r="F71" s="73" t="str">
        <f t="shared" si="4"/>
        <v/>
      </c>
      <c r="G71" s="71"/>
      <c r="H71" s="72"/>
      <c r="I71" s="73" t="str">
        <f t="shared" si="5"/>
        <v/>
      </c>
    </row>
    <row r="72" spans="1:9" s="73" customFormat="1" ht="16.899999999999999">
      <c r="A72" s="71"/>
      <c r="B72" s="72"/>
      <c r="C72" s="73" t="str">
        <f t="shared" si="3"/>
        <v/>
      </c>
      <c r="D72" s="71"/>
      <c r="E72" s="72"/>
      <c r="F72" s="73" t="str">
        <f t="shared" si="4"/>
        <v/>
      </c>
      <c r="G72" s="71"/>
      <c r="H72" s="72"/>
      <c r="I72" s="73" t="str">
        <f t="shared" si="5"/>
        <v/>
      </c>
    </row>
    <row r="73" spans="1:9" s="73" customFormat="1" ht="16.899999999999999">
      <c r="A73" s="71"/>
      <c r="B73" s="72"/>
      <c r="C73" s="73" t="str">
        <f t="shared" si="3"/>
        <v/>
      </c>
      <c r="D73" s="71"/>
      <c r="E73" s="72"/>
      <c r="F73" s="73" t="str">
        <f t="shared" si="4"/>
        <v/>
      </c>
      <c r="G73" s="71"/>
      <c r="H73" s="72"/>
      <c r="I73" s="73" t="str">
        <f t="shared" si="5"/>
        <v/>
      </c>
    </row>
    <row r="74" spans="1:9" s="73" customFormat="1" ht="16.899999999999999">
      <c r="A74" s="71"/>
      <c r="B74" s="72"/>
      <c r="C74" s="73" t="str">
        <f t="shared" si="3"/>
        <v/>
      </c>
      <c r="D74" s="71"/>
      <c r="E74" s="72"/>
      <c r="F74" s="73" t="str">
        <f t="shared" si="4"/>
        <v/>
      </c>
      <c r="G74" s="71"/>
      <c r="H74" s="72"/>
      <c r="I74" s="73" t="str">
        <f t="shared" si="5"/>
        <v/>
      </c>
    </row>
    <row r="75" spans="1:9" s="73" customFormat="1" ht="16.899999999999999">
      <c r="A75" s="71"/>
      <c r="B75" s="72"/>
      <c r="C75" s="73" t="str">
        <f t="shared" si="3"/>
        <v/>
      </c>
      <c r="D75" s="71"/>
      <c r="E75" s="72"/>
      <c r="F75" s="73" t="str">
        <f t="shared" si="4"/>
        <v/>
      </c>
      <c r="G75" s="71"/>
      <c r="H75" s="72"/>
      <c r="I75" s="73" t="str">
        <f t="shared" si="5"/>
        <v/>
      </c>
    </row>
    <row r="76" spans="1:9" s="73" customFormat="1" ht="16.899999999999999">
      <c r="A76" s="71"/>
      <c r="B76" s="72"/>
      <c r="C76" s="73" t="str">
        <f t="shared" si="3"/>
        <v/>
      </c>
      <c r="D76" s="71"/>
      <c r="E76" s="72"/>
      <c r="F76" s="73" t="str">
        <f t="shared" si="4"/>
        <v/>
      </c>
      <c r="G76" s="71"/>
      <c r="H76" s="72"/>
      <c r="I76" s="73" t="str">
        <f t="shared" si="5"/>
        <v/>
      </c>
    </row>
    <row r="77" spans="1:9" s="73" customFormat="1" ht="16.899999999999999">
      <c r="A77" s="71"/>
      <c r="B77" s="72"/>
      <c r="C77" s="73" t="str">
        <f t="shared" si="3"/>
        <v/>
      </c>
      <c r="D77" s="71"/>
      <c r="E77" s="72"/>
      <c r="F77" s="73" t="str">
        <f t="shared" si="4"/>
        <v/>
      </c>
      <c r="G77" s="71"/>
      <c r="H77" s="72"/>
      <c r="I77" s="73" t="str">
        <f t="shared" si="5"/>
        <v/>
      </c>
    </row>
    <row r="78" spans="1:9" s="73" customFormat="1" ht="16.899999999999999">
      <c r="A78" s="71"/>
      <c r="B78" s="72"/>
      <c r="C78" s="73" t="str">
        <f t="shared" si="3"/>
        <v/>
      </c>
      <c r="D78" s="71"/>
      <c r="E78" s="72"/>
      <c r="F78" s="73" t="str">
        <f t="shared" si="4"/>
        <v/>
      </c>
      <c r="G78" s="71"/>
      <c r="H78" s="72"/>
      <c r="I78" s="73" t="str">
        <f t="shared" si="5"/>
        <v/>
      </c>
    </row>
    <row r="79" spans="1:9" s="73" customFormat="1" ht="16.899999999999999">
      <c r="A79" s="71"/>
      <c r="B79" s="72"/>
      <c r="C79" s="73" t="str">
        <f t="shared" si="3"/>
        <v/>
      </c>
      <c r="D79" s="71"/>
      <c r="E79" s="72"/>
      <c r="F79" s="73" t="str">
        <f t="shared" si="4"/>
        <v/>
      </c>
      <c r="G79" s="71"/>
      <c r="H79" s="72"/>
      <c r="I79" s="73" t="str">
        <f t="shared" si="5"/>
        <v/>
      </c>
    </row>
    <row r="80" spans="1:9" s="73" customFormat="1" ht="16.899999999999999">
      <c r="A80" s="71"/>
      <c r="B80" s="72"/>
      <c r="C80" s="73" t="str">
        <f t="shared" si="3"/>
        <v/>
      </c>
      <c r="D80" s="71"/>
      <c r="E80" s="72"/>
      <c r="F80" s="73" t="str">
        <f t="shared" si="4"/>
        <v/>
      </c>
      <c r="G80" s="71"/>
      <c r="H80" s="72"/>
      <c r="I80" s="73" t="str">
        <f t="shared" si="5"/>
        <v/>
      </c>
    </row>
    <row r="81" spans="1:9" s="73" customFormat="1" ht="16.899999999999999">
      <c r="A81" s="71"/>
      <c r="B81" s="72"/>
      <c r="C81" s="73" t="str">
        <f t="shared" si="3"/>
        <v/>
      </c>
      <c r="D81" s="71"/>
      <c r="E81" s="72"/>
      <c r="F81" s="73" t="str">
        <f t="shared" si="4"/>
        <v/>
      </c>
      <c r="G81" s="71"/>
      <c r="H81" s="72"/>
      <c r="I81" s="73" t="str">
        <f t="shared" si="5"/>
        <v/>
      </c>
    </row>
    <row r="82" spans="1:9" s="73" customFormat="1" ht="16.899999999999999">
      <c r="A82" s="71"/>
      <c r="B82" s="72"/>
      <c r="C82" s="73" t="str">
        <f t="shared" si="3"/>
        <v/>
      </c>
      <c r="D82" s="71"/>
      <c r="E82" s="72"/>
      <c r="F82" s="73" t="str">
        <f t="shared" si="4"/>
        <v/>
      </c>
      <c r="G82" s="71"/>
      <c r="H82" s="72"/>
      <c r="I82" s="73" t="str">
        <f t="shared" si="5"/>
        <v/>
      </c>
    </row>
    <row r="83" spans="1:9" s="73" customFormat="1" ht="16.899999999999999">
      <c r="A83" s="71"/>
      <c r="B83" s="72"/>
      <c r="C83" s="73" t="str">
        <f t="shared" si="3"/>
        <v/>
      </c>
      <c r="D83" s="71"/>
      <c r="E83" s="72"/>
      <c r="F83" s="73" t="str">
        <f t="shared" si="4"/>
        <v/>
      </c>
      <c r="G83" s="71"/>
      <c r="H83" s="72"/>
      <c r="I83" s="73" t="str">
        <f t="shared" si="5"/>
        <v/>
      </c>
    </row>
    <row r="84" spans="1:9" s="73" customFormat="1" ht="16.899999999999999">
      <c r="A84" s="71"/>
      <c r="B84" s="72"/>
      <c r="C84" s="73" t="str">
        <f t="shared" si="3"/>
        <v/>
      </c>
      <c r="D84" s="71"/>
      <c r="E84" s="72"/>
      <c r="F84" s="73" t="str">
        <f t="shared" si="4"/>
        <v/>
      </c>
      <c r="G84" s="71"/>
      <c r="H84" s="72"/>
      <c r="I84" s="73" t="str">
        <f t="shared" si="5"/>
        <v/>
      </c>
    </row>
    <row r="85" spans="1:9" s="73" customFormat="1" ht="16.899999999999999">
      <c r="A85" s="71"/>
      <c r="B85" s="72"/>
      <c r="C85" s="73" t="str">
        <f t="shared" si="3"/>
        <v/>
      </c>
      <c r="D85" s="71"/>
      <c r="E85" s="72"/>
      <c r="F85" s="73" t="str">
        <f t="shared" si="4"/>
        <v/>
      </c>
      <c r="G85" s="71"/>
      <c r="H85" s="72"/>
      <c r="I85" s="73" t="str">
        <f t="shared" si="5"/>
        <v/>
      </c>
    </row>
    <row r="86" spans="1:9" s="73" customFormat="1" ht="16.899999999999999">
      <c r="A86" s="71"/>
      <c r="B86" s="72"/>
      <c r="C86" s="73" t="str">
        <f t="shared" si="3"/>
        <v/>
      </c>
      <c r="D86" s="71"/>
      <c r="E86" s="72"/>
      <c r="F86" s="73" t="str">
        <f t="shared" si="4"/>
        <v/>
      </c>
      <c r="G86" s="71"/>
      <c r="H86" s="72"/>
      <c r="I86" s="73" t="str">
        <f t="shared" si="5"/>
        <v/>
      </c>
    </row>
    <row r="87" spans="1:9" s="73" customFormat="1" ht="16.899999999999999">
      <c r="A87" s="71"/>
      <c r="B87" s="72"/>
      <c r="C87" s="73" t="str">
        <f t="shared" si="3"/>
        <v/>
      </c>
      <c r="D87" s="71"/>
      <c r="E87" s="72"/>
      <c r="F87" s="73" t="str">
        <f t="shared" si="4"/>
        <v/>
      </c>
      <c r="G87" s="71"/>
      <c r="H87" s="72"/>
      <c r="I87" s="73" t="str">
        <f t="shared" si="5"/>
        <v/>
      </c>
    </row>
    <row r="88" spans="1:9" s="73" customFormat="1" ht="16.899999999999999">
      <c r="A88" s="71"/>
      <c r="B88" s="72"/>
      <c r="C88" s="73" t="str">
        <f t="shared" si="3"/>
        <v/>
      </c>
      <c r="D88" s="71"/>
      <c r="E88" s="72"/>
      <c r="F88" s="73" t="str">
        <f t="shared" si="4"/>
        <v/>
      </c>
      <c r="G88" s="71"/>
      <c r="H88" s="72"/>
      <c r="I88" s="73" t="str">
        <f t="shared" si="5"/>
        <v/>
      </c>
    </row>
    <row r="89" spans="1:9" s="73" customFormat="1" ht="16.899999999999999">
      <c r="A89" s="71"/>
      <c r="B89" s="72"/>
      <c r="C89" s="73" t="str">
        <f t="shared" si="3"/>
        <v/>
      </c>
      <c r="D89" s="71"/>
      <c r="E89" s="72"/>
      <c r="F89" s="73" t="str">
        <f t="shared" si="4"/>
        <v/>
      </c>
      <c r="G89" s="71"/>
      <c r="H89" s="72"/>
      <c r="I89" s="73" t="str">
        <f t="shared" si="5"/>
        <v/>
      </c>
    </row>
    <row r="90" spans="1:9" s="73" customFormat="1" ht="16.899999999999999">
      <c r="A90" s="71"/>
      <c r="B90" s="72"/>
      <c r="C90" s="73" t="str">
        <f t="shared" si="3"/>
        <v/>
      </c>
      <c r="D90" s="71"/>
      <c r="E90" s="72"/>
      <c r="F90" s="73" t="str">
        <f t="shared" si="4"/>
        <v/>
      </c>
      <c r="G90" s="71"/>
      <c r="H90" s="72"/>
      <c r="I90" s="73" t="str">
        <f t="shared" si="5"/>
        <v/>
      </c>
    </row>
    <row r="91" spans="1:9" s="73" customFormat="1" ht="16.899999999999999">
      <c r="A91" s="71"/>
      <c r="B91" s="72"/>
      <c r="C91" s="73" t="str">
        <f t="shared" si="3"/>
        <v/>
      </c>
      <c r="D91" s="71"/>
      <c r="E91" s="72"/>
      <c r="F91" s="73" t="str">
        <f t="shared" si="4"/>
        <v/>
      </c>
      <c r="G91" s="71"/>
      <c r="H91" s="72"/>
      <c r="I91" s="73" t="str">
        <f t="shared" si="5"/>
        <v/>
      </c>
    </row>
    <row r="92" spans="1:9" s="73" customFormat="1" ht="16.899999999999999">
      <c r="A92" s="71"/>
      <c r="B92" s="72"/>
      <c r="C92" s="73" t="str">
        <f t="shared" si="3"/>
        <v/>
      </c>
      <c r="D92" s="71"/>
      <c r="E92" s="72"/>
      <c r="F92" s="73" t="str">
        <f t="shared" si="4"/>
        <v/>
      </c>
      <c r="G92" s="71"/>
      <c r="H92" s="72"/>
      <c r="I92" s="73" t="str">
        <f t="shared" si="5"/>
        <v/>
      </c>
    </row>
    <row r="93" spans="1:9" s="73" customFormat="1" ht="16.899999999999999">
      <c r="A93" s="71"/>
      <c r="B93" s="72"/>
      <c r="C93" s="73" t="str">
        <f t="shared" si="3"/>
        <v/>
      </c>
      <c r="D93" s="71"/>
      <c r="E93" s="72"/>
      <c r="F93" s="73" t="str">
        <f t="shared" si="4"/>
        <v/>
      </c>
      <c r="G93" s="71"/>
      <c r="H93" s="72"/>
      <c r="I93" s="73" t="str">
        <f t="shared" si="5"/>
        <v/>
      </c>
    </row>
    <row r="94" spans="1:9" s="73" customFormat="1" ht="16.899999999999999">
      <c r="A94" s="71"/>
      <c r="B94" s="72"/>
      <c r="C94" s="73" t="str">
        <f t="shared" si="3"/>
        <v/>
      </c>
      <c r="D94" s="71"/>
      <c r="E94" s="72"/>
      <c r="F94" s="73" t="str">
        <f t="shared" si="4"/>
        <v/>
      </c>
      <c r="G94" s="71"/>
      <c r="H94" s="72"/>
      <c r="I94" s="73" t="str">
        <f t="shared" si="5"/>
        <v/>
      </c>
    </row>
    <row r="95" spans="1:9" s="73" customFormat="1" ht="16.899999999999999">
      <c r="A95" s="71"/>
      <c r="B95" s="72"/>
      <c r="C95" s="73" t="str">
        <f t="shared" si="3"/>
        <v/>
      </c>
      <c r="D95" s="71"/>
      <c r="E95" s="72"/>
      <c r="F95" s="73" t="str">
        <f t="shared" si="4"/>
        <v/>
      </c>
      <c r="G95" s="71"/>
      <c r="H95" s="72"/>
      <c r="I95" s="73" t="str">
        <f t="shared" si="5"/>
        <v/>
      </c>
    </row>
    <row r="96" spans="1:9" s="73" customFormat="1" ht="16.899999999999999">
      <c r="A96" s="71"/>
      <c r="B96" s="72"/>
      <c r="C96" s="73" t="str">
        <f t="shared" si="3"/>
        <v/>
      </c>
      <c r="D96" s="71"/>
      <c r="E96" s="72"/>
      <c r="F96" s="73" t="str">
        <f t="shared" si="4"/>
        <v/>
      </c>
      <c r="G96" s="71"/>
      <c r="H96" s="72"/>
      <c r="I96" s="73" t="str">
        <f t="shared" si="5"/>
        <v/>
      </c>
    </row>
    <row r="97" spans="1:9" s="73" customFormat="1" ht="16.899999999999999">
      <c r="A97" s="71"/>
      <c r="B97" s="72"/>
      <c r="C97" s="73" t="str">
        <f t="shared" si="3"/>
        <v/>
      </c>
      <c r="D97" s="71"/>
      <c r="E97" s="72"/>
      <c r="F97" s="73" t="str">
        <f t="shared" si="4"/>
        <v/>
      </c>
      <c r="G97" s="71"/>
      <c r="H97" s="72"/>
      <c r="I97" s="73" t="str">
        <f t="shared" si="5"/>
        <v/>
      </c>
    </row>
    <row r="98" spans="1:9" s="73" customFormat="1" ht="16.899999999999999">
      <c r="A98" s="71"/>
      <c r="B98" s="72"/>
      <c r="C98" s="73" t="str">
        <f t="shared" si="3"/>
        <v/>
      </c>
      <c r="D98" s="71"/>
      <c r="E98" s="72"/>
      <c r="F98" s="73" t="str">
        <f t="shared" si="4"/>
        <v/>
      </c>
      <c r="G98" s="71"/>
      <c r="H98" s="72"/>
      <c r="I98" s="73" t="str">
        <f t="shared" si="5"/>
        <v/>
      </c>
    </row>
    <row r="99" spans="1:9" s="73" customFormat="1" ht="16.899999999999999">
      <c r="A99" s="71"/>
      <c r="B99" s="72"/>
      <c r="C99" s="73" t="str">
        <f t="shared" si="3"/>
        <v/>
      </c>
      <c r="D99" s="71"/>
      <c r="E99" s="72"/>
      <c r="F99" s="73" t="str">
        <f t="shared" si="4"/>
        <v/>
      </c>
      <c r="G99" s="71"/>
      <c r="H99" s="72"/>
      <c r="I99" s="73" t="str">
        <f t="shared" si="5"/>
        <v/>
      </c>
    </row>
    <row r="100" spans="1:9" s="73" customFormat="1" ht="16.899999999999999">
      <c r="A100" s="71"/>
      <c r="B100" s="72"/>
      <c r="C100" s="73" t="str">
        <f t="shared" si="3"/>
        <v/>
      </c>
      <c r="D100" s="71"/>
      <c r="E100" s="72"/>
      <c r="F100" s="73" t="str">
        <f t="shared" si="4"/>
        <v/>
      </c>
      <c r="G100" s="71"/>
      <c r="H100" s="72"/>
      <c r="I100" s="73" t="str">
        <f t="shared" si="5"/>
        <v/>
      </c>
    </row>
    <row r="101" spans="1:9" s="73" customFormat="1" ht="16.899999999999999">
      <c r="A101" s="71"/>
      <c r="B101" s="72"/>
      <c r="C101" s="73" t="str">
        <f t="shared" si="3"/>
        <v/>
      </c>
      <c r="D101" s="71"/>
      <c r="E101" s="72"/>
      <c r="F101" s="73" t="str">
        <f t="shared" si="4"/>
        <v/>
      </c>
      <c r="G101" s="71"/>
      <c r="H101" s="72"/>
      <c r="I101" s="73" t="str">
        <f t="shared" si="5"/>
        <v/>
      </c>
    </row>
    <row r="102" spans="1:9" s="73" customFormat="1" ht="16.899999999999999">
      <c r="A102" s="71"/>
      <c r="B102" s="72"/>
      <c r="C102" s="73" t="str">
        <f t="shared" si="3"/>
        <v/>
      </c>
      <c r="D102" s="71"/>
      <c r="E102" s="72"/>
      <c r="F102" s="73" t="str">
        <f t="shared" si="4"/>
        <v/>
      </c>
      <c r="G102" s="71"/>
      <c r="H102" s="72"/>
      <c r="I102" s="73" t="str">
        <f t="shared" si="5"/>
        <v/>
      </c>
    </row>
    <row r="103" spans="1:9" s="73" customFormat="1" ht="16.899999999999999">
      <c r="A103" s="71"/>
      <c r="B103" s="72"/>
      <c r="C103" s="73" t="str">
        <f t="shared" si="3"/>
        <v/>
      </c>
      <c r="D103" s="71"/>
      <c r="E103" s="72"/>
      <c r="F103" s="73" t="str">
        <f t="shared" si="4"/>
        <v/>
      </c>
      <c r="G103" s="71"/>
      <c r="H103" s="72"/>
      <c r="I103" s="73" t="str">
        <f t="shared" si="5"/>
        <v/>
      </c>
    </row>
    <row r="104" spans="1:9" s="73" customFormat="1" ht="16.899999999999999">
      <c r="A104" s="71"/>
      <c r="B104" s="72"/>
      <c r="C104" s="73" t="str">
        <f t="shared" si="3"/>
        <v/>
      </c>
      <c r="D104" s="71"/>
      <c r="E104" s="72"/>
      <c r="F104" s="73" t="str">
        <f t="shared" si="4"/>
        <v/>
      </c>
      <c r="G104" s="71"/>
      <c r="H104" s="72"/>
      <c r="I104" s="73" t="str">
        <f t="shared" si="5"/>
        <v/>
      </c>
    </row>
    <row r="105" spans="1:9" s="73" customFormat="1" ht="16.899999999999999">
      <c r="A105" s="71"/>
      <c r="B105" s="72"/>
      <c r="C105" s="73" t="str">
        <f t="shared" si="3"/>
        <v/>
      </c>
      <c r="D105" s="71"/>
      <c r="E105" s="72"/>
      <c r="F105" s="73" t="str">
        <f t="shared" si="4"/>
        <v/>
      </c>
      <c r="G105" s="71"/>
      <c r="H105" s="72"/>
      <c r="I105" s="73" t="str">
        <f t="shared" si="5"/>
        <v/>
      </c>
    </row>
    <row r="106" spans="1:9" s="73" customFormat="1" ht="16.899999999999999">
      <c r="A106" s="71"/>
      <c r="B106" s="72"/>
      <c r="C106" s="73" t="str">
        <f t="shared" si="3"/>
        <v/>
      </c>
      <c r="D106" s="71"/>
      <c r="E106" s="72"/>
      <c r="F106" s="73" t="str">
        <f t="shared" si="4"/>
        <v/>
      </c>
      <c r="G106" s="71"/>
      <c r="H106" s="72"/>
      <c r="I106" s="73" t="str">
        <f t="shared" si="5"/>
        <v/>
      </c>
    </row>
    <row r="107" spans="1:9" s="73" customFormat="1" ht="16.899999999999999">
      <c r="A107" s="71"/>
      <c r="B107" s="72"/>
      <c r="C107" s="73" t="str">
        <f t="shared" si="3"/>
        <v/>
      </c>
      <c r="D107" s="71"/>
      <c r="E107" s="72"/>
      <c r="F107" s="73" t="str">
        <f t="shared" si="4"/>
        <v/>
      </c>
      <c r="G107" s="71"/>
      <c r="H107" s="72"/>
      <c r="I107" s="73" t="str">
        <f t="shared" si="5"/>
        <v/>
      </c>
    </row>
    <row r="108" spans="1:9" s="73" customFormat="1" ht="16.899999999999999">
      <c r="A108" s="71"/>
      <c r="B108" s="72"/>
      <c r="C108" s="73" t="str">
        <f t="shared" si="3"/>
        <v/>
      </c>
      <c r="D108" s="71"/>
      <c r="E108" s="72"/>
      <c r="F108" s="73" t="str">
        <f t="shared" si="4"/>
        <v/>
      </c>
      <c r="G108" s="71"/>
      <c r="H108" s="72"/>
      <c r="I108" s="73" t="str">
        <f t="shared" si="5"/>
        <v/>
      </c>
    </row>
    <row r="109" spans="1:9" s="73" customFormat="1" ht="16.899999999999999">
      <c r="A109" s="71"/>
      <c r="B109" s="72"/>
      <c r="C109" s="73" t="str">
        <f t="shared" si="3"/>
        <v/>
      </c>
      <c r="D109" s="71"/>
      <c r="E109" s="72"/>
      <c r="F109" s="73" t="str">
        <f t="shared" si="4"/>
        <v/>
      </c>
      <c r="G109" s="71"/>
      <c r="H109" s="72"/>
      <c r="I109" s="73" t="str">
        <f t="shared" si="5"/>
        <v/>
      </c>
    </row>
    <row r="110" spans="1:9" s="73" customFormat="1" ht="16.899999999999999">
      <c r="A110" s="71"/>
      <c r="B110" s="72"/>
      <c r="C110" s="73" t="str">
        <f t="shared" si="3"/>
        <v/>
      </c>
      <c r="D110" s="71"/>
      <c r="E110" s="72"/>
      <c r="F110" s="73" t="str">
        <f t="shared" si="4"/>
        <v/>
      </c>
      <c r="G110" s="71"/>
      <c r="H110" s="72"/>
      <c r="I110" s="73" t="str">
        <f t="shared" si="5"/>
        <v/>
      </c>
    </row>
    <row r="111" spans="1:9" s="73" customFormat="1" ht="16.899999999999999">
      <c r="A111" s="71"/>
      <c r="B111" s="72"/>
      <c r="C111" s="73" t="str">
        <f t="shared" si="3"/>
        <v/>
      </c>
      <c r="D111" s="71"/>
      <c r="E111" s="72"/>
      <c r="F111" s="73" t="str">
        <f t="shared" si="4"/>
        <v/>
      </c>
      <c r="G111" s="71"/>
      <c r="H111" s="72"/>
      <c r="I111" s="73" t="str">
        <f t="shared" si="5"/>
        <v/>
      </c>
    </row>
    <row r="112" spans="1:9" s="73" customFormat="1" ht="16.899999999999999">
      <c r="A112" s="71"/>
      <c r="B112" s="72"/>
      <c r="C112" s="73" t="str">
        <f t="shared" si="3"/>
        <v/>
      </c>
      <c r="D112" s="71"/>
      <c r="E112" s="72"/>
      <c r="F112" s="73" t="str">
        <f t="shared" si="4"/>
        <v/>
      </c>
      <c r="G112" s="71"/>
      <c r="H112" s="72"/>
      <c r="I112" s="73" t="str">
        <f t="shared" si="5"/>
        <v/>
      </c>
    </row>
    <row r="113" spans="1:9" s="73" customFormat="1" ht="16.899999999999999">
      <c r="A113" s="71"/>
      <c r="B113" s="72"/>
      <c r="C113" s="73" t="str">
        <f t="shared" si="3"/>
        <v/>
      </c>
      <c r="D113" s="71"/>
      <c r="E113" s="72"/>
      <c r="F113" s="73" t="str">
        <f t="shared" si="4"/>
        <v/>
      </c>
      <c r="G113" s="71"/>
      <c r="H113" s="72"/>
      <c r="I113" s="73" t="str">
        <f t="shared" si="5"/>
        <v/>
      </c>
    </row>
    <row r="114" spans="1:9" s="73" customFormat="1" ht="16.899999999999999">
      <c r="A114" s="71"/>
      <c r="B114" s="72"/>
      <c r="C114" s="73" t="str">
        <f t="shared" si="3"/>
        <v/>
      </c>
      <c r="D114" s="71"/>
      <c r="E114" s="72"/>
      <c r="F114" s="73" t="str">
        <f t="shared" si="4"/>
        <v/>
      </c>
      <c r="G114" s="71"/>
      <c r="H114" s="72"/>
      <c r="I114" s="73" t="str">
        <f t="shared" si="5"/>
        <v/>
      </c>
    </row>
    <row r="115" spans="1:9" s="73" customFormat="1" ht="16.899999999999999">
      <c r="A115" s="71"/>
      <c r="B115" s="72"/>
      <c r="C115" s="73" t="str">
        <f t="shared" si="3"/>
        <v/>
      </c>
      <c r="D115" s="71"/>
      <c r="E115" s="72"/>
      <c r="F115" s="73" t="str">
        <f t="shared" si="4"/>
        <v/>
      </c>
      <c r="G115" s="71"/>
      <c r="H115" s="72"/>
      <c r="I115" s="73" t="str">
        <f t="shared" si="5"/>
        <v/>
      </c>
    </row>
    <row r="116" spans="1:9" s="73" customFormat="1" ht="16.899999999999999">
      <c r="A116" s="71"/>
      <c r="B116" s="72"/>
      <c r="C116" s="73" t="str">
        <f t="shared" si="3"/>
        <v/>
      </c>
      <c r="D116" s="71"/>
      <c r="E116" s="72"/>
      <c r="F116" s="73" t="str">
        <f t="shared" si="4"/>
        <v/>
      </c>
      <c r="G116" s="71"/>
      <c r="H116" s="72"/>
      <c r="I116" s="73" t="str">
        <f t="shared" si="5"/>
        <v/>
      </c>
    </row>
    <row r="117" spans="1:9" s="73" customFormat="1" ht="16.899999999999999">
      <c r="A117" s="71"/>
      <c r="B117" s="72"/>
      <c r="C117" s="73" t="str">
        <f t="shared" si="3"/>
        <v/>
      </c>
      <c r="D117" s="71"/>
      <c r="E117" s="72"/>
      <c r="F117" s="73" t="str">
        <f t="shared" si="4"/>
        <v/>
      </c>
      <c r="G117" s="71"/>
      <c r="H117" s="72"/>
      <c r="I117" s="73" t="str">
        <f t="shared" si="5"/>
        <v/>
      </c>
    </row>
    <row r="118" spans="1:9" s="73" customFormat="1" ht="16.899999999999999">
      <c r="A118" s="71"/>
      <c r="B118" s="72"/>
      <c r="C118" s="73" t="str">
        <f t="shared" si="3"/>
        <v/>
      </c>
      <c r="D118" s="71"/>
      <c r="E118" s="72"/>
      <c r="F118" s="73" t="str">
        <f t="shared" si="4"/>
        <v/>
      </c>
      <c r="G118" s="71"/>
      <c r="H118" s="72"/>
      <c r="I118" s="73" t="str">
        <f t="shared" si="5"/>
        <v/>
      </c>
    </row>
    <row r="119" spans="1:9" s="73" customFormat="1" ht="16.899999999999999">
      <c r="A119" s="71"/>
      <c r="B119" s="72"/>
      <c r="C119" s="73" t="str">
        <f t="shared" si="3"/>
        <v/>
      </c>
      <c r="D119" s="71"/>
      <c r="E119" s="72"/>
      <c r="F119" s="73" t="str">
        <f t="shared" si="4"/>
        <v/>
      </c>
      <c r="G119" s="71"/>
      <c r="H119" s="72"/>
      <c r="I119" s="73" t="str">
        <f t="shared" si="5"/>
        <v/>
      </c>
    </row>
    <row r="120" spans="1:9" s="73" customFormat="1" ht="16.899999999999999">
      <c r="A120" s="71"/>
      <c r="B120" s="72"/>
      <c r="C120" s="73" t="str">
        <f t="shared" si="3"/>
        <v/>
      </c>
      <c r="D120" s="71"/>
      <c r="E120" s="72"/>
      <c r="F120" s="73" t="str">
        <f t="shared" si="4"/>
        <v/>
      </c>
      <c r="G120" s="71"/>
      <c r="H120" s="72"/>
      <c r="I120" s="73" t="str">
        <f t="shared" si="5"/>
        <v/>
      </c>
    </row>
    <row r="121" spans="1:9" s="73" customFormat="1" ht="16.899999999999999">
      <c r="A121" s="71"/>
      <c r="B121" s="72"/>
      <c r="C121" s="73" t="str">
        <f t="shared" si="3"/>
        <v/>
      </c>
      <c r="D121" s="71"/>
      <c r="E121" s="72"/>
      <c r="F121" s="73" t="str">
        <f t="shared" si="4"/>
        <v/>
      </c>
      <c r="G121" s="71"/>
      <c r="H121" s="72"/>
      <c r="I121" s="73" t="str">
        <f t="shared" si="5"/>
        <v/>
      </c>
    </row>
    <row r="122" spans="1:9" s="73" customFormat="1" ht="16.899999999999999">
      <c r="A122" s="71"/>
      <c r="B122" s="72"/>
      <c r="C122" s="73" t="str">
        <f t="shared" si="3"/>
        <v/>
      </c>
      <c r="D122" s="71"/>
      <c r="E122" s="72"/>
      <c r="F122" s="73" t="str">
        <f t="shared" si="4"/>
        <v/>
      </c>
      <c r="G122" s="71"/>
      <c r="H122" s="72"/>
      <c r="I122" s="73" t="str">
        <f t="shared" si="5"/>
        <v/>
      </c>
    </row>
    <row r="123" spans="1:9" s="73" customFormat="1" ht="16.899999999999999">
      <c r="A123" s="71"/>
      <c r="B123" s="72"/>
      <c r="C123" s="73" t="str">
        <f t="shared" si="3"/>
        <v/>
      </c>
      <c r="D123" s="71"/>
      <c r="E123" s="72"/>
      <c r="F123" s="73" t="str">
        <f t="shared" si="4"/>
        <v/>
      </c>
      <c r="G123" s="71"/>
      <c r="H123" s="72"/>
      <c r="I123" s="73" t="str">
        <f t="shared" si="5"/>
        <v/>
      </c>
    </row>
    <row r="124" spans="1:9" s="73" customFormat="1" ht="16.899999999999999">
      <c r="A124" s="71"/>
      <c r="B124" s="72"/>
      <c r="C124" s="73" t="str">
        <f t="shared" si="3"/>
        <v/>
      </c>
      <c r="D124" s="71"/>
      <c r="E124" s="72"/>
      <c r="F124" s="73" t="str">
        <f t="shared" si="4"/>
        <v/>
      </c>
      <c r="G124" s="71"/>
      <c r="H124" s="72"/>
      <c r="I124" s="73" t="str">
        <f t="shared" si="5"/>
        <v/>
      </c>
    </row>
    <row r="125" spans="1:9" s="73" customFormat="1" ht="16.899999999999999">
      <c r="A125" s="71"/>
      <c r="B125" s="72"/>
      <c r="C125" s="73" t="str">
        <f t="shared" si="3"/>
        <v/>
      </c>
      <c r="D125" s="71"/>
      <c r="E125" s="72"/>
      <c r="F125" s="73" t="str">
        <f t="shared" si="4"/>
        <v/>
      </c>
      <c r="G125" s="71"/>
      <c r="H125" s="72"/>
      <c r="I125" s="73" t="str">
        <f t="shared" si="5"/>
        <v/>
      </c>
    </row>
    <row r="126" spans="1:9" s="73" customFormat="1" ht="16.899999999999999">
      <c r="A126" s="71"/>
      <c r="B126" s="72"/>
      <c r="C126" s="73" t="str">
        <f t="shared" si="3"/>
        <v/>
      </c>
      <c r="D126" s="71"/>
      <c r="E126" s="72"/>
      <c r="F126" s="73" t="str">
        <f t="shared" si="4"/>
        <v/>
      </c>
      <c r="G126" s="71"/>
      <c r="H126" s="72"/>
      <c r="I126" s="73" t="str">
        <f t="shared" si="5"/>
        <v/>
      </c>
    </row>
    <row r="127" spans="1:9" s="73" customFormat="1" ht="16.899999999999999">
      <c r="A127" s="71"/>
      <c r="B127" s="72"/>
      <c r="C127" s="73" t="str">
        <f t="shared" si="3"/>
        <v/>
      </c>
      <c r="D127" s="71"/>
      <c r="E127" s="72"/>
      <c r="F127" s="73" t="str">
        <f t="shared" si="4"/>
        <v/>
      </c>
      <c r="G127" s="71"/>
      <c r="H127" s="72"/>
      <c r="I127" s="73" t="str">
        <f t="shared" si="5"/>
        <v/>
      </c>
    </row>
    <row r="128" spans="1:9" s="73" customFormat="1" ht="16.899999999999999">
      <c r="A128" s="71"/>
      <c r="B128" s="72"/>
      <c r="C128" s="73" t="str">
        <f t="shared" si="3"/>
        <v/>
      </c>
      <c r="D128" s="71"/>
      <c r="E128" s="72"/>
      <c r="F128" s="73" t="str">
        <f t="shared" si="4"/>
        <v/>
      </c>
      <c r="G128" s="71"/>
      <c r="H128" s="72"/>
      <c r="I128" s="73" t="str">
        <f t="shared" si="5"/>
        <v/>
      </c>
    </row>
    <row r="129" spans="1:9" s="73" customFormat="1" ht="16.899999999999999">
      <c r="A129" s="71"/>
      <c r="B129" s="72"/>
      <c r="C129" s="73" t="str">
        <f t="shared" si="3"/>
        <v/>
      </c>
      <c r="D129" s="71"/>
      <c r="E129" s="72"/>
      <c r="F129" s="73" t="str">
        <f t="shared" si="4"/>
        <v/>
      </c>
      <c r="G129" s="71"/>
      <c r="H129" s="72"/>
      <c r="I129" s="73" t="str">
        <f t="shared" si="5"/>
        <v/>
      </c>
    </row>
    <row r="130" spans="1:9" s="73" customFormat="1" ht="16.899999999999999">
      <c r="A130" s="71"/>
      <c r="B130" s="72"/>
      <c r="C130" s="73" t="str">
        <f t="shared" si="3"/>
        <v/>
      </c>
      <c r="D130" s="71"/>
      <c r="E130" s="72"/>
      <c r="F130" s="73" t="str">
        <f t="shared" si="4"/>
        <v/>
      </c>
      <c r="G130" s="71"/>
      <c r="H130" s="72"/>
      <c r="I130" s="73" t="str">
        <f t="shared" si="5"/>
        <v/>
      </c>
    </row>
    <row r="131" spans="1:9" s="73" customFormat="1" ht="16.899999999999999">
      <c r="A131" s="71"/>
      <c r="B131" s="72"/>
      <c r="C131" s="73" t="str">
        <f t="shared" si="3"/>
        <v/>
      </c>
      <c r="D131" s="71"/>
      <c r="E131" s="72"/>
      <c r="F131" s="73" t="str">
        <f t="shared" si="4"/>
        <v/>
      </c>
      <c r="G131" s="71"/>
      <c r="H131" s="72"/>
      <c r="I131" s="73" t="str">
        <f t="shared" si="5"/>
        <v/>
      </c>
    </row>
    <row r="132" spans="1:9" s="73" customFormat="1" ht="16.899999999999999">
      <c r="A132" s="71"/>
      <c r="B132" s="72"/>
      <c r="C132" s="73" t="str">
        <f t="shared" si="3"/>
        <v/>
      </c>
      <c r="D132" s="71"/>
      <c r="E132" s="72"/>
      <c r="F132" s="73" t="str">
        <f t="shared" si="4"/>
        <v/>
      </c>
      <c r="G132" s="71"/>
      <c r="H132" s="72"/>
      <c r="I132" s="73" t="str">
        <f t="shared" si="5"/>
        <v/>
      </c>
    </row>
    <row r="133" spans="1:9" s="73" customFormat="1" ht="16.899999999999999">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899999999999999">
      <c r="A134" s="71"/>
      <c r="B134" s="72"/>
      <c r="C134" s="73" t="str">
        <f t="shared" si="6"/>
        <v/>
      </c>
      <c r="D134" s="71"/>
      <c r="E134" s="72"/>
      <c r="F134" s="73" t="str">
        <f t="shared" si="7"/>
        <v/>
      </c>
      <c r="G134" s="71"/>
      <c r="H134" s="72"/>
      <c r="I134" s="73" t="str">
        <f t="shared" si="8"/>
        <v/>
      </c>
    </row>
    <row r="135" spans="1:9" s="73" customFormat="1" ht="16.899999999999999">
      <c r="A135" s="71"/>
      <c r="B135" s="72"/>
      <c r="C135" s="73" t="str">
        <f t="shared" si="6"/>
        <v/>
      </c>
      <c r="D135" s="71"/>
      <c r="E135" s="72"/>
      <c r="F135" s="73" t="str">
        <f t="shared" si="7"/>
        <v/>
      </c>
      <c r="G135" s="71"/>
      <c r="H135" s="72"/>
      <c r="I135" s="73" t="str">
        <f t="shared" si="8"/>
        <v/>
      </c>
    </row>
    <row r="136" spans="1:9" s="73" customFormat="1" ht="16.899999999999999">
      <c r="A136" s="71"/>
      <c r="B136" s="72"/>
      <c r="C136" s="73" t="str">
        <f t="shared" si="6"/>
        <v/>
      </c>
      <c r="D136" s="71"/>
      <c r="E136" s="72"/>
      <c r="F136" s="73" t="str">
        <f t="shared" si="7"/>
        <v/>
      </c>
      <c r="G136" s="71"/>
      <c r="H136" s="72"/>
      <c r="I136" s="73" t="str">
        <f t="shared" si="8"/>
        <v/>
      </c>
    </row>
    <row r="137" spans="1:9" s="73" customFormat="1" ht="16.899999999999999">
      <c r="A137" s="71"/>
      <c r="B137" s="72"/>
      <c r="C137" s="73" t="str">
        <f t="shared" si="6"/>
        <v/>
      </c>
      <c r="D137" s="71"/>
      <c r="E137" s="72"/>
      <c r="F137" s="73" t="str">
        <f t="shared" si="7"/>
        <v/>
      </c>
      <c r="G137" s="71"/>
      <c r="H137" s="72"/>
      <c r="I137" s="73" t="str">
        <f t="shared" si="8"/>
        <v/>
      </c>
    </row>
    <row r="138" spans="1:9" s="73" customFormat="1" ht="16.899999999999999">
      <c r="A138" s="71"/>
      <c r="B138" s="72"/>
      <c r="C138" s="73" t="str">
        <f t="shared" si="6"/>
        <v/>
      </c>
      <c r="D138" s="71"/>
      <c r="E138" s="72"/>
      <c r="F138" s="73" t="str">
        <f t="shared" si="7"/>
        <v/>
      </c>
      <c r="G138" s="71"/>
      <c r="H138" s="72"/>
      <c r="I138" s="73" t="str">
        <f t="shared" si="8"/>
        <v/>
      </c>
    </row>
    <row r="139" spans="1:9" s="73" customFormat="1" ht="16.899999999999999">
      <c r="A139" s="71"/>
      <c r="B139" s="72"/>
      <c r="C139" s="73" t="str">
        <f t="shared" si="6"/>
        <v/>
      </c>
      <c r="D139" s="71"/>
      <c r="E139" s="72"/>
      <c r="F139" s="73" t="str">
        <f t="shared" si="7"/>
        <v/>
      </c>
      <c r="G139" s="71"/>
      <c r="H139" s="72"/>
      <c r="I139" s="73" t="str">
        <f t="shared" si="8"/>
        <v/>
      </c>
    </row>
    <row r="140" spans="1:9" s="73" customFormat="1" ht="16.899999999999999">
      <c r="A140" s="71"/>
      <c r="B140" s="72"/>
      <c r="C140" s="73" t="str">
        <f t="shared" si="6"/>
        <v/>
      </c>
      <c r="D140" s="71"/>
      <c r="E140" s="72"/>
      <c r="F140" s="73" t="str">
        <f t="shared" si="7"/>
        <v/>
      </c>
      <c r="G140" s="71"/>
      <c r="H140" s="72"/>
      <c r="I140" s="73" t="str">
        <f t="shared" si="8"/>
        <v/>
      </c>
    </row>
    <row r="141" spans="1:9" s="73" customFormat="1" ht="16.899999999999999">
      <c r="A141" s="71"/>
      <c r="B141" s="72"/>
      <c r="C141" s="73" t="str">
        <f t="shared" si="6"/>
        <v/>
      </c>
      <c r="D141" s="71"/>
      <c r="E141" s="72"/>
      <c r="F141" s="73" t="str">
        <f t="shared" si="7"/>
        <v/>
      </c>
      <c r="G141" s="71"/>
      <c r="H141" s="72"/>
      <c r="I141" s="73" t="str">
        <f t="shared" si="8"/>
        <v/>
      </c>
    </row>
    <row r="142" spans="1:9" s="73" customFormat="1" ht="16.899999999999999">
      <c r="A142" s="71"/>
      <c r="B142" s="72"/>
      <c r="C142" s="73" t="str">
        <f t="shared" si="6"/>
        <v/>
      </c>
      <c r="D142" s="71"/>
      <c r="E142" s="72"/>
      <c r="F142" s="73" t="str">
        <f t="shared" si="7"/>
        <v/>
      </c>
      <c r="G142" s="71"/>
      <c r="H142" s="72"/>
      <c r="I142" s="73" t="str">
        <f t="shared" si="8"/>
        <v/>
      </c>
    </row>
    <row r="143" spans="1:9" s="73" customFormat="1" ht="16.899999999999999">
      <c r="A143" s="71"/>
      <c r="B143" s="72"/>
      <c r="C143" s="73" t="str">
        <f t="shared" si="6"/>
        <v/>
      </c>
      <c r="D143" s="71"/>
      <c r="E143" s="72"/>
      <c r="F143" s="73" t="str">
        <f t="shared" si="7"/>
        <v/>
      </c>
      <c r="G143" s="71"/>
      <c r="H143" s="72"/>
      <c r="I143" s="73" t="str">
        <f t="shared" si="8"/>
        <v/>
      </c>
    </row>
    <row r="144" spans="1:9" s="73" customFormat="1" ht="16.899999999999999">
      <c r="A144" s="71"/>
      <c r="B144" s="72"/>
      <c r="C144" s="73" t="str">
        <f t="shared" si="6"/>
        <v/>
      </c>
      <c r="D144" s="71"/>
      <c r="E144" s="72"/>
      <c r="F144" s="73" t="str">
        <f t="shared" si="7"/>
        <v/>
      </c>
      <c r="G144" s="71"/>
      <c r="H144" s="72"/>
      <c r="I144" s="73" t="str">
        <f t="shared" si="8"/>
        <v/>
      </c>
    </row>
    <row r="145" spans="1:9" s="73" customFormat="1" ht="16.899999999999999">
      <c r="A145" s="71"/>
      <c r="B145" s="72"/>
      <c r="C145" s="73" t="str">
        <f t="shared" si="6"/>
        <v/>
      </c>
      <c r="D145" s="71"/>
      <c r="E145" s="72"/>
      <c r="F145" s="73" t="str">
        <f t="shared" si="7"/>
        <v/>
      </c>
      <c r="G145" s="71"/>
      <c r="H145" s="72"/>
      <c r="I145" s="73" t="str">
        <f t="shared" si="8"/>
        <v/>
      </c>
    </row>
    <row r="146" spans="1:9" s="73" customFormat="1" ht="16.899999999999999">
      <c r="A146" s="71"/>
      <c r="B146" s="72"/>
      <c r="C146" s="73" t="str">
        <f t="shared" si="6"/>
        <v/>
      </c>
      <c r="D146" s="71"/>
      <c r="E146" s="72"/>
      <c r="F146" s="73" t="str">
        <f t="shared" si="7"/>
        <v/>
      </c>
      <c r="G146" s="71"/>
      <c r="H146" s="72"/>
      <c r="I146" s="73" t="str">
        <f t="shared" si="8"/>
        <v/>
      </c>
    </row>
    <row r="147" spans="1:9" s="73" customFormat="1" ht="16.899999999999999">
      <c r="A147" s="71"/>
      <c r="B147" s="72"/>
      <c r="C147" s="73" t="str">
        <f t="shared" si="6"/>
        <v/>
      </c>
      <c r="D147" s="71"/>
      <c r="E147" s="72"/>
      <c r="F147" s="73" t="str">
        <f t="shared" si="7"/>
        <v/>
      </c>
      <c r="G147" s="71"/>
      <c r="H147" s="72"/>
      <c r="I147" s="73" t="str">
        <f t="shared" si="8"/>
        <v/>
      </c>
    </row>
    <row r="148" spans="1:9" s="73" customFormat="1" ht="16.899999999999999">
      <c r="A148" s="71"/>
      <c r="B148" s="72"/>
      <c r="C148" s="73" t="str">
        <f t="shared" si="6"/>
        <v/>
      </c>
      <c r="D148" s="71"/>
      <c r="E148" s="72"/>
      <c r="F148" s="73" t="str">
        <f t="shared" si="7"/>
        <v/>
      </c>
      <c r="G148" s="71"/>
      <c r="H148" s="72"/>
      <c r="I148" s="73" t="str">
        <f t="shared" si="8"/>
        <v/>
      </c>
    </row>
    <row r="149" spans="1:9" s="73" customFormat="1" ht="16.899999999999999">
      <c r="A149" s="71"/>
      <c r="B149" s="72"/>
      <c r="C149" s="73" t="str">
        <f t="shared" si="6"/>
        <v/>
      </c>
      <c r="D149" s="71"/>
      <c r="E149" s="72"/>
      <c r="F149" s="73" t="str">
        <f t="shared" si="7"/>
        <v/>
      </c>
      <c r="G149" s="71"/>
      <c r="H149" s="72"/>
      <c r="I149" s="73" t="str">
        <f t="shared" si="8"/>
        <v/>
      </c>
    </row>
    <row r="150" spans="1:9" s="73" customFormat="1" ht="16.899999999999999">
      <c r="A150" s="71"/>
      <c r="B150" s="72"/>
      <c r="C150" s="73" t="str">
        <f t="shared" si="6"/>
        <v/>
      </c>
      <c r="D150" s="71"/>
      <c r="E150" s="72"/>
      <c r="F150" s="73" t="str">
        <f t="shared" si="7"/>
        <v/>
      </c>
      <c r="G150" s="71"/>
      <c r="H150" s="72"/>
      <c r="I150" s="73" t="str">
        <f t="shared" si="8"/>
        <v/>
      </c>
    </row>
    <row r="151" spans="1:9" s="73" customFormat="1" ht="16.899999999999999">
      <c r="A151" s="71"/>
      <c r="B151" s="72"/>
      <c r="C151" s="73" t="str">
        <f t="shared" si="6"/>
        <v/>
      </c>
      <c r="D151" s="71"/>
      <c r="E151" s="72"/>
      <c r="F151" s="73" t="str">
        <f t="shared" si="7"/>
        <v/>
      </c>
      <c r="G151" s="71"/>
      <c r="H151" s="72"/>
      <c r="I151" s="73" t="str">
        <f t="shared" si="8"/>
        <v/>
      </c>
    </row>
    <row r="152" spans="1:9" s="73" customFormat="1" ht="16.899999999999999">
      <c r="A152" s="71"/>
      <c r="B152" s="72"/>
      <c r="C152" s="73" t="str">
        <f t="shared" si="6"/>
        <v/>
      </c>
      <c r="D152" s="71"/>
      <c r="E152" s="72"/>
      <c r="F152" s="73" t="str">
        <f t="shared" si="7"/>
        <v/>
      </c>
      <c r="G152" s="71"/>
      <c r="H152" s="72"/>
      <c r="I152" s="73" t="str">
        <f t="shared" si="8"/>
        <v/>
      </c>
    </row>
    <row r="153" spans="1:9" s="73" customFormat="1" ht="16.899999999999999">
      <c r="A153" s="71"/>
      <c r="B153" s="72"/>
      <c r="C153" s="73" t="str">
        <f t="shared" si="6"/>
        <v/>
      </c>
      <c r="D153" s="71"/>
      <c r="E153" s="72"/>
      <c r="F153" s="73" t="str">
        <f t="shared" si="7"/>
        <v/>
      </c>
      <c r="G153" s="71"/>
      <c r="H153" s="72"/>
      <c r="I153" s="73" t="str">
        <f t="shared" si="8"/>
        <v/>
      </c>
    </row>
    <row r="154" spans="1:9" s="73" customFormat="1" ht="16.899999999999999">
      <c r="A154" s="71"/>
      <c r="B154" s="72"/>
      <c r="C154" s="73" t="str">
        <f t="shared" si="6"/>
        <v/>
      </c>
      <c r="D154" s="71"/>
      <c r="E154" s="72"/>
      <c r="F154" s="73" t="str">
        <f t="shared" si="7"/>
        <v/>
      </c>
      <c r="G154" s="71"/>
      <c r="H154" s="72"/>
      <c r="I154" s="73" t="str">
        <f t="shared" si="8"/>
        <v/>
      </c>
    </row>
    <row r="155" spans="1:9" s="73" customFormat="1" ht="16.899999999999999">
      <c r="A155" s="71"/>
      <c r="B155" s="72"/>
      <c r="C155" s="73" t="str">
        <f t="shared" si="6"/>
        <v/>
      </c>
      <c r="D155" s="71"/>
      <c r="E155" s="72"/>
      <c r="F155" s="73" t="str">
        <f t="shared" si="7"/>
        <v/>
      </c>
      <c r="G155" s="71"/>
      <c r="H155" s="72"/>
      <c r="I155" s="73" t="str">
        <f t="shared" si="8"/>
        <v/>
      </c>
    </row>
    <row r="156" spans="1:9" s="73" customFormat="1" ht="16.899999999999999">
      <c r="A156" s="71"/>
      <c r="B156" s="72"/>
      <c r="C156" s="73" t="str">
        <f t="shared" si="6"/>
        <v/>
      </c>
      <c r="D156" s="71"/>
      <c r="E156" s="72"/>
      <c r="F156" s="73" t="str">
        <f t="shared" si="7"/>
        <v/>
      </c>
      <c r="G156" s="71"/>
      <c r="H156" s="72"/>
      <c r="I156" s="73" t="str">
        <f t="shared" si="8"/>
        <v/>
      </c>
    </row>
    <row r="157" spans="1:9" s="73" customFormat="1" ht="16.899999999999999">
      <c r="A157" s="71"/>
      <c r="B157" s="72"/>
      <c r="C157" s="73" t="str">
        <f t="shared" si="6"/>
        <v/>
      </c>
      <c r="D157" s="71"/>
      <c r="E157" s="72"/>
      <c r="F157" s="73" t="str">
        <f t="shared" si="7"/>
        <v/>
      </c>
      <c r="G157" s="71"/>
      <c r="H157" s="72"/>
      <c r="I157" s="73" t="str">
        <f t="shared" si="8"/>
        <v/>
      </c>
    </row>
    <row r="158" spans="1:9" s="73" customFormat="1" ht="16.899999999999999">
      <c r="A158" s="71"/>
      <c r="B158" s="72"/>
      <c r="C158" s="73" t="str">
        <f t="shared" si="6"/>
        <v/>
      </c>
      <c r="D158" s="71"/>
      <c r="E158" s="72"/>
      <c r="F158" s="73" t="str">
        <f t="shared" si="7"/>
        <v/>
      </c>
      <c r="G158" s="71"/>
      <c r="H158" s="72"/>
      <c r="I158" s="73" t="str">
        <f t="shared" si="8"/>
        <v/>
      </c>
    </row>
    <row r="159" spans="1:9" s="73" customFormat="1" ht="16.899999999999999">
      <c r="A159" s="71"/>
      <c r="B159" s="72"/>
      <c r="C159" s="73" t="str">
        <f t="shared" si="6"/>
        <v/>
      </c>
      <c r="D159" s="71"/>
      <c r="E159" s="72"/>
      <c r="F159" s="73" t="str">
        <f t="shared" si="7"/>
        <v/>
      </c>
      <c r="G159" s="71"/>
      <c r="H159" s="72"/>
      <c r="I159" s="73" t="str">
        <f t="shared" si="8"/>
        <v/>
      </c>
    </row>
    <row r="160" spans="1:9" s="73" customFormat="1" ht="16.899999999999999">
      <c r="A160" s="71"/>
      <c r="B160" s="72"/>
      <c r="C160" s="73" t="str">
        <f t="shared" si="6"/>
        <v/>
      </c>
      <c r="D160" s="71"/>
      <c r="E160" s="72"/>
      <c r="F160" s="73" t="str">
        <f t="shared" si="7"/>
        <v/>
      </c>
      <c r="G160" s="71"/>
      <c r="H160" s="72"/>
      <c r="I160" s="73" t="str">
        <f t="shared" si="8"/>
        <v/>
      </c>
    </row>
    <row r="161" spans="1:9" s="73" customFormat="1" ht="16.899999999999999">
      <c r="A161" s="71"/>
      <c r="B161" s="72"/>
      <c r="C161" s="73" t="str">
        <f t="shared" si="6"/>
        <v/>
      </c>
      <c r="D161" s="71"/>
      <c r="E161" s="72"/>
      <c r="F161" s="73" t="str">
        <f t="shared" si="7"/>
        <v/>
      </c>
      <c r="G161" s="71"/>
      <c r="H161" s="72"/>
      <c r="I161" s="73" t="str">
        <f t="shared" si="8"/>
        <v/>
      </c>
    </row>
    <row r="162" spans="1:9" s="73" customFormat="1" ht="16.899999999999999">
      <c r="A162" s="71"/>
      <c r="B162" s="72"/>
      <c r="C162" s="73" t="str">
        <f t="shared" si="6"/>
        <v/>
      </c>
      <c r="D162" s="71"/>
      <c r="E162" s="72"/>
      <c r="F162" s="73" t="str">
        <f t="shared" si="7"/>
        <v/>
      </c>
      <c r="G162" s="71"/>
      <c r="H162" s="72"/>
      <c r="I162" s="73" t="str">
        <f t="shared" si="8"/>
        <v/>
      </c>
    </row>
    <row r="163" spans="1:9" s="73" customFormat="1" ht="16.899999999999999">
      <c r="A163" s="71"/>
      <c r="B163" s="72"/>
      <c r="C163" s="73" t="str">
        <f t="shared" si="6"/>
        <v/>
      </c>
      <c r="D163" s="71"/>
      <c r="E163" s="72"/>
      <c r="F163" s="73" t="str">
        <f t="shared" si="7"/>
        <v/>
      </c>
      <c r="G163" s="71"/>
      <c r="H163" s="72"/>
      <c r="I163" s="73" t="str">
        <f t="shared" si="8"/>
        <v/>
      </c>
    </row>
    <row r="164" spans="1:9" s="73" customFormat="1" ht="16.899999999999999">
      <c r="A164" s="71"/>
      <c r="B164" s="72"/>
      <c r="C164" s="73" t="str">
        <f t="shared" si="6"/>
        <v/>
      </c>
      <c r="D164" s="71"/>
      <c r="E164" s="72"/>
      <c r="F164" s="73" t="str">
        <f t="shared" si="7"/>
        <v/>
      </c>
      <c r="G164" s="71"/>
      <c r="H164" s="72"/>
      <c r="I164" s="73" t="str">
        <f t="shared" si="8"/>
        <v/>
      </c>
    </row>
    <row r="165" spans="1:9" s="73" customFormat="1" ht="16.899999999999999">
      <c r="A165" s="71"/>
      <c r="B165" s="72"/>
      <c r="C165" s="73" t="str">
        <f t="shared" si="6"/>
        <v/>
      </c>
      <c r="D165" s="71"/>
      <c r="E165" s="72"/>
      <c r="F165" s="73" t="str">
        <f t="shared" si="7"/>
        <v/>
      </c>
      <c r="G165" s="71"/>
      <c r="H165" s="72"/>
      <c r="I165" s="73" t="str">
        <f t="shared" si="8"/>
        <v/>
      </c>
    </row>
    <row r="166" spans="1:9" s="73" customFormat="1" ht="16.899999999999999">
      <c r="A166" s="71"/>
      <c r="B166" s="72"/>
      <c r="C166" s="73" t="str">
        <f t="shared" si="6"/>
        <v/>
      </c>
      <c r="D166" s="71"/>
      <c r="E166" s="72"/>
      <c r="F166" s="73" t="str">
        <f t="shared" si="7"/>
        <v/>
      </c>
      <c r="G166" s="71"/>
      <c r="H166" s="72"/>
      <c r="I166" s="73" t="str">
        <f t="shared" si="8"/>
        <v/>
      </c>
    </row>
    <row r="167" spans="1:9" s="73" customFormat="1" ht="16.899999999999999">
      <c r="A167" s="71"/>
      <c r="B167" s="72"/>
      <c r="C167" s="73" t="str">
        <f t="shared" si="6"/>
        <v/>
      </c>
      <c r="D167" s="71"/>
      <c r="E167" s="72"/>
      <c r="F167" s="73" t="str">
        <f t="shared" si="7"/>
        <v/>
      </c>
      <c r="G167" s="71"/>
      <c r="H167" s="72"/>
      <c r="I167" s="73" t="str">
        <f t="shared" si="8"/>
        <v/>
      </c>
    </row>
    <row r="168" spans="1:9" s="73" customFormat="1" ht="16.899999999999999">
      <c r="A168" s="71"/>
      <c r="B168" s="72"/>
      <c r="C168" s="73" t="str">
        <f t="shared" si="6"/>
        <v/>
      </c>
      <c r="D168" s="71"/>
      <c r="E168" s="72"/>
      <c r="F168" s="73" t="str">
        <f t="shared" si="7"/>
        <v/>
      </c>
      <c r="G168" s="71"/>
      <c r="H168" s="72"/>
      <c r="I168" s="73" t="str">
        <f t="shared" si="8"/>
        <v/>
      </c>
    </row>
    <row r="169" spans="1:9" s="73" customFormat="1" ht="16.899999999999999">
      <c r="A169" s="71"/>
      <c r="B169" s="72"/>
      <c r="C169" s="73" t="str">
        <f t="shared" si="6"/>
        <v/>
      </c>
      <c r="D169" s="71"/>
      <c r="E169" s="72"/>
      <c r="F169" s="73" t="str">
        <f t="shared" si="7"/>
        <v/>
      </c>
      <c r="G169" s="71"/>
      <c r="H169" s="72"/>
      <c r="I169" s="73" t="str">
        <f t="shared" si="8"/>
        <v/>
      </c>
    </row>
    <row r="170" spans="1:9" s="73" customFormat="1" ht="16.899999999999999">
      <c r="A170" s="71"/>
      <c r="B170" s="72"/>
      <c r="C170" s="73" t="str">
        <f t="shared" si="6"/>
        <v/>
      </c>
      <c r="D170" s="71"/>
      <c r="E170" s="72"/>
      <c r="F170" s="73" t="str">
        <f t="shared" si="7"/>
        <v/>
      </c>
      <c r="G170" s="71"/>
      <c r="H170" s="72"/>
      <c r="I170" s="73" t="str">
        <f t="shared" si="8"/>
        <v/>
      </c>
    </row>
    <row r="171" spans="1:9" s="73" customFormat="1" ht="16.899999999999999">
      <c r="A171" s="71"/>
      <c r="B171" s="72"/>
      <c r="C171" s="73" t="str">
        <f t="shared" si="6"/>
        <v/>
      </c>
      <c r="D171" s="71"/>
      <c r="E171" s="72"/>
      <c r="F171" s="73" t="str">
        <f t="shared" si="7"/>
        <v/>
      </c>
      <c r="G171" s="71"/>
      <c r="H171" s="72"/>
      <c r="I171" s="73" t="str">
        <f t="shared" si="8"/>
        <v/>
      </c>
    </row>
    <row r="172" spans="1:9" s="73" customFormat="1" ht="16.899999999999999">
      <c r="A172" s="71"/>
      <c r="B172" s="72"/>
      <c r="C172" s="73" t="str">
        <f t="shared" si="6"/>
        <v/>
      </c>
      <c r="D172" s="71"/>
      <c r="E172" s="72"/>
      <c r="F172" s="73" t="str">
        <f t="shared" si="7"/>
        <v/>
      </c>
      <c r="G172" s="71"/>
      <c r="H172" s="72"/>
      <c r="I172" s="73" t="str">
        <f t="shared" si="8"/>
        <v/>
      </c>
    </row>
    <row r="173" spans="1:9" s="73" customFormat="1" ht="16.899999999999999">
      <c r="A173" s="71"/>
      <c r="B173" s="72"/>
      <c r="C173" s="73" t="str">
        <f t="shared" si="6"/>
        <v/>
      </c>
      <c r="D173" s="71"/>
      <c r="E173" s="72"/>
      <c r="F173" s="73" t="str">
        <f t="shared" si="7"/>
        <v/>
      </c>
      <c r="G173" s="71"/>
      <c r="H173" s="72"/>
      <c r="I173" s="73" t="str">
        <f t="shared" si="8"/>
        <v/>
      </c>
    </row>
    <row r="174" spans="1:9" s="73" customFormat="1" ht="16.899999999999999">
      <c r="A174" s="71"/>
      <c r="B174" s="72"/>
      <c r="C174" s="73" t="str">
        <f t="shared" si="6"/>
        <v/>
      </c>
      <c r="D174" s="71"/>
      <c r="E174" s="72"/>
      <c r="F174" s="73" t="str">
        <f t="shared" si="7"/>
        <v/>
      </c>
      <c r="G174" s="71"/>
      <c r="H174" s="72"/>
      <c r="I174" s="73" t="str">
        <f t="shared" si="8"/>
        <v/>
      </c>
    </row>
    <row r="175" spans="1:9" s="73" customFormat="1" ht="16.899999999999999">
      <c r="A175" s="71"/>
      <c r="B175" s="72"/>
      <c r="C175" s="73" t="str">
        <f t="shared" si="6"/>
        <v/>
      </c>
      <c r="D175" s="71"/>
      <c r="E175" s="72"/>
      <c r="F175" s="73" t="str">
        <f t="shared" si="7"/>
        <v/>
      </c>
      <c r="G175" s="71"/>
      <c r="H175" s="72"/>
      <c r="I175" s="73" t="str">
        <f t="shared" si="8"/>
        <v/>
      </c>
    </row>
    <row r="176" spans="1:9" s="73" customFormat="1" ht="16.899999999999999">
      <c r="A176" s="71"/>
      <c r="B176" s="72"/>
      <c r="C176" s="73" t="str">
        <f t="shared" si="6"/>
        <v/>
      </c>
      <c r="D176" s="71"/>
      <c r="E176" s="72"/>
      <c r="F176" s="73" t="str">
        <f t="shared" si="7"/>
        <v/>
      </c>
      <c r="G176" s="71"/>
      <c r="H176" s="72"/>
      <c r="I176" s="73" t="str">
        <f t="shared" si="8"/>
        <v/>
      </c>
    </row>
    <row r="177" spans="1:9" s="73" customFormat="1" ht="16.899999999999999">
      <c r="A177" s="71"/>
      <c r="B177" s="72"/>
      <c r="C177" s="73" t="str">
        <f t="shared" si="6"/>
        <v/>
      </c>
      <c r="D177" s="71"/>
      <c r="E177" s="72"/>
      <c r="F177" s="73" t="str">
        <f t="shared" si="7"/>
        <v/>
      </c>
      <c r="G177" s="71"/>
      <c r="H177" s="72"/>
      <c r="I177" s="73" t="str">
        <f t="shared" si="8"/>
        <v/>
      </c>
    </row>
    <row r="178" spans="1:9" s="73" customFormat="1" ht="16.899999999999999">
      <c r="A178" s="71"/>
      <c r="B178" s="72"/>
      <c r="C178" s="73" t="str">
        <f t="shared" si="6"/>
        <v/>
      </c>
      <c r="D178" s="71"/>
      <c r="E178" s="72"/>
      <c r="F178" s="73" t="str">
        <f t="shared" si="7"/>
        <v/>
      </c>
      <c r="G178" s="71"/>
      <c r="H178" s="72"/>
      <c r="I178" s="73" t="str">
        <f t="shared" si="8"/>
        <v/>
      </c>
    </row>
    <row r="179" spans="1:9" s="73" customFormat="1" ht="16.899999999999999">
      <c r="A179" s="71"/>
      <c r="B179" s="72"/>
      <c r="C179" s="73" t="str">
        <f t="shared" si="6"/>
        <v/>
      </c>
      <c r="D179" s="71"/>
      <c r="E179" s="72"/>
      <c r="F179" s="73" t="str">
        <f t="shared" si="7"/>
        <v/>
      </c>
      <c r="G179" s="71"/>
      <c r="H179" s="72"/>
      <c r="I179" s="73" t="str">
        <f t="shared" si="8"/>
        <v/>
      </c>
    </row>
    <row r="180" spans="1:9" s="73" customFormat="1" ht="16.899999999999999">
      <c r="A180" s="71"/>
      <c r="B180" s="72"/>
      <c r="C180" s="73" t="str">
        <f t="shared" si="6"/>
        <v/>
      </c>
      <c r="D180" s="71"/>
      <c r="E180" s="72"/>
      <c r="F180" s="73" t="str">
        <f t="shared" si="7"/>
        <v/>
      </c>
      <c r="G180" s="71"/>
      <c r="H180" s="72"/>
      <c r="I180" s="73" t="str">
        <f t="shared" si="8"/>
        <v/>
      </c>
    </row>
    <row r="181" spans="1:9" s="73" customFormat="1" ht="16.899999999999999">
      <c r="A181" s="71"/>
      <c r="B181" s="72"/>
      <c r="C181" s="73" t="str">
        <f t="shared" si="6"/>
        <v/>
      </c>
      <c r="D181" s="71"/>
      <c r="E181" s="72"/>
      <c r="F181" s="73" t="str">
        <f t="shared" si="7"/>
        <v/>
      </c>
      <c r="G181" s="71"/>
      <c r="H181" s="72"/>
      <c r="I181" s="73" t="str">
        <f t="shared" si="8"/>
        <v/>
      </c>
    </row>
    <row r="182" spans="1:9" s="73" customFormat="1" ht="16.899999999999999">
      <c r="A182" s="71"/>
      <c r="B182" s="72"/>
      <c r="C182" s="73" t="str">
        <f t="shared" si="6"/>
        <v/>
      </c>
      <c r="D182" s="71"/>
      <c r="E182" s="72"/>
      <c r="F182" s="73" t="str">
        <f t="shared" si="7"/>
        <v/>
      </c>
      <c r="G182" s="71"/>
      <c r="H182" s="72"/>
      <c r="I182" s="73" t="str">
        <f t="shared" si="8"/>
        <v/>
      </c>
    </row>
    <row r="183" spans="1:9" s="73" customFormat="1" ht="16.899999999999999">
      <c r="A183" s="71"/>
      <c r="B183" s="72"/>
      <c r="C183" s="73" t="str">
        <f t="shared" si="6"/>
        <v/>
      </c>
      <c r="D183" s="71"/>
      <c r="E183" s="72"/>
      <c r="F183" s="73" t="str">
        <f t="shared" si="7"/>
        <v/>
      </c>
      <c r="G183" s="71"/>
      <c r="H183" s="72"/>
      <c r="I183" s="73" t="str">
        <f t="shared" si="8"/>
        <v/>
      </c>
    </row>
    <row r="184" spans="1:9" s="73" customFormat="1" ht="16.899999999999999">
      <c r="A184" s="71"/>
      <c r="B184" s="72"/>
      <c r="C184" s="73" t="str">
        <f t="shared" si="6"/>
        <v/>
      </c>
      <c r="D184" s="71"/>
      <c r="E184" s="72"/>
      <c r="F184" s="73" t="str">
        <f t="shared" si="7"/>
        <v/>
      </c>
      <c r="G184" s="71"/>
      <c r="H184" s="72"/>
      <c r="I184" s="73" t="str">
        <f t="shared" si="8"/>
        <v/>
      </c>
    </row>
    <row r="185" spans="1:9" s="73" customFormat="1" ht="16.899999999999999">
      <c r="A185" s="71"/>
      <c r="B185" s="72"/>
      <c r="C185" s="73" t="str">
        <f t="shared" si="6"/>
        <v/>
      </c>
      <c r="D185" s="71"/>
      <c r="E185" s="72"/>
      <c r="F185" s="73" t="str">
        <f t="shared" si="7"/>
        <v/>
      </c>
      <c r="G185" s="71"/>
      <c r="H185" s="72"/>
      <c r="I185" s="73" t="str">
        <f t="shared" si="8"/>
        <v/>
      </c>
    </row>
    <row r="186" spans="1:9" s="73" customFormat="1" ht="16.899999999999999">
      <c r="A186" s="71"/>
      <c r="B186" s="72"/>
      <c r="C186" s="73" t="str">
        <f t="shared" si="6"/>
        <v/>
      </c>
      <c r="D186" s="71"/>
      <c r="E186" s="72"/>
      <c r="F186" s="73" t="str">
        <f t="shared" si="7"/>
        <v/>
      </c>
      <c r="G186" s="71"/>
      <c r="H186" s="72"/>
      <c r="I186" s="73" t="str">
        <f t="shared" si="8"/>
        <v/>
      </c>
    </row>
    <row r="187" spans="1:9" s="73" customFormat="1" ht="16.899999999999999">
      <c r="A187" s="71"/>
      <c r="B187" s="72"/>
      <c r="C187" s="73" t="str">
        <f t="shared" si="6"/>
        <v/>
      </c>
      <c r="D187" s="71"/>
      <c r="E187" s="72"/>
      <c r="F187" s="73" t="str">
        <f t="shared" si="7"/>
        <v/>
      </c>
      <c r="G187" s="71"/>
      <c r="H187" s="72"/>
      <c r="I187" s="73" t="str">
        <f t="shared" si="8"/>
        <v/>
      </c>
    </row>
    <row r="188" spans="1:9" s="73" customFormat="1" ht="16.899999999999999">
      <c r="A188" s="71"/>
      <c r="B188" s="72"/>
      <c r="C188" s="73" t="str">
        <f t="shared" si="6"/>
        <v/>
      </c>
      <c r="D188" s="71"/>
      <c r="E188" s="72"/>
      <c r="F188" s="73" t="str">
        <f t="shared" si="7"/>
        <v/>
      </c>
      <c r="G188" s="71"/>
      <c r="H188" s="72"/>
      <c r="I188" s="73" t="str">
        <f t="shared" si="8"/>
        <v/>
      </c>
    </row>
    <row r="189" spans="1:9" s="73" customFormat="1" ht="16.899999999999999">
      <c r="A189" s="71"/>
      <c r="B189" s="72"/>
      <c r="C189" s="73" t="str">
        <f t="shared" si="6"/>
        <v/>
      </c>
      <c r="D189" s="71"/>
      <c r="E189" s="72"/>
      <c r="F189" s="73" t="str">
        <f t="shared" si="7"/>
        <v/>
      </c>
      <c r="G189" s="71"/>
      <c r="H189" s="72"/>
      <c r="I189" s="73" t="str">
        <f t="shared" si="8"/>
        <v/>
      </c>
    </row>
    <row r="190" spans="1:9" s="73" customFormat="1" ht="16.899999999999999">
      <c r="A190" s="71"/>
      <c r="B190" s="72"/>
      <c r="C190" s="73" t="str">
        <f t="shared" si="6"/>
        <v/>
      </c>
      <c r="D190" s="71"/>
      <c r="E190" s="72"/>
      <c r="F190" s="73" t="str">
        <f t="shared" si="7"/>
        <v/>
      </c>
      <c r="G190" s="71"/>
      <c r="H190" s="72"/>
      <c r="I190" s="73" t="str">
        <f t="shared" si="8"/>
        <v/>
      </c>
    </row>
    <row r="191" spans="1:9" s="73" customFormat="1" ht="16.899999999999999">
      <c r="A191" s="71"/>
      <c r="B191" s="72"/>
      <c r="C191" s="73" t="str">
        <f t="shared" si="6"/>
        <v/>
      </c>
      <c r="D191" s="71"/>
      <c r="E191" s="72"/>
      <c r="F191" s="73" t="str">
        <f t="shared" si="7"/>
        <v/>
      </c>
      <c r="G191" s="71"/>
      <c r="H191" s="72"/>
      <c r="I191" s="73" t="str">
        <f t="shared" si="8"/>
        <v/>
      </c>
    </row>
    <row r="192" spans="1:9" s="73" customFormat="1" ht="16.899999999999999">
      <c r="A192" s="71"/>
      <c r="B192" s="72"/>
      <c r="C192" s="73" t="str">
        <f t="shared" si="6"/>
        <v/>
      </c>
      <c r="D192" s="71"/>
      <c r="E192" s="72"/>
      <c r="F192" s="73" t="str">
        <f t="shared" si="7"/>
        <v/>
      </c>
      <c r="G192" s="71"/>
      <c r="H192" s="72"/>
      <c r="I192" s="73" t="str">
        <f t="shared" si="8"/>
        <v/>
      </c>
    </row>
    <row r="193" spans="1:9" s="73" customFormat="1" ht="16.899999999999999">
      <c r="A193" s="71"/>
      <c r="B193" s="72"/>
      <c r="C193" s="73" t="str">
        <f t="shared" si="6"/>
        <v/>
      </c>
      <c r="D193" s="71"/>
      <c r="E193" s="72"/>
      <c r="F193" s="73" t="str">
        <f t="shared" si="7"/>
        <v/>
      </c>
      <c r="G193" s="71"/>
      <c r="H193" s="72"/>
      <c r="I193" s="73" t="str">
        <f t="shared" si="8"/>
        <v/>
      </c>
    </row>
    <row r="194" spans="1:9" s="73" customFormat="1" ht="16.899999999999999">
      <c r="A194" s="71"/>
      <c r="B194" s="72"/>
      <c r="C194" s="73" t="str">
        <f t="shared" si="6"/>
        <v/>
      </c>
      <c r="D194" s="71"/>
      <c r="E194" s="72"/>
      <c r="F194" s="73" t="str">
        <f t="shared" si="7"/>
        <v/>
      </c>
      <c r="G194" s="71"/>
      <c r="H194" s="72"/>
      <c r="I194" s="73" t="str">
        <f t="shared" si="8"/>
        <v/>
      </c>
    </row>
    <row r="195" spans="1:9" s="73" customFormat="1" ht="16.899999999999999">
      <c r="A195" s="71"/>
      <c r="B195" s="72"/>
      <c r="C195" s="73" t="str">
        <f t="shared" si="6"/>
        <v/>
      </c>
      <c r="D195" s="71"/>
      <c r="E195" s="72"/>
      <c r="F195" s="73" t="str">
        <f t="shared" si="7"/>
        <v/>
      </c>
      <c r="G195" s="71"/>
      <c r="H195" s="72"/>
      <c r="I195" s="73" t="str">
        <f t="shared" si="8"/>
        <v/>
      </c>
    </row>
    <row r="196" spans="1:9" s="73" customFormat="1" ht="16.899999999999999">
      <c r="A196" s="71"/>
      <c r="B196" s="72"/>
      <c r="C196" s="73" t="str">
        <f t="shared" si="6"/>
        <v/>
      </c>
      <c r="D196" s="71"/>
      <c r="E196" s="72"/>
      <c r="F196" s="73" t="str">
        <f t="shared" si="7"/>
        <v/>
      </c>
      <c r="G196" s="71"/>
      <c r="H196" s="72"/>
      <c r="I196" s="73" t="str">
        <f t="shared" si="8"/>
        <v/>
      </c>
    </row>
    <row r="197" spans="1:9" s="73" customFormat="1" ht="16.899999999999999">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899999999999999">
      <c r="A198" s="71"/>
      <c r="B198" s="72"/>
      <c r="C198" s="73" t="str">
        <f t="shared" si="9"/>
        <v/>
      </c>
      <c r="D198" s="71"/>
      <c r="E198" s="72"/>
      <c r="F198" s="73" t="str">
        <f t="shared" si="10"/>
        <v/>
      </c>
      <c r="G198" s="71"/>
      <c r="H198" s="72"/>
      <c r="I198" s="73" t="str">
        <f t="shared" si="11"/>
        <v/>
      </c>
    </row>
    <row r="199" spans="1:9" s="73" customFormat="1" ht="16.899999999999999">
      <c r="A199" s="71"/>
      <c r="B199" s="72"/>
      <c r="C199" s="73" t="str">
        <f t="shared" si="9"/>
        <v/>
      </c>
      <c r="D199" s="71"/>
      <c r="E199" s="72"/>
      <c r="F199" s="73" t="str">
        <f t="shared" si="10"/>
        <v/>
      </c>
      <c r="G199" s="71"/>
      <c r="H199" s="72"/>
      <c r="I199" s="73" t="str">
        <f t="shared" si="11"/>
        <v/>
      </c>
    </row>
    <row r="200" spans="1:9" s="73" customFormat="1" ht="16.899999999999999">
      <c r="A200" s="71"/>
      <c r="B200" s="72"/>
      <c r="C200" s="73" t="str">
        <f t="shared" si="9"/>
        <v/>
      </c>
      <c r="D200" s="71"/>
      <c r="E200" s="72"/>
      <c r="F200" s="73" t="str">
        <f t="shared" si="10"/>
        <v/>
      </c>
      <c r="G200" s="71"/>
      <c r="H200" s="72"/>
      <c r="I200" s="73" t="str">
        <f t="shared" si="11"/>
        <v/>
      </c>
    </row>
    <row r="201" spans="1:9" s="73" customFormat="1" ht="16.899999999999999">
      <c r="A201" s="71"/>
      <c r="B201" s="72"/>
      <c r="C201" s="73" t="str">
        <f t="shared" si="9"/>
        <v/>
      </c>
      <c r="D201" s="71"/>
      <c r="E201" s="72"/>
      <c r="F201" s="73" t="str">
        <f t="shared" si="10"/>
        <v/>
      </c>
      <c r="G201" s="71"/>
      <c r="H201" s="72"/>
      <c r="I201" s="73" t="str">
        <f t="shared" si="11"/>
        <v/>
      </c>
    </row>
    <row r="202" spans="1:9" s="73" customFormat="1" ht="16.899999999999999">
      <c r="A202" s="71"/>
      <c r="B202" s="72"/>
      <c r="C202" s="73" t="str">
        <f t="shared" si="9"/>
        <v/>
      </c>
      <c r="D202" s="71"/>
      <c r="E202" s="72"/>
      <c r="F202" s="73" t="str">
        <f t="shared" si="10"/>
        <v/>
      </c>
      <c r="G202" s="71"/>
      <c r="H202" s="72"/>
      <c r="I202" s="73" t="str">
        <f t="shared" si="11"/>
        <v/>
      </c>
    </row>
    <row r="203" spans="1:9" s="73" customFormat="1" ht="16.899999999999999">
      <c r="A203" s="71"/>
      <c r="B203" s="72"/>
      <c r="C203" s="73" t="str">
        <f t="shared" si="9"/>
        <v/>
      </c>
      <c r="D203" s="71"/>
      <c r="E203" s="72"/>
      <c r="F203" s="73" t="str">
        <f t="shared" si="10"/>
        <v/>
      </c>
      <c r="G203" s="71"/>
      <c r="H203" s="72"/>
      <c r="I203" s="73" t="str">
        <f t="shared" si="11"/>
        <v/>
      </c>
    </row>
    <row r="204" spans="1:9" s="73" customFormat="1" ht="16.899999999999999">
      <c r="A204" s="71"/>
      <c r="B204" s="72"/>
      <c r="C204" s="73" t="str">
        <f t="shared" si="9"/>
        <v/>
      </c>
      <c r="D204" s="71"/>
      <c r="E204" s="72"/>
      <c r="F204" s="73" t="str">
        <f t="shared" si="10"/>
        <v/>
      </c>
      <c r="G204" s="71"/>
      <c r="H204" s="72"/>
      <c r="I204" s="73" t="str">
        <f t="shared" si="11"/>
        <v/>
      </c>
    </row>
    <row r="205" spans="1:9" s="73" customFormat="1" ht="16.899999999999999">
      <c r="A205" s="71"/>
      <c r="B205" s="72"/>
      <c r="C205" s="73" t="str">
        <f t="shared" si="9"/>
        <v/>
      </c>
      <c r="D205" s="71"/>
      <c r="E205" s="72"/>
      <c r="F205" s="73" t="str">
        <f t="shared" si="10"/>
        <v/>
      </c>
      <c r="G205" s="71"/>
      <c r="H205" s="72"/>
      <c r="I205" s="73" t="str">
        <f t="shared" si="11"/>
        <v/>
      </c>
    </row>
    <row r="206" spans="1:9" s="73" customFormat="1" ht="16.899999999999999">
      <c r="A206" s="71"/>
      <c r="B206" s="72"/>
      <c r="C206" s="73" t="str">
        <f t="shared" si="9"/>
        <v/>
      </c>
      <c r="D206" s="71"/>
      <c r="E206" s="72"/>
      <c r="F206" s="73" t="str">
        <f t="shared" si="10"/>
        <v/>
      </c>
      <c r="G206" s="71"/>
      <c r="H206" s="72"/>
      <c r="I206" s="73" t="str">
        <f t="shared" si="11"/>
        <v/>
      </c>
    </row>
    <row r="207" spans="1:9" s="73" customFormat="1" ht="16.899999999999999">
      <c r="A207" s="71"/>
      <c r="B207" s="72"/>
      <c r="C207" s="73" t="str">
        <f t="shared" si="9"/>
        <v/>
      </c>
      <c r="D207" s="71"/>
      <c r="E207" s="72"/>
      <c r="F207" s="73" t="str">
        <f t="shared" si="10"/>
        <v/>
      </c>
      <c r="G207" s="71"/>
      <c r="H207" s="72"/>
      <c r="I207" s="73" t="str">
        <f t="shared" si="11"/>
        <v/>
      </c>
    </row>
    <row r="208" spans="1:9" s="73" customFormat="1" ht="16.899999999999999">
      <c r="A208" s="71"/>
      <c r="B208" s="72"/>
      <c r="C208" s="73" t="str">
        <f t="shared" si="9"/>
        <v/>
      </c>
      <c r="D208" s="71"/>
      <c r="E208" s="72"/>
      <c r="F208" s="73" t="str">
        <f t="shared" si="10"/>
        <v/>
      </c>
      <c r="G208" s="71"/>
      <c r="H208" s="72"/>
      <c r="I208" s="73" t="str">
        <f t="shared" si="11"/>
        <v/>
      </c>
    </row>
    <row r="209" spans="1:9" s="73" customFormat="1" ht="16.899999999999999">
      <c r="A209" s="71"/>
      <c r="B209" s="72"/>
      <c r="C209" s="73" t="str">
        <f t="shared" si="9"/>
        <v/>
      </c>
      <c r="D209" s="71"/>
      <c r="E209" s="72"/>
      <c r="F209" s="73" t="str">
        <f t="shared" si="10"/>
        <v/>
      </c>
      <c r="G209" s="71"/>
      <c r="H209" s="72"/>
      <c r="I209" s="73" t="str">
        <f t="shared" si="11"/>
        <v/>
      </c>
    </row>
    <row r="210" spans="1:9" s="73" customFormat="1" ht="16.899999999999999">
      <c r="A210" s="71"/>
      <c r="B210" s="72"/>
      <c r="C210" s="73" t="str">
        <f t="shared" si="9"/>
        <v/>
      </c>
      <c r="D210" s="71"/>
      <c r="E210" s="72"/>
      <c r="F210" s="73" t="str">
        <f t="shared" si="10"/>
        <v/>
      </c>
      <c r="G210" s="71"/>
      <c r="H210" s="72"/>
      <c r="I210" s="73" t="str">
        <f t="shared" si="11"/>
        <v/>
      </c>
    </row>
    <row r="211" spans="1:9" s="73" customFormat="1" ht="16.899999999999999">
      <c r="A211" s="71"/>
      <c r="B211" s="72"/>
      <c r="C211" s="73" t="str">
        <f t="shared" si="9"/>
        <v/>
      </c>
      <c r="D211" s="71"/>
      <c r="E211" s="72"/>
      <c r="F211" s="73" t="str">
        <f t="shared" si="10"/>
        <v/>
      </c>
      <c r="G211" s="71"/>
      <c r="H211" s="72"/>
      <c r="I211" s="73" t="str">
        <f t="shared" si="11"/>
        <v/>
      </c>
    </row>
    <row r="212" spans="1:9" s="73" customFormat="1" ht="16.899999999999999">
      <c r="A212" s="71"/>
      <c r="B212" s="72"/>
      <c r="C212" s="73" t="str">
        <f t="shared" si="9"/>
        <v/>
      </c>
      <c r="D212" s="71"/>
      <c r="E212" s="72"/>
      <c r="F212" s="73" t="str">
        <f t="shared" si="10"/>
        <v/>
      </c>
      <c r="G212" s="71"/>
      <c r="H212" s="72"/>
      <c r="I212" s="73" t="str">
        <f t="shared" si="11"/>
        <v/>
      </c>
    </row>
    <row r="213" spans="1:9" s="73" customFormat="1" ht="16.899999999999999">
      <c r="A213" s="71"/>
      <c r="B213" s="72"/>
      <c r="C213" s="73" t="str">
        <f t="shared" si="9"/>
        <v/>
      </c>
      <c r="D213" s="71"/>
      <c r="E213" s="72"/>
      <c r="F213" s="73" t="str">
        <f t="shared" si="10"/>
        <v/>
      </c>
      <c r="G213" s="71"/>
      <c r="H213" s="72"/>
      <c r="I213" s="73" t="str">
        <f t="shared" si="11"/>
        <v/>
      </c>
    </row>
    <row r="214" spans="1:9" s="73" customFormat="1" ht="16.899999999999999">
      <c r="A214" s="71"/>
      <c r="B214" s="72"/>
      <c r="C214" s="73" t="str">
        <f t="shared" si="9"/>
        <v/>
      </c>
      <c r="D214" s="71"/>
      <c r="E214" s="72"/>
      <c r="F214" s="73" t="str">
        <f t="shared" si="10"/>
        <v/>
      </c>
      <c r="G214" s="71"/>
      <c r="H214" s="72"/>
      <c r="I214" s="73" t="str">
        <f t="shared" si="11"/>
        <v/>
      </c>
    </row>
    <row r="215" spans="1:9" s="73" customFormat="1" ht="16.899999999999999">
      <c r="A215" s="71"/>
      <c r="B215" s="72"/>
      <c r="C215" s="73" t="str">
        <f t="shared" si="9"/>
        <v/>
      </c>
      <c r="D215" s="71"/>
      <c r="E215" s="72"/>
      <c r="F215" s="73" t="str">
        <f t="shared" si="10"/>
        <v/>
      </c>
      <c r="G215" s="71"/>
      <c r="H215" s="72"/>
      <c r="I215" s="73" t="str">
        <f t="shared" si="11"/>
        <v/>
      </c>
    </row>
    <row r="216" spans="1:9" s="73" customFormat="1" ht="16.899999999999999">
      <c r="A216" s="71"/>
      <c r="B216" s="72"/>
      <c r="C216" s="73" t="str">
        <f t="shared" si="9"/>
        <v/>
      </c>
      <c r="D216" s="71"/>
      <c r="E216" s="72"/>
      <c r="F216" s="73" t="str">
        <f t="shared" si="10"/>
        <v/>
      </c>
      <c r="G216" s="71"/>
      <c r="H216" s="72"/>
      <c r="I216" s="73" t="str">
        <f t="shared" si="11"/>
        <v/>
      </c>
    </row>
    <row r="217" spans="1:9" s="73" customFormat="1" ht="16.899999999999999">
      <c r="A217" s="71"/>
      <c r="B217" s="72"/>
      <c r="C217" s="73" t="str">
        <f t="shared" si="9"/>
        <v/>
      </c>
      <c r="D217" s="71"/>
      <c r="E217" s="72"/>
      <c r="F217" s="73" t="str">
        <f t="shared" si="10"/>
        <v/>
      </c>
      <c r="G217" s="71"/>
      <c r="H217" s="72"/>
      <c r="I217" s="73" t="str">
        <f t="shared" si="11"/>
        <v/>
      </c>
    </row>
    <row r="218" spans="1:9" s="73" customFormat="1" ht="16.899999999999999">
      <c r="A218" s="71"/>
      <c r="B218" s="72"/>
      <c r="C218" s="73" t="str">
        <f t="shared" si="9"/>
        <v/>
      </c>
      <c r="D218" s="71"/>
      <c r="E218" s="72"/>
      <c r="F218" s="73" t="str">
        <f t="shared" si="10"/>
        <v/>
      </c>
      <c r="G218" s="71"/>
      <c r="H218" s="72"/>
      <c r="I218" s="73" t="str">
        <f t="shared" si="11"/>
        <v/>
      </c>
    </row>
    <row r="219" spans="1:9" s="73" customFormat="1" ht="16.899999999999999">
      <c r="A219" s="71"/>
      <c r="B219" s="72"/>
      <c r="C219" s="73" t="str">
        <f t="shared" si="9"/>
        <v/>
      </c>
      <c r="D219" s="71"/>
      <c r="E219" s="72"/>
      <c r="F219" s="73" t="str">
        <f t="shared" si="10"/>
        <v/>
      </c>
      <c r="G219" s="71"/>
      <c r="H219" s="72"/>
      <c r="I219" s="73" t="str">
        <f t="shared" si="11"/>
        <v/>
      </c>
    </row>
    <row r="220" spans="1:9" s="73" customFormat="1" ht="16.899999999999999">
      <c r="A220" s="71"/>
      <c r="B220" s="72"/>
      <c r="C220" s="73" t="str">
        <f t="shared" si="9"/>
        <v/>
      </c>
      <c r="D220" s="71"/>
      <c r="E220" s="72"/>
      <c r="F220" s="73" t="str">
        <f t="shared" si="10"/>
        <v/>
      </c>
      <c r="G220" s="71"/>
      <c r="H220" s="72"/>
      <c r="I220" s="73" t="str">
        <f t="shared" si="11"/>
        <v/>
      </c>
    </row>
    <row r="221" spans="1:9" s="73" customFormat="1" ht="16.899999999999999">
      <c r="A221" s="71"/>
      <c r="B221" s="72"/>
      <c r="C221" s="73" t="str">
        <f t="shared" si="9"/>
        <v/>
      </c>
      <c r="D221" s="71"/>
      <c r="E221" s="72"/>
      <c r="F221" s="73" t="str">
        <f t="shared" si="10"/>
        <v/>
      </c>
      <c r="G221" s="71"/>
      <c r="H221" s="72"/>
      <c r="I221" s="73" t="str">
        <f t="shared" si="11"/>
        <v/>
      </c>
    </row>
    <row r="222" spans="1:9" s="73" customFormat="1" ht="16.899999999999999">
      <c r="A222" s="71"/>
      <c r="B222" s="72"/>
      <c r="C222" s="73" t="str">
        <f t="shared" si="9"/>
        <v/>
      </c>
      <c r="D222" s="71"/>
      <c r="E222" s="72"/>
      <c r="F222" s="73" t="str">
        <f t="shared" si="10"/>
        <v/>
      </c>
      <c r="G222" s="71"/>
      <c r="H222" s="72"/>
      <c r="I222" s="73" t="str">
        <f t="shared" si="11"/>
        <v/>
      </c>
    </row>
    <row r="223" spans="1:9" s="73" customFormat="1" ht="16.899999999999999">
      <c r="A223" s="71"/>
      <c r="B223" s="72"/>
      <c r="C223" s="73" t="str">
        <f t="shared" si="9"/>
        <v/>
      </c>
      <c r="D223" s="71"/>
      <c r="E223" s="72"/>
      <c r="F223" s="73" t="str">
        <f t="shared" si="10"/>
        <v/>
      </c>
      <c r="G223" s="71"/>
      <c r="H223" s="72"/>
      <c r="I223" s="73" t="str">
        <f t="shared" si="11"/>
        <v/>
      </c>
    </row>
    <row r="224" spans="1:9" s="73" customFormat="1" ht="16.899999999999999">
      <c r="A224" s="71"/>
      <c r="B224" s="72"/>
      <c r="C224" s="73" t="str">
        <f t="shared" si="9"/>
        <v/>
      </c>
      <c r="D224" s="71"/>
      <c r="E224" s="72"/>
      <c r="F224" s="73" t="str">
        <f t="shared" si="10"/>
        <v/>
      </c>
      <c r="G224" s="71"/>
      <c r="H224" s="72"/>
      <c r="I224" s="73" t="str">
        <f t="shared" si="11"/>
        <v/>
      </c>
    </row>
    <row r="225" spans="1:9" s="73" customFormat="1" ht="16.899999999999999">
      <c r="A225" s="71"/>
      <c r="B225" s="72"/>
      <c r="C225" s="73" t="str">
        <f t="shared" si="9"/>
        <v/>
      </c>
      <c r="D225" s="71"/>
      <c r="E225" s="72"/>
      <c r="F225" s="73" t="str">
        <f t="shared" si="10"/>
        <v/>
      </c>
      <c r="G225" s="71"/>
      <c r="H225" s="72"/>
      <c r="I225" s="73" t="str">
        <f t="shared" si="11"/>
        <v/>
      </c>
    </row>
    <row r="226" spans="1:9" s="73" customFormat="1" ht="16.899999999999999">
      <c r="A226" s="71"/>
      <c r="B226" s="72"/>
      <c r="C226" s="73" t="str">
        <f t="shared" si="9"/>
        <v/>
      </c>
      <c r="D226" s="71"/>
      <c r="E226" s="72"/>
      <c r="F226" s="73" t="str">
        <f t="shared" si="10"/>
        <v/>
      </c>
      <c r="G226" s="71"/>
      <c r="H226" s="72"/>
      <c r="I226" s="73" t="str">
        <f t="shared" si="11"/>
        <v/>
      </c>
    </row>
    <row r="227" spans="1:9" s="73" customFormat="1" ht="16.899999999999999">
      <c r="A227" s="71"/>
      <c r="B227" s="72"/>
      <c r="C227" s="73" t="str">
        <f t="shared" si="9"/>
        <v/>
      </c>
      <c r="D227" s="71"/>
      <c r="E227" s="72"/>
      <c r="F227" s="73" t="str">
        <f t="shared" si="10"/>
        <v/>
      </c>
      <c r="G227" s="71"/>
      <c r="H227" s="72"/>
      <c r="I227" s="73" t="str">
        <f t="shared" si="11"/>
        <v/>
      </c>
    </row>
    <row r="228" spans="1:9" s="73" customFormat="1" ht="16.899999999999999">
      <c r="A228" s="71"/>
      <c r="B228" s="72"/>
      <c r="C228" s="73" t="str">
        <f t="shared" si="9"/>
        <v/>
      </c>
      <c r="D228" s="71"/>
      <c r="E228" s="72"/>
      <c r="F228" s="73" t="str">
        <f t="shared" si="10"/>
        <v/>
      </c>
      <c r="G228" s="71"/>
      <c r="H228" s="72"/>
      <c r="I228" s="73" t="str">
        <f t="shared" si="11"/>
        <v/>
      </c>
    </row>
    <row r="229" spans="1:9" s="73" customFormat="1" ht="16.899999999999999">
      <c r="A229" s="71"/>
      <c r="B229" s="72"/>
      <c r="C229" s="73" t="str">
        <f t="shared" si="9"/>
        <v/>
      </c>
      <c r="D229" s="71"/>
      <c r="E229" s="72"/>
      <c r="F229" s="73" t="str">
        <f t="shared" si="10"/>
        <v/>
      </c>
      <c r="G229" s="71"/>
      <c r="H229" s="72"/>
      <c r="I229" s="73" t="str">
        <f t="shared" si="11"/>
        <v/>
      </c>
    </row>
    <row r="230" spans="1:9" s="73" customFormat="1" ht="16.899999999999999">
      <c r="A230" s="71"/>
      <c r="B230" s="72"/>
      <c r="C230" s="73" t="str">
        <f t="shared" si="9"/>
        <v/>
      </c>
      <c r="D230" s="71"/>
      <c r="E230" s="72"/>
      <c r="F230" s="73" t="str">
        <f t="shared" si="10"/>
        <v/>
      </c>
      <c r="G230" s="71"/>
      <c r="H230" s="72"/>
      <c r="I230" s="73" t="str">
        <f t="shared" si="11"/>
        <v/>
      </c>
    </row>
    <row r="231" spans="1:9" s="73" customFormat="1" ht="16.899999999999999">
      <c r="A231" s="71"/>
      <c r="B231" s="72"/>
      <c r="C231" s="73" t="str">
        <f t="shared" si="9"/>
        <v/>
      </c>
      <c r="D231" s="71"/>
      <c r="E231" s="72"/>
      <c r="F231" s="73" t="str">
        <f t="shared" si="10"/>
        <v/>
      </c>
      <c r="G231" s="71"/>
      <c r="H231" s="72"/>
      <c r="I231" s="73" t="str">
        <f t="shared" si="11"/>
        <v/>
      </c>
    </row>
    <row r="232" spans="1:9" s="73" customFormat="1" ht="16.899999999999999">
      <c r="A232" s="71"/>
      <c r="B232" s="72"/>
      <c r="C232" s="73" t="str">
        <f t="shared" si="9"/>
        <v/>
      </c>
      <c r="D232" s="71"/>
      <c r="E232" s="72"/>
      <c r="F232" s="73" t="str">
        <f t="shared" si="10"/>
        <v/>
      </c>
      <c r="G232" s="71"/>
      <c r="H232" s="72"/>
      <c r="I232" s="73" t="str">
        <f t="shared" si="11"/>
        <v/>
      </c>
    </row>
    <row r="233" spans="1:9" s="73" customFormat="1" ht="16.899999999999999">
      <c r="A233" s="71"/>
      <c r="B233" s="72"/>
      <c r="C233" s="73" t="str">
        <f t="shared" si="9"/>
        <v/>
      </c>
      <c r="D233" s="71"/>
      <c r="E233" s="72"/>
      <c r="F233" s="73" t="str">
        <f t="shared" si="10"/>
        <v/>
      </c>
      <c r="G233" s="71"/>
      <c r="H233" s="72"/>
      <c r="I233" s="73" t="str">
        <f t="shared" si="11"/>
        <v/>
      </c>
    </row>
    <row r="234" spans="1:9" s="73" customFormat="1" ht="16.899999999999999">
      <c r="A234" s="71"/>
      <c r="B234" s="72"/>
      <c r="C234" s="73" t="str">
        <f t="shared" si="9"/>
        <v/>
      </c>
      <c r="D234" s="71"/>
      <c r="E234" s="72"/>
      <c r="F234" s="73" t="str">
        <f t="shared" si="10"/>
        <v/>
      </c>
      <c r="G234" s="71"/>
      <c r="H234" s="72"/>
      <c r="I234" s="73" t="str">
        <f t="shared" si="11"/>
        <v/>
      </c>
    </row>
    <row r="235" spans="1:9" s="73" customFormat="1" ht="16.899999999999999">
      <c r="A235" s="71"/>
      <c r="B235" s="72"/>
      <c r="C235" s="73" t="str">
        <f t="shared" si="9"/>
        <v/>
      </c>
      <c r="D235" s="71"/>
      <c r="E235" s="72"/>
      <c r="F235" s="73" t="str">
        <f t="shared" si="10"/>
        <v/>
      </c>
      <c r="G235" s="71"/>
      <c r="H235" s="72"/>
      <c r="I235" s="73" t="str">
        <f t="shared" si="11"/>
        <v/>
      </c>
    </row>
    <row r="236" spans="1:9" s="73" customFormat="1" ht="16.899999999999999">
      <c r="A236" s="71"/>
      <c r="B236" s="72"/>
      <c r="C236" s="73" t="str">
        <f t="shared" si="9"/>
        <v/>
      </c>
      <c r="D236" s="71"/>
      <c r="E236" s="72"/>
      <c r="F236" s="73" t="str">
        <f t="shared" si="10"/>
        <v/>
      </c>
      <c r="G236" s="71"/>
      <c r="H236" s="72"/>
      <c r="I236" s="73" t="str">
        <f t="shared" si="11"/>
        <v/>
      </c>
    </row>
    <row r="237" spans="1:9" s="73" customFormat="1" ht="16.899999999999999">
      <c r="A237" s="71"/>
      <c r="B237" s="72"/>
      <c r="C237" s="73" t="str">
        <f t="shared" si="9"/>
        <v/>
      </c>
      <c r="D237" s="71"/>
      <c r="E237" s="72"/>
      <c r="F237" s="73" t="str">
        <f t="shared" si="10"/>
        <v/>
      </c>
      <c r="G237" s="71"/>
      <c r="H237" s="72"/>
      <c r="I237" s="73" t="str">
        <f t="shared" si="11"/>
        <v/>
      </c>
    </row>
    <row r="238" spans="1:9" s="73" customFormat="1" ht="16.899999999999999">
      <c r="A238" s="71"/>
      <c r="B238" s="72"/>
      <c r="C238" s="73" t="str">
        <f t="shared" si="9"/>
        <v/>
      </c>
      <c r="D238" s="71"/>
      <c r="E238" s="72"/>
      <c r="F238" s="73" t="str">
        <f t="shared" si="10"/>
        <v/>
      </c>
      <c r="G238" s="71"/>
      <c r="H238" s="72"/>
      <c r="I238" s="73" t="str">
        <f t="shared" si="11"/>
        <v/>
      </c>
    </row>
    <row r="239" spans="1:9" s="73" customFormat="1" ht="16.899999999999999">
      <c r="A239" s="71"/>
      <c r="B239" s="72"/>
      <c r="C239" s="73" t="str">
        <f t="shared" si="9"/>
        <v/>
      </c>
      <c r="D239" s="71"/>
      <c r="E239" s="72"/>
      <c r="F239" s="73" t="str">
        <f t="shared" si="10"/>
        <v/>
      </c>
      <c r="G239" s="71"/>
      <c r="H239" s="72"/>
      <c r="I239" s="73" t="str">
        <f t="shared" si="11"/>
        <v/>
      </c>
    </row>
    <row r="240" spans="1:9" s="73" customFormat="1" ht="16.899999999999999">
      <c r="A240" s="71"/>
      <c r="B240" s="72"/>
      <c r="C240" s="73" t="str">
        <f t="shared" si="9"/>
        <v/>
      </c>
      <c r="D240" s="71"/>
      <c r="E240" s="72"/>
      <c r="F240" s="73" t="str">
        <f t="shared" si="10"/>
        <v/>
      </c>
      <c r="G240" s="71"/>
      <c r="H240" s="72"/>
      <c r="I240" s="73" t="str">
        <f t="shared" si="11"/>
        <v/>
      </c>
    </row>
    <row r="241" spans="1:9" s="73" customFormat="1" ht="16.899999999999999">
      <c r="A241" s="71"/>
      <c r="B241" s="72"/>
      <c r="C241" s="73" t="str">
        <f t="shared" si="9"/>
        <v/>
      </c>
      <c r="D241" s="71"/>
      <c r="E241" s="72"/>
      <c r="F241" s="73" t="str">
        <f t="shared" si="10"/>
        <v/>
      </c>
      <c r="G241" s="71"/>
      <c r="H241" s="72"/>
      <c r="I241" s="73" t="str">
        <f t="shared" si="11"/>
        <v/>
      </c>
    </row>
    <row r="242" spans="1:9" s="73" customFormat="1" ht="16.899999999999999">
      <c r="A242" s="71"/>
      <c r="B242" s="72"/>
      <c r="C242" s="73" t="str">
        <f t="shared" si="9"/>
        <v/>
      </c>
      <c r="D242" s="71"/>
      <c r="E242" s="72"/>
      <c r="F242" s="73" t="str">
        <f t="shared" si="10"/>
        <v/>
      </c>
      <c r="G242" s="71"/>
      <c r="H242" s="72"/>
      <c r="I242" s="73" t="str">
        <f t="shared" si="11"/>
        <v/>
      </c>
    </row>
    <row r="243" spans="1:9" s="73" customFormat="1" ht="16.899999999999999">
      <c r="A243" s="71"/>
      <c r="B243" s="72"/>
      <c r="C243" s="73" t="str">
        <f t="shared" si="9"/>
        <v/>
      </c>
      <c r="D243" s="71"/>
      <c r="E243" s="72"/>
      <c r="F243" s="73" t="str">
        <f t="shared" si="10"/>
        <v/>
      </c>
      <c r="G243" s="71"/>
      <c r="H243" s="72"/>
      <c r="I243" s="73" t="str">
        <f t="shared" si="11"/>
        <v/>
      </c>
    </row>
    <row r="244" spans="1:9" s="73" customFormat="1" ht="16.899999999999999">
      <c r="A244" s="71"/>
      <c r="B244" s="72"/>
      <c r="C244" s="73" t="str">
        <f t="shared" si="9"/>
        <v/>
      </c>
      <c r="D244" s="71"/>
      <c r="E244" s="72"/>
      <c r="F244" s="73" t="str">
        <f t="shared" si="10"/>
        <v/>
      </c>
      <c r="G244" s="71"/>
      <c r="H244" s="72"/>
      <c r="I244" s="73" t="str">
        <f t="shared" si="11"/>
        <v/>
      </c>
    </row>
    <row r="245" spans="1:9" s="73" customFormat="1" ht="16.899999999999999">
      <c r="A245" s="71"/>
      <c r="B245" s="72"/>
      <c r="C245" s="73" t="str">
        <f t="shared" si="9"/>
        <v/>
      </c>
      <c r="D245" s="71"/>
      <c r="E245" s="72"/>
      <c r="F245" s="73" t="str">
        <f t="shared" si="10"/>
        <v/>
      </c>
      <c r="G245" s="71"/>
      <c r="H245" s="72"/>
      <c r="I245" s="73" t="str">
        <f t="shared" si="11"/>
        <v/>
      </c>
    </row>
    <row r="246" spans="1:9" s="73" customFormat="1" ht="16.899999999999999">
      <c r="A246" s="71"/>
      <c r="B246" s="72"/>
      <c r="C246" s="73" t="str">
        <f t="shared" si="9"/>
        <v/>
      </c>
      <c r="D246" s="71"/>
      <c r="E246" s="72"/>
      <c r="F246" s="73" t="str">
        <f t="shared" si="10"/>
        <v/>
      </c>
      <c r="G246" s="71"/>
      <c r="H246" s="72"/>
      <c r="I246" s="73" t="str">
        <f t="shared" si="11"/>
        <v/>
      </c>
    </row>
    <row r="247" spans="1:9" s="73" customFormat="1" ht="16.899999999999999">
      <c r="A247" s="71"/>
      <c r="B247" s="72"/>
      <c r="C247" s="73" t="str">
        <f t="shared" si="9"/>
        <v/>
      </c>
      <c r="D247" s="71"/>
      <c r="E247" s="72"/>
      <c r="F247" s="73" t="str">
        <f t="shared" si="10"/>
        <v/>
      </c>
      <c r="G247" s="71"/>
      <c r="H247" s="72"/>
      <c r="I247" s="73" t="str">
        <f t="shared" si="11"/>
        <v/>
      </c>
    </row>
    <row r="248" spans="1:9" s="73" customFormat="1" ht="16.899999999999999">
      <c r="A248" s="71"/>
      <c r="B248" s="72"/>
      <c r="C248" s="73" t="str">
        <f t="shared" si="9"/>
        <v/>
      </c>
      <c r="D248" s="71"/>
      <c r="E248" s="72"/>
      <c r="F248" s="73" t="str">
        <f t="shared" si="10"/>
        <v/>
      </c>
      <c r="G248" s="71"/>
      <c r="H248" s="72"/>
      <c r="I248" s="73" t="str">
        <f t="shared" si="11"/>
        <v/>
      </c>
    </row>
    <row r="249" spans="1:9" s="73" customFormat="1" ht="16.899999999999999">
      <c r="A249" s="71"/>
      <c r="B249" s="72"/>
      <c r="C249" s="73" t="str">
        <f t="shared" si="9"/>
        <v/>
      </c>
      <c r="D249" s="71"/>
      <c r="E249" s="72"/>
      <c r="F249" s="73" t="str">
        <f t="shared" si="10"/>
        <v/>
      </c>
      <c r="G249" s="71"/>
      <c r="H249" s="72"/>
      <c r="I249" s="73" t="str">
        <f t="shared" si="11"/>
        <v/>
      </c>
    </row>
    <row r="250" spans="1:9" s="73" customFormat="1" ht="16.899999999999999">
      <c r="A250" s="71"/>
      <c r="B250" s="72"/>
      <c r="C250" s="73" t="str">
        <f t="shared" si="9"/>
        <v/>
      </c>
      <c r="D250" s="71"/>
      <c r="E250" s="72"/>
      <c r="F250" s="73" t="str">
        <f t="shared" si="10"/>
        <v/>
      </c>
      <c r="G250" s="71"/>
      <c r="H250" s="72"/>
      <c r="I250" s="73" t="str">
        <f t="shared" si="11"/>
        <v/>
      </c>
    </row>
    <row r="251" spans="1:9" s="73" customFormat="1" ht="16.899999999999999">
      <c r="A251" s="71"/>
      <c r="B251" s="72"/>
      <c r="C251" s="73" t="str">
        <f t="shared" si="9"/>
        <v/>
      </c>
      <c r="D251" s="71"/>
      <c r="E251" s="72"/>
      <c r="F251" s="73" t="str">
        <f t="shared" si="10"/>
        <v/>
      </c>
      <c r="G251" s="71"/>
      <c r="H251" s="72"/>
      <c r="I251" s="73" t="str">
        <f t="shared" si="11"/>
        <v/>
      </c>
    </row>
    <row r="252" spans="1:9" s="73" customFormat="1" ht="16.899999999999999">
      <c r="A252" s="71"/>
      <c r="B252" s="72"/>
      <c r="C252" s="73" t="str">
        <f t="shared" si="9"/>
        <v/>
      </c>
      <c r="D252" s="71"/>
      <c r="E252" s="72"/>
      <c r="F252" s="73" t="str">
        <f t="shared" si="10"/>
        <v/>
      </c>
      <c r="G252" s="71"/>
      <c r="H252" s="72"/>
      <c r="I252" s="73" t="str">
        <f t="shared" si="11"/>
        <v/>
      </c>
    </row>
    <row r="253" spans="1:9" s="73" customFormat="1" ht="16.899999999999999">
      <c r="A253" s="71"/>
      <c r="B253" s="72"/>
      <c r="C253" s="73" t="str">
        <f t="shared" si="9"/>
        <v/>
      </c>
      <c r="D253" s="71"/>
      <c r="E253" s="72"/>
      <c r="F253" s="73" t="str">
        <f t="shared" si="10"/>
        <v/>
      </c>
      <c r="G253" s="71"/>
      <c r="H253" s="72"/>
      <c r="I253" s="73" t="str">
        <f t="shared" si="11"/>
        <v/>
      </c>
    </row>
    <row r="254" spans="1:9" s="73" customFormat="1" ht="16.899999999999999">
      <c r="A254" s="71"/>
      <c r="B254" s="72"/>
      <c r="C254" s="73" t="str">
        <f t="shared" si="9"/>
        <v/>
      </c>
      <c r="D254" s="71"/>
      <c r="E254" s="72"/>
      <c r="F254" s="73" t="str">
        <f t="shared" si="10"/>
        <v/>
      </c>
      <c r="G254" s="71"/>
      <c r="H254" s="72"/>
      <c r="I254" s="73" t="str">
        <f t="shared" si="11"/>
        <v/>
      </c>
    </row>
    <row r="255" spans="1:9" s="73" customFormat="1" ht="16.899999999999999">
      <c r="A255" s="71"/>
      <c r="B255" s="72"/>
      <c r="C255" s="73" t="str">
        <f t="shared" si="9"/>
        <v/>
      </c>
      <c r="D255" s="71"/>
      <c r="E255" s="72"/>
      <c r="F255" s="73" t="str">
        <f t="shared" si="10"/>
        <v/>
      </c>
      <c r="G255" s="71"/>
      <c r="H255" s="72"/>
      <c r="I255" s="73" t="str">
        <f t="shared" si="11"/>
        <v/>
      </c>
    </row>
    <row r="256" spans="1:9" s="73" customFormat="1" ht="16.899999999999999">
      <c r="A256" s="71"/>
      <c r="B256" s="72"/>
      <c r="C256" s="73" t="str">
        <f t="shared" si="9"/>
        <v/>
      </c>
      <c r="D256" s="71"/>
      <c r="E256" s="72"/>
      <c r="F256" s="73" t="str">
        <f t="shared" si="10"/>
        <v/>
      </c>
      <c r="G256" s="71"/>
      <c r="H256" s="72"/>
      <c r="I256" s="73" t="str">
        <f t="shared" si="11"/>
        <v/>
      </c>
    </row>
    <row r="257" spans="1:9" s="73" customFormat="1" ht="16.899999999999999">
      <c r="A257" s="71"/>
      <c r="B257" s="72"/>
      <c r="C257" s="73" t="str">
        <f t="shared" si="9"/>
        <v/>
      </c>
      <c r="D257" s="71"/>
      <c r="E257" s="72"/>
      <c r="F257" s="73" t="str">
        <f t="shared" si="10"/>
        <v/>
      </c>
      <c r="G257" s="71"/>
      <c r="H257" s="72"/>
      <c r="I257" s="73" t="str">
        <f t="shared" si="11"/>
        <v/>
      </c>
    </row>
    <row r="258" spans="1:9" s="73" customFormat="1" ht="16.899999999999999">
      <c r="A258" s="71"/>
      <c r="B258" s="72"/>
      <c r="C258" s="73" t="str">
        <f t="shared" si="9"/>
        <v/>
      </c>
      <c r="D258" s="71"/>
      <c r="E258" s="72"/>
      <c r="F258" s="73" t="str">
        <f t="shared" si="10"/>
        <v/>
      </c>
      <c r="G258" s="71"/>
      <c r="H258" s="72"/>
      <c r="I258" s="73" t="str">
        <f t="shared" si="11"/>
        <v/>
      </c>
    </row>
    <row r="259" spans="1:9" s="73" customFormat="1" ht="16.899999999999999">
      <c r="A259" s="71"/>
      <c r="B259" s="72"/>
      <c r="C259" s="73" t="str">
        <f t="shared" si="9"/>
        <v/>
      </c>
      <c r="D259" s="71"/>
      <c r="E259" s="72"/>
      <c r="F259" s="73" t="str">
        <f t="shared" si="10"/>
        <v/>
      </c>
      <c r="G259" s="71"/>
      <c r="H259" s="72"/>
      <c r="I259" s="73" t="str">
        <f t="shared" si="11"/>
        <v/>
      </c>
    </row>
    <row r="260" spans="1:9" s="73" customFormat="1" ht="16.899999999999999">
      <c r="A260" s="71"/>
      <c r="B260" s="72"/>
      <c r="C260" s="73" t="str">
        <f t="shared" si="9"/>
        <v/>
      </c>
      <c r="D260" s="71"/>
      <c r="E260" s="72"/>
      <c r="F260" s="73" t="str">
        <f t="shared" si="10"/>
        <v/>
      </c>
      <c r="G260" s="71"/>
      <c r="H260" s="72"/>
      <c r="I260" s="73" t="str">
        <f t="shared" si="11"/>
        <v/>
      </c>
    </row>
    <row r="261" spans="1:9" s="73" customFormat="1" ht="16.899999999999999">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899999999999999">
      <c r="A262" s="71"/>
      <c r="B262" s="72"/>
      <c r="C262" s="73" t="str">
        <f t="shared" si="12"/>
        <v/>
      </c>
      <c r="D262" s="71"/>
      <c r="E262" s="72"/>
      <c r="F262" s="73" t="str">
        <f t="shared" si="13"/>
        <v/>
      </c>
      <c r="G262" s="71"/>
      <c r="H262" s="72"/>
      <c r="I262" s="73" t="str">
        <f t="shared" si="14"/>
        <v/>
      </c>
    </row>
    <row r="263" spans="1:9" s="73" customFormat="1" ht="16.899999999999999">
      <c r="A263" s="71"/>
      <c r="B263" s="72"/>
      <c r="C263" s="73" t="str">
        <f t="shared" si="12"/>
        <v/>
      </c>
      <c r="D263" s="71"/>
      <c r="E263" s="72"/>
      <c r="F263" s="73" t="str">
        <f t="shared" si="13"/>
        <v/>
      </c>
      <c r="G263" s="71"/>
      <c r="H263" s="72"/>
      <c r="I263" s="73" t="str">
        <f t="shared" si="14"/>
        <v/>
      </c>
    </row>
    <row r="264" spans="1:9" s="73" customFormat="1" ht="16.899999999999999">
      <c r="A264" s="71"/>
      <c r="B264" s="72"/>
      <c r="C264" s="73" t="str">
        <f t="shared" si="12"/>
        <v/>
      </c>
      <c r="D264" s="71"/>
      <c r="E264" s="72"/>
      <c r="F264" s="73" t="str">
        <f t="shared" si="13"/>
        <v/>
      </c>
      <c r="G264" s="71"/>
      <c r="H264" s="72"/>
      <c r="I264" s="73" t="str">
        <f t="shared" si="14"/>
        <v/>
      </c>
    </row>
    <row r="265" spans="1:9" s="73" customFormat="1" ht="16.899999999999999">
      <c r="A265" s="71"/>
      <c r="B265" s="72"/>
      <c r="C265" s="73" t="str">
        <f t="shared" si="12"/>
        <v/>
      </c>
      <c r="D265" s="71"/>
      <c r="E265" s="72"/>
      <c r="F265" s="73" t="str">
        <f t="shared" si="13"/>
        <v/>
      </c>
      <c r="G265" s="71"/>
      <c r="H265" s="72"/>
      <c r="I265" s="73" t="str">
        <f t="shared" si="14"/>
        <v/>
      </c>
    </row>
    <row r="266" spans="1:9" s="73" customFormat="1" ht="16.899999999999999">
      <c r="A266" s="71"/>
      <c r="B266" s="72"/>
      <c r="C266" s="73" t="str">
        <f t="shared" si="12"/>
        <v/>
      </c>
      <c r="D266" s="71"/>
      <c r="E266" s="72"/>
      <c r="F266" s="73" t="str">
        <f t="shared" si="13"/>
        <v/>
      </c>
      <c r="G266" s="71"/>
      <c r="H266" s="72"/>
      <c r="I266" s="73" t="str">
        <f t="shared" si="14"/>
        <v/>
      </c>
    </row>
    <row r="267" spans="1:9" s="73" customFormat="1" ht="16.899999999999999">
      <c r="A267" s="71"/>
      <c r="B267" s="72"/>
      <c r="C267" s="73" t="str">
        <f t="shared" si="12"/>
        <v/>
      </c>
      <c r="D267" s="71"/>
      <c r="E267" s="72"/>
      <c r="F267" s="73" t="str">
        <f t="shared" si="13"/>
        <v/>
      </c>
      <c r="G267" s="71"/>
      <c r="H267" s="72"/>
      <c r="I267" s="73" t="str">
        <f t="shared" si="14"/>
        <v/>
      </c>
    </row>
    <row r="268" spans="1:9" s="73" customFormat="1" ht="16.899999999999999">
      <c r="A268" s="71"/>
      <c r="B268" s="72"/>
      <c r="C268" s="73" t="str">
        <f t="shared" si="12"/>
        <v/>
      </c>
      <c r="D268" s="71"/>
      <c r="E268" s="72"/>
      <c r="F268" s="73" t="str">
        <f t="shared" si="13"/>
        <v/>
      </c>
      <c r="G268" s="71"/>
      <c r="H268" s="72"/>
      <c r="I268" s="73" t="str">
        <f t="shared" si="14"/>
        <v/>
      </c>
    </row>
    <row r="269" spans="1:9" s="73" customFormat="1" ht="16.899999999999999">
      <c r="A269" s="71"/>
      <c r="B269" s="72"/>
      <c r="C269" s="73" t="str">
        <f t="shared" si="12"/>
        <v/>
      </c>
      <c r="D269" s="71"/>
      <c r="E269" s="72"/>
      <c r="F269" s="73" t="str">
        <f t="shared" si="13"/>
        <v/>
      </c>
      <c r="G269" s="71"/>
      <c r="H269" s="72"/>
      <c r="I269" s="73" t="str">
        <f t="shared" si="14"/>
        <v/>
      </c>
    </row>
    <row r="270" spans="1:9" s="73" customFormat="1" ht="16.899999999999999">
      <c r="A270" s="71"/>
      <c r="B270" s="72"/>
      <c r="C270" s="73" t="str">
        <f t="shared" si="12"/>
        <v/>
      </c>
      <c r="D270" s="71"/>
      <c r="E270" s="72"/>
      <c r="F270" s="73" t="str">
        <f t="shared" si="13"/>
        <v/>
      </c>
      <c r="G270" s="71"/>
      <c r="H270" s="72"/>
      <c r="I270" s="73" t="str">
        <f t="shared" si="14"/>
        <v/>
      </c>
    </row>
    <row r="271" spans="1:9" s="73" customFormat="1" ht="16.899999999999999">
      <c r="A271" s="71"/>
      <c r="B271" s="72"/>
      <c r="C271" s="73" t="str">
        <f t="shared" si="12"/>
        <v/>
      </c>
      <c r="D271" s="71"/>
      <c r="E271" s="72"/>
      <c r="F271" s="73" t="str">
        <f t="shared" si="13"/>
        <v/>
      </c>
      <c r="G271" s="71"/>
      <c r="H271" s="72"/>
      <c r="I271" s="73" t="str">
        <f t="shared" si="14"/>
        <v/>
      </c>
    </row>
    <row r="272" spans="1:9" s="73" customFormat="1" ht="16.899999999999999">
      <c r="A272" s="71"/>
      <c r="B272" s="72"/>
      <c r="C272" s="73" t="str">
        <f t="shared" si="12"/>
        <v/>
      </c>
      <c r="D272" s="71"/>
      <c r="E272" s="72"/>
      <c r="F272" s="73" t="str">
        <f t="shared" si="13"/>
        <v/>
      </c>
      <c r="G272" s="71"/>
      <c r="H272" s="72"/>
      <c r="I272" s="73" t="str">
        <f t="shared" si="14"/>
        <v/>
      </c>
    </row>
    <row r="273" spans="1:9" s="73" customFormat="1" ht="16.899999999999999">
      <c r="A273" s="71"/>
      <c r="B273" s="72"/>
      <c r="C273" s="73" t="str">
        <f t="shared" si="12"/>
        <v/>
      </c>
      <c r="D273" s="71"/>
      <c r="E273" s="72"/>
      <c r="F273" s="73" t="str">
        <f t="shared" si="13"/>
        <v/>
      </c>
      <c r="G273" s="71"/>
      <c r="H273" s="72"/>
      <c r="I273" s="73" t="str">
        <f t="shared" si="14"/>
        <v/>
      </c>
    </row>
    <row r="274" spans="1:9" s="73" customFormat="1" ht="16.899999999999999">
      <c r="A274" s="71"/>
      <c r="B274" s="72"/>
      <c r="C274" s="73" t="str">
        <f t="shared" si="12"/>
        <v/>
      </c>
      <c r="D274" s="71"/>
      <c r="E274" s="72"/>
      <c r="F274" s="73" t="str">
        <f t="shared" si="13"/>
        <v/>
      </c>
      <c r="G274" s="71"/>
      <c r="H274" s="72"/>
      <c r="I274" s="73" t="str">
        <f t="shared" si="14"/>
        <v/>
      </c>
    </row>
    <row r="275" spans="1:9" s="73" customFormat="1" ht="16.899999999999999">
      <c r="A275" s="71"/>
      <c r="B275" s="72"/>
      <c r="C275" s="73" t="str">
        <f t="shared" si="12"/>
        <v/>
      </c>
      <c r="D275" s="71"/>
      <c r="E275" s="72"/>
      <c r="F275" s="73" t="str">
        <f t="shared" si="13"/>
        <v/>
      </c>
      <c r="G275" s="71"/>
      <c r="H275" s="72"/>
      <c r="I275" s="73" t="str">
        <f t="shared" si="14"/>
        <v/>
      </c>
    </row>
    <row r="276" spans="1:9" s="73" customFormat="1" ht="16.899999999999999">
      <c r="A276" s="71"/>
      <c r="B276" s="72"/>
      <c r="C276" s="73" t="str">
        <f t="shared" si="12"/>
        <v/>
      </c>
      <c r="D276" s="71"/>
      <c r="E276" s="72"/>
      <c r="F276" s="73" t="str">
        <f t="shared" si="13"/>
        <v/>
      </c>
      <c r="G276" s="71"/>
      <c r="H276" s="72"/>
      <c r="I276" s="73" t="str">
        <f t="shared" si="14"/>
        <v/>
      </c>
    </row>
    <row r="277" spans="1:9" s="73" customFormat="1" ht="16.899999999999999">
      <c r="A277" s="71"/>
      <c r="B277" s="72"/>
      <c r="C277" s="73" t="str">
        <f t="shared" si="12"/>
        <v/>
      </c>
      <c r="D277" s="71"/>
      <c r="E277" s="72"/>
      <c r="F277" s="73" t="str">
        <f t="shared" si="13"/>
        <v/>
      </c>
      <c r="G277" s="71"/>
      <c r="H277" s="72"/>
      <c r="I277" s="73" t="str">
        <f t="shared" si="14"/>
        <v/>
      </c>
    </row>
    <row r="278" spans="1:9" s="73" customFormat="1" ht="16.899999999999999">
      <c r="A278" s="71"/>
      <c r="B278" s="72"/>
      <c r="C278" s="73" t="str">
        <f t="shared" si="12"/>
        <v/>
      </c>
      <c r="D278" s="71"/>
      <c r="E278" s="72"/>
      <c r="F278" s="73" t="str">
        <f t="shared" si="13"/>
        <v/>
      </c>
      <c r="G278" s="71"/>
      <c r="H278" s="72"/>
      <c r="I278" s="73" t="str">
        <f t="shared" si="14"/>
        <v/>
      </c>
    </row>
    <row r="279" spans="1:9" s="73" customFormat="1" ht="16.899999999999999">
      <c r="A279" s="71"/>
      <c r="B279" s="72"/>
      <c r="C279" s="73" t="str">
        <f t="shared" si="12"/>
        <v/>
      </c>
      <c r="D279" s="71"/>
      <c r="E279" s="72"/>
      <c r="F279" s="73" t="str">
        <f t="shared" si="13"/>
        <v/>
      </c>
      <c r="G279" s="71"/>
      <c r="H279" s="72"/>
      <c r="I279" s="73" t="str">
        <f t="shared" si="14"/>
        <v/>
      </c>
    </row>
    <row r="280" spans="1:9" s="73" customFormat="1" ht="16.899999999999999">
      <c r="A280" s="71"/>
      <c r="B280" s="72"/>
      <c r="C280" s="73" t="str">
        <f t="shared" si="12"/>
        <v/>
      </c>
      <c r="D280" s="71"/>
      <c r="E280" s="72"/>
      <c r="F280" s="73" t="str">
        <f t="shared" si="13"/>
        <v/>
      </c>
      <c r="G280" s="71"/>
      <c r="H280" s="72"/>
      <c r="I280" s="73" t="str">
        <f t="shared" si="14"/>
        <v/>
      </c>
    </row>
    <row r="281" spans="1:9" s="73" customFormat="1" ht="16.899999999999999">
      <c r="A281" s="71"/>
      <c r="B281" s="72"/>
      <c r="C281" s="73" t="str">
        <f t="shared" si="12"/>
        <v/>
      </c>
      <c r="D281" s="71"/>
      <c r="E281" s="72"/>
      <c r="F281" s="73" t="str">
        <f t="shared" si="13"/>
        <v/>
      </c>
      <c r="G281" s="71"/>
      <c r="H281" s="72"/>
      <c r="I281" s="73" t="str">
        <f t="shared" si="14"/>
        <v/>
      </c>
    </row>
    <row r="282" spans="1:9" s="73" customFormat="1" ht="16.899999999999999">
      <c r="A282" s="71"/>
      <c r="B282" s="72"/>
      <c r="C282" s="73" t="str">
        <f t="shared" si="12"/>
        <v/>
      </c>
      <c r="D282" s="71"/>
      <c r="E282" s="72"/>
      <c r="F282" s="73" t="str">
        <f t="shared" si="13"/>
        <v/>
      </c>
      <c r="G282" s="71"/>
      <c r="H282" s="72"/>
      <c r="I282" s="73" t="str">
        <f t="shared" si="14"/>
        <v/>
      </c>
    </row>
    <row r="283" spans="1:9" s="73" customFormat="1" ht="16.899999999999999">
      <c r="A283" s="71"/>
      <c r="B283" s="72"/>
      <c r="C283" s="73" t="str">
        <f t="shared" si="12"/>
        <v/>
      </c>
      <c r="D283" s="71"/>
      <c r="E283" s="72"/>
      <c r="F283" s="73" t="str">
        <f t="shared" si="13"/>
        <v/>
      </c>
      <c r="G283" s="71"/>
      <c r="H283" s="72"/>
      <c r="I283" s="73" t="str">
        <f t="shared" si="14"/>
        <v/>
      </c>
    </row>
    <row r="284" spans="1:9" s="73" customFormat="1" ht="16.899999999999999">
      <c r="A284" s="71"/>
      <c r="B284" s="72"/>
      <c r="C284" s="73" t="str">
        <f t="shared" si="12"/>
        <v/>
      </c>
      <c r="D284" s="71"/>
      <c r="E284" s="72"/>
      <c r="F284" s="73" t="str">
        <f t="shared" si="13"/>
        <v/>
      </c>
      <c r="G284" s="71"/>
      <c r="H284" s="72"/>
      <c r="I284" s="73" t="str">
        <f t="shared" si="14"/>
        <v/>
      </c>
    </row>
    <row r="285" spans="1:9" s="73" customFormat="1" ht="16.899999999999999">
      <c r="A285" s="71"/>
      <c r="B285" s="72"/>
      <c r="C285" s="73" t="str">
        <f t="shared" si="12"/>
        <v/>
      </c>
      <c r="D285" s="71"/>
      <c r="E285" s="72"/>
      <c r="F285" s="73" t="str">
        <f t="shared" si="13"/>
        <v/>
      </c>
      <c r="G285" s="71"/>
      <c r="H285" s="72"/>
      <c r="I285" s="73" t="str">
        <f t="shared" si="14"/>
        <v/>
      </c>
    </row>
    <row r="286" spans="1:9" s="73" customFormat="1" ht="16.899999999999999">
      <c r="A286" s="71"/>
      <c r="B286" s="72"/>
      <c r="C286" s="73" t="str">
        <f t="shared" si="12"/>
        <v/>
      </c>
      <c r="D286" s="71"/>
      <c r="E286" s="72"/>
      <c r="F286" s="73" t="str">
        <f t="shared" si="13"/>
        <v/>
      </c>
      <c r="G286" s="71"/>
      <c r="H286" s="72"/>
      <c r="I286" s="73" t="str">
        <f t="shared" si="14"/>
        <v/>
      </c>
    </row>
    <row r="287" spans="1:9" s="73" customFormat="1" ht="16.899999999999999">
      <c r="A287" s="71"/>
      <c r="B287" s="72"/>
      <c r="C287" s="73" t="str">
        <f t="shared" si="12"/>
        <v/>
      </c>
      <c r="D287" s="71"/>
      <c r="E287" s="72"/>
      <c r="F287" s="73" t="str">
        <f t="shared" si="13"/>
        <v/>
      </c>
      <c r="G287" s="71"/>
      <c r="H287" s="72"/>
      <c r="I287" s="73" t="str">
        <f t="shared" si="14"/>
        <v/>
      </c>
    </row>
    <row r="288" spans="1:9" s="73" customFormat="1" ht="16.899999999999999">
      <c r="A288" s="71"/>
      <c r="B288" s="72"/>
      <c r="C288" s="73" t="str">
        <f t="shared" si="12"/>
        <v/>
      </c>
      <c r="D288" s="71"/>
      <c r="E288" s="72"/>
      <c r="F288" s="73" t="str">
        <f t="shared" si="13"/>
        <v/>
      </c>
      <c r="G288" s="71"/>
      <c r="H288" s="72"/>
      <c r="I288" s="73" t="str">
        <f t="shared" si="14"/>
        <v/>
      </c>
    </row>
    <row r="289" spans="1:9" s="73" customFormat="1" ht="16.899999999999999">
      <c r="A289" s="71"/>
      <c r="B289" s="72"/>
      <c r="C289" s="73" t="str">
        <f t="shared" si="12"/>
        <v/>
      </c>
      <c r="D289" s="71"/>
      <c r="E289" s="72"/>
      <c r="F289" s="73" t="str">
        <f t="shared" si="13"/>
        <v/>
      </c>
      <c r="G289" s="71"/>
      <c r="H289" s="72"/>
      <c r="I289" s="73" t="str">
        <f t="shared" si="14"/>
        <v/>
      </c>
    </row>
    <row r="290" spans="1:9" s="73" customFormat="1" ht="16.899999999999999">
      <c r="A290" s="71"/>
      <c r="B290" s="72"/>
      <c r="C290" s="73" t="str">
        <f t="shared" si="12"/>
        <v/>
      </c>
      <c r="D290" s="71"/>
      <c r="E290" s="72"/>
      <c r="F290" s="73" t="str">
        <f t="shared" si="13"/>
        <v/>
      </c>
      <c r="G290" s="71"/>
      <c r="H290" s="72"/>
      <c r="I290" s="73" t="str">
        <f t="shared" si="14"/>
        <v/>
      </c>
    </row>
    <row r="291" spans="1:9" s="73" customFormat="1" ht="16.899999999999999">
      <c r="A291" s="71"/>
      <c r="B291" s="72"/>
      <c r="C291" s="73" t="str">
        <f t="shared" si="12"/>
        <v/>
      </c>
      <c r="D291" s="71"/>
      <c r="E291" s="72"/>
      <c r="F291" s="73" t="str">
        <f t="shared" si="13"/>
        <v/>
      </c>
      <c r="G291" s="71"/>
      <c r="H291" s="72"/>
      <c r="I291" s="73" t="str">
        <f t="shared" si="14"/>
        <v/>
      </c>
    </row>
    <row r="292" spans="1:9" s="73" customFormat="1" ht="16.899999999999999">
      <c r="A292" s="71"/>
      <c r="B292" s="72"/>
      <c r="C292" s="73" t="str">
        <f t="shared" si="12"/>
        <v/>
      </c>
      <c r="D292" s="71"/>
      <c r="E292" s="72"/>
      <c r="F292" s="73" t="str">
        <f t="shared" si="13"/>
        <v/>
      </c>
      <c r="G292" s="71"/>
      <c r="H292" s="72"/>
      <c r="I292" s="73" t="str">
        <f t="shared" si="14"/>
        <v/>
      </c>
    </row>
    <row r="293" spans="1:9" s="73" customFormat="1" ht="16.899999999999999">
      <c r="A293" s="71"/>
      <c r="B293" s="72"/>
      <c r="C293" s="73" t="str">
        <f t="shared" si="12"/>
        <v/>
      </c>
      <c r="D293" s="71"/>
      <c r="E293" s="72"/>
      <c r="F293" s="73" t="str">
        <f t="shared" si="13"/>
        <v/>
      </c>
      <c r="G293" s="71"/>
      <c r="H293" s="72"/>
      <c r="I293" s="73" t="str">
        <f t="shared" si="14"/>
        <v/>
      </c>
    </row>
    <row r="294" spans="1:9" s="73" customFormat="1" ht="16.899999999999999">
      <c r="A294" s="71"/>
      <c r="B294" s="72"/>
      <c r="C294" s="73" t="str">
        <f t="shared" si="12"/>
        <v/>
      </c>
      <c r="D294" s="71"/>
      <c r="E294" s="72"/>
      <c r="F294" s="73" t="str">
        <f t="shared" si="13"/>
        <v/>
      </c>
      <c r="G294" s="71"/>
      <c r="H294" s="72"/>
      <c r="I294" s="73" t="str">
        <f t="shared" si="14"/>
        <v/>
      </c>
    </row>
    <row r="295" spans="1:9" s="73" customFormat="1" ht="16.899999999999999">
      <c r="A295" s="71"/>
      <c r="B295" s="72"/>
      <c r="C295" s="73" t="str">
        <f t="shared" si="12"/>
        <v/>
      </c>
      <c r="D295" s="71"/>
      <c r="E295" s="72"/>
      <c r="F295" s="73" t="str">
        <f t="shared" si="13"/>
        <v/>
      </c>
      <c r="G295" s="71"/>
      <c r="H295" s="72"/>
      <c r="I295" s="73" t="str">
        <f t="shared" si="14"/>
        <v/>
      </c>
    </row>
    <row r="296" spans="1:9" s="73" customFormat="1" ht="16.899999999999999">
      <c r="A296" s="71"/>
      <c r="B296" s="72"/>
      <c r="C296" s="73" t="str">
        <f t="shared" si="12"/>
        <v/>
      </c>
      <c r="D296" s="71"/>
      <c r="E296" s="72"/>
      <c r="F296" s="73" t="str">
        <f t="shared" si="13"/>
        <v/>
      </c>
      <c r="G296" s="71"/>
      <c r="H296" s="72"/>
      <c r="I296" s="73" t="str">
        <f t="shared" si="14"/>
        <v/>
      </c>
    </row>
    <row r="297" spans="1:9" s="73" customFormat="1" ht="16.899999999999999">
      <c r="A297" s="71"/>
      <c r="B297" s="72"/>
      <c r="C297" s="73" t="str">
        <f t="shared" si="12"/>
        <v/>
      </c>
      <c r="D297" s="71"/>
      <c r="E297" s="72"/>
      <c r="F297" s="73" t="str">
        <f t="shared" si="13"/>
        <v/>
      </c>
      <c r="G297" s="71"/>
      <c r="H297" s="72"/>
      <c r="I297" s="73" t="str">
        <f t="shared" si="14"/>
        <v/>
      </c>
    </row>
    <row r="298" spans="1:9" s="73" customFormat="1" ht="16.899999999999999">
      <c r="A298" s="71"/>
      <c r="B298" s="72"/>
      <c r="C298" s="73" t="str">
        <f t="shared" si="12"/>
        <v/>
      </c>
      <c r="D298" s="71"/>
      <c r="E298" s="72"/>
      <c r="F298" s="73" t="str">
        <f t="shared" si="13"/>
        <v/>
      </c>
      <c r="G298" s="71"/>
      <c r="H298" s="72"/>
      <c r="I298" s="73" t="str">
        <f t="shared" si="14"/>
        <v/>
      </c>
    </row>
    <row r="299" spans="1:9" s="73" customFormat="1" ht="16.899999999999999">
      <c r="A299" s="71"/>
      <c r="B299" s="72"/>
      <c r="C299" s="73" t="str">
        <f t="shared" si="12"/>
        <v/>
      </c>
      <c r="D299" s="71"/>
      <c r="E299" s="72"/>
      <c r="F299" s="73" t="str">
        <f t="shared" si="13"/>
        <v/>
      </c>
      <c r="G299" s="71"/>
      <c r="H299" s="72"/>
      <c r="I299" s="73" t="str">
        <f t="shared" si="14"/>
        <v/>
      </c>
    </row>
    <row r="300" spans="1:9" s="73" customFormat="1" ht="16.899999999999999">
      <c r="A300" s="71"/>
      <c r="B300" s="72"/>
      <c r="C300" s="73" t="str">
        <f t="shared" si="12"/>
        <v/>
      </c>
      <c r="D300" s="71"/>
      <c r="E300" s="72"/>
      <c r="F300" s="73" t="str">
        <f t="shared" si="13"/>
        <v/>
      </c>
      <c r="G300" s="71"/>
      <c r="H300" s="72"/>
      <c r="I300" s="73" t="str">
        <f t="shared" si="14"/>
        <v/>
      </c>
    </row>
    <row r="301" spans="1:9" s="73" customFormat="1" ht="16.899999999999999">
      <c r="A301" s="71"/>
      <c r="B301" s="72"/>
      <c r="C301" s="73" t="str">
        <f t="shared" si="12"/>
        <v/>
      </c>
      <c r="D301" s="71"/>
      <c r="E301" s="72"/>
      <c r="F301" s="73" t="str">
        <f t="shared" si="13"/>
        <v/>
      </c>
      <c r="G301" s="71"/>
      <c r="H301" s="72"/>
      <c r="I301" s="73" t="str">
        <f t="shared" si="14"/>
        <v/>
      </c>
    </row>
    <row r="302" spans="1:9" s="73" customFormat="1" ht="16.899999999999999">
      <c r="A302" s="71"/>
      <c r="B302" s="75"/>
      <c r="C302" s="73" t="str">
        <f t="shared" si="12"/>
        <v/>
      </c>
      <c r="D302" s="71"/>
      <c r="E302" s="75"/>
      <c r="F302" s="73" t="str">
        <f t="shared" si="13"/>
        <v/>
      </c>
      <c r="G302" s="71"/>
      <c r="H302" s="75"/>
      <c r="I302" s="73" t="str">
        <f t="shared" si="14"/>
        <v/>
      </c>
    </row>
    <row r="303" spans="1:9" s="73" customFormat="1" ht="16.899999999999999">
      <c r="A303" s="71"/>
      <c r="B303" s="75"/>
      <c r="C303" s="73" t="str">
        <f t="shared" si="12"/>
        <v/>
      </c>
      <c r="D303" s="71"/>
      <c r="E303" s="75"/>
      <c r="F303" s="73" t="str">
        <f t="shared" si="13"/>
        <v/>
      </c>
      <c r="G303" s="71"/>
      <c r="H303" s="75"/>
      <c r="I303" s="73" t="str">
        <f t="shared" si="14"/>
        <v/>
      </c>
    </row>
    <row r="304" spans="1:9" s="73" customFormat="1" ht="16.899999999999999">
      <c r="A304" s="71"/>
      <c r="B304" s="75"/>
      <c r="C304" s="73" t="str">
        <f t="shared" si="12"/>
        <v/>
      </c>
      <c r="D304" s="71"/>
      <c r="E304" s="75"/>
      <c r="F304" s="73" t="str">
        <f t="shared" si="13"/>
        <v/>
      </c>
      <c r="G304" s="71"/>
      <c r="H304" s="75"/>
      <c r="I304" s="73" t="str">
        <f t="shared" si="14"/>
        <v/>
      </c>
    </row>
    <row r="305" spans="1:7" s="73" customFormat="1" ht="16.899999999999999">
      <c r="A305" s="73" t="s">
        <v>1603</v>
      </c>
      <c r="D305" s="73" t="s">
        <v>1603</v>
      </c>
      <c r="G305" s="73" t="s">
        <v>1603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1.65"/>
  <cols>
    <col min="1" max="1" width="7.625" style="107" bestFit="1" customWidth="1"/>
    <col min="2" max="2" width="8.375" style="108" bestFit="1" customWidth="1"/>
    <col min="3" max="3" width="23.125" style="109" bestFit="1" customWidth="1"/>
    <col min="4" max="4" width="47.125" style="110" customWidth="1"/>
    <col min="5" max="5" width="56.125" style="110" customWidth="1"/>
    <col min="6" max="6" width="57.375" style="107" customWidth="1"/>
    <col min="7" max="26" width="73.375" style="107"/>
    <col min="27" max="27" width="73.375" style="107" hidden="1" customWidth="1"/>
    <col min="28" max="29" width="73.375" style="107"/>
    <col min="30" max="30" width="0" style="107" hidden="1" customWidth="1"/>
    <col min="31" max="16384" width="73.375" style="107"/>
  </cols>
  <sheetData>
    <row r="1" spans="1:6" s="105" customFormat="1">
      <c r="A1" s="105" t="s">
        <v>408</v>
      </c>
      <c r="B1" s="105" t="s">
        <v>409</v>
      </c>
      <c r="C1" s="106" t="s">
        <v>410</v>
      </c>
      <c r="D1" s="106" t="s">
        <v>18</v>
      </c>
      <c r="E1" s="106" t="s">
        <v>19</v>
      </c>
      <c r="F1" s="105" t="s">
        <v>575</v>
      </c>
    </row>
    <row r="2" spans="1:6" ht="69.75">
      <c r="A2" s="160" t="s">
        <v>568</v>
      </c>
      <c r="B2" s="108">
        <v>1</v>
      </c>
      <c r="C2" s="109" t="s">
        <v>473</v>
      </c>
      <c r="D2" s="110" t="s">
        <v>411</v>
      </c>
      <c r="E2" s="110" t="s">
        <v>742</v>
      </c>
      <c r="F2" s="110" t="s">
        <v>742</v>
      </c>
    </row>
    <row r="3" spans="1:6" ht="81.400000000000006">
      <c r="A3" s="161">
        <v>650</v>
      </c>
      <c r="B3" s="108">
        <v>2</v>
      </c>
      <c r="C3" s="109" t="s">
        <v>473</v>
      </c>
      <c r="D3" s="110" t="s">
        <v>404</v>
      </c>
      <c r="E3" s="110" t="s">
        <v>743</v>
      </c>
      <c r="F3" s="110" t="s">
        <v>743</v>
      </c>
    </row>
    <row r="4" spans="1:6" ht="58.15">
      <c r="B4" s="108">
        <v>3</v>
      </c>
      <c r="C4" s="109" t="s">
        <v>473</v>
      </c>
      <c r="D4" s="110" t="s">
        <v>412</v>
      </c>
      <c r="E4" s="110" t="s">
        <v>744</v>
      </c>
      <c r="F4" s="110" t="s">
        <v>744</v>
      </c>
    </row>
    <row r="5" spans="1:6" ht="52.5">
      <c r="B5" s="108">
        <v>4</v>
      </c>
      <c r="C5" s="109" t="s">
        <v>473</v>
      </c>
      <c r="D5" s="110" t="s">
        <v>413</v>
      </c>
      <c r="E5" s="110" t="s">
        <v>745</v>
      </c>
      <c r="F5" s="110" t="s">
        <v>745</v>
      </c>
    </row>
    <row r="6" spans="1:6" ht="65.650000000000006">
      <c r="B6" s="108">
        <v>5</v>
      </c>
      <c r="C6" s="109" t="s">
        <v>473</v>
      </c>
      <c r="D6" s="110" t="s">
        <v>414</v>
      </c>
      <c r="E6" s="110" t="s">
        <v>746</v>
      </c>
      <c r="F6" s="110" t="s">
        <v>746</v>
      </c>
    </row>
    <row r="7" spans="1:6" ht="46.5">
      <c r="B7" s="108">
        <v>6</v>
      </c>
      <c r="C7" s="109" t="s">
        <v>473</v>
      </c>
      <c r="D7" s="110" t="s">
        <v>415</v>
      </c>
      <c r="E7" s="110" t="s">
        <v>747</v>
      </c>
      <c r="F7" s="110" t="s">
        <v>747</v>
      </c>
    </row>
    <row r="8" spans="1:6" ht="13.15">
      <c r="B8" s="108">
        <v>7</v>
      </c>
      <c r="C8" s="109" t="s">
        <v>473</v>
      </c>
      <c r="D8" s="110" t="s">
        <v>406</v>
      </c>
      <c r="E8" s="110" t="s">
        <v>748</v>
      </c>
      <c r="F8" s="110" t="s">
        <v>748</v>
      </c>
    </row>
    <row r="9" spans="1:6" ht="46.5">
      <c r="B9" s="108">
        <v>8</v>
      </c>
      <c r="C9" s="109" t="s">
        <v>542</v>
      </c>
      <c r="D9" s="110" t="s">
        <v>539</v>
      </c>
      <c r="E9" s="126" t="s">
        <v>1225</v>
      </c>
      <c r="F9" s="126" t="s">
        <v>1225</v>
      </c>
    </row>
    <row r="10" spans="1:6" ht="46.5">
      <c r="B10" s="108">
        <v>9</v>
      </c>
      <c r="C10" s="109" t="s">
        <v>542</v>
      </c>
      <c r="D10" s="110" t="s">
        <v>531</v>
      </c>
      <c r="E10" s="110" t="s">
        <v>749</v>
      </c>
      <c r="F10" s="110" t="s">
        <v>749</v>
      </c>
    </row>
    <row r="11" spans="1:6" ht="46.5">
      <c r="B11" s="108">
        <v>10</v>
      </c>
      <c r="C11" s="109" t="s">
        <v>542</v>
      </c>
      <c r="D11" s="110" t="s">
        <v>540</v>
      </c>
      <c r="E11" s="110" t="s">
        <v>750</v>
      </c>
      <c r="F11" s="110" t="s">
        <v>750</v>
      </c>
    </row>
    <row r="12" spans="1:6" ht="52.5">
      <c r="B12" s="108">
        <v>11</v>
      </c>
      <c r="C12" s="109" t="s">
        <v>542</v>
      </c>
      <c r="D12" s="110" t="s">
        <v>534</v>
      </c>
      <c r="E12" s="110" t="s">
        <v>751</v>
      </c>
      <c r="F12" s="110" t="s">
        <v>751</v>
      </c>
    </row>
    <row r="13" spans="1:6" ht="69.75">
      <c r="B13" s="108">
        <v>12</v>
      </c>
      <c r="C13" s="109" t="s">
        <v>542</v>
      </c>
      <c r="D13" s="110" t="s">
        <v>535</v>
      </c>
      <c r="E13" s="110" t="s">
        <v>752</v>
      </c>
      <c r="F13" s="110" t="s">
        <v>752</v>
      </c>
    </row>
    <row r="14" spans="1:6" ht="46.5">
      <c r="B14" s="108">
        <v>13</v>
      </c>
      <c r="C14" s="109" t="s">
        <v>473</v>
      </c>
      <c r="D14" s="110" t="s">
        <v>695</v>
      </c>
      <c r="E14" s="110" t="s">
        <v>753</v>
      </c>
      <c r="F14" s="110" t="s">
        <v>753</v>
      </c>
    </row>
    <row r="15" spans="1:6" ht="39.4">
      <c r="B15" s="108">
        <v>14</v>
      </c>
      <c r="C15" s="109" t="s">
        <v>473</v>
      </c>
      <c r="D15" s="110" t="s">
        <v>696</v>
      </c>
      <c r="E15" s="110" t="s">
        <v>754</v>
      </c>
      <c r="F15" s="110" t="s">
        <v>754</v>
      </c>
    </row>
    <row r="16" spans="1:6" ht="13.15">
      <c r="B16" s="108">
        <v>15</v>
      </c>
      <c r="C16" s="109" t="s">
        <v>473</v>
      </c>
      <c r="D16" s="110" t="s">
        <v>697</v>
      </c>
      <c r="E16" s="110" t="s">
        <v>755</v>
      </c>
      <c r="F16" s="110" t="s">
        <v>755</v>
      </c>
    </row>
    <row r="17" spans="1:6" ht="13.15">
      <c r="B17" s="108">
        <v>101</v>
      </c>
      <c r="D17" s="110" t="s">
        <v>20</v>
      </c>
      <c r="E17" s="110" t="s">
        <v>756</v>
      </c>
      <c r="F17" s="110" t="s">
        <v>756</v>
      </c>
    </row>
    <row r="18" spans="1:6" ht="13.15">
      <c r="B18" s="108">
        <v>102</v>
      </c>
      <c r="D18" s="110" t="s">
        <v>21</v>
      </c>
      <c r="E18" s="110" t="s">
        <v>757</v>
      </c>
      <c r="F18" s="110" t="s">
        <v>757</v>
      </c>
    </row>
    <row r="19" spans="1:6" ht="13.15">
      <c r="B19" s="108">
        <v>103</v>
      </c>
      <c r="D19" s="110" t="s">
        <v>22</v>
      </c>
      <c r="E19" s="110" t="s">
        <v>758</v>
      </c>
      <c r="F19" s="110" t="s">
        <v>758</v>
      </c>
    </row>
    <row r="20" spans="1:6" ht="13.15">
      <c r="B20" s="108">
        <v>104</v>
      </c>
      <c r="D20" s="110" t="s">
        <v>23</v>
      </c>
      <c r="E20" s="110" t="s">
        <v>759</v>
      </c>
      <c r="F20" s="110" t="s">
        <v>759</v>
      </c>
    </row>
    <row r="21" spans="1:6" ht="13.15">
      <c r="B21" s="108">
        <v>105</v>
      </c>
      <c r="D21" s="110" t="s">
        <v>24</v>
      </c>
      <c r="E21" s="110" t="s">
        <v>760</v>
      </c>
      <c r="F21" s="110" t="s">
        <v>760</v>
      </c>
    </row>
    <row r="22" spans="1:6">
      <c r="B22" s="108">
        <v>106</v>
      </c>
      <c r="D22" s="110" t="s">
        <v>328</v>
      </c>
      <c r="E22" s="110" t="s">
        <v>1321</v>
      </c>
      <c r="F22" s="110" t="s">
        <v>1321</v>
      </c>
    </row>
    <row r="23" spans="1:6" ht="39.4">
      <c r="B23" s="108">
        <v>107</v>
      </c>
      <c r="D23" s="110" t="s">
        <v>329</v>
      </c>
      <c r="E23" s="110" t="s">
        <v>761</v>
      </c>
      <c r="F23" s="110" t="s">
        <v>761</v>
      </c>
    </row>
    <row r="24" spans="1:6" ht="39.4">
      <c r="B24" s="108">
        <v>108</v>
      </c>
      <c r="D24" s="110" t="s">
        <v>330</v>
      </c>
      <c r="E24" s="110" t="s">
        <v>762</v>
      </c>
      <c r="F24" s="110" t="s">
        <v>762</v>
      </c>
    </row>
    <row r="25" spans="1:6">
      <c r="B25" s="108">
        <v>109</v>
      </c>
      <c r="D25" s="110" t="s">
        <v>25</v>
      </c>
      <c r="E25" s="110" t="s">
        <v>1322</v>
      </c>
      <c r="F25" s="110" t="s">
        <v>1322</v>
      </c>
    </row>
    <row r="26" spans="1:6">
      <c r="B26" s="108">
        <v>110</v>
      </c>
      <c r="D26" s="110" t="s">
        <v>26</v>
      </c>
      <c r="E26" s="110" t="s">
        <v>1323</v>
      </c>
      <c r="F26" s="110" t="s">
        <v>1323</v>
      </c>
    </row>
    <row r="27" spans="1:6" ht="13.15">
      <c r="B27" s="108">
        <v>111</v>
      </c>
      <c r="D27" s="110" t="s">
        <v>27</v>
      </c>
      <c r="E27" s="110" t="s">
        <v>763</v>
      </c>
      <c r="F27" s="110" t="s">
        <v>763</v>
      </c>
    </row>
    <row r="28" spans="1:6" ht="13.15">
      <c r="A28" s="112"/>
      <c r="B28" s="108">
        <v>112</v>
      </c>
      <c r="C28" s="113" t="s">
        <v>399</v>
      </c>
      <c r="D28" s="111" t="s">
        <v>416</v>
      </c>
      <c r="E28" s="111" t="s">
        <v>764</v>
      </c>
      <c r="F28" s="111" t="s">
        <v>764</v>
      </c>
    </row>
    <row r="29" spans="1:6" ht="13.15">
      <c r="B29" s="108">
        <v>113</v>
      </c>
      <c r="D29" s="110" t="s">
        <v>28</v>
      </c>
      <c r="E29" s="110" t="s">
        <v>764</v>
      </c>
      <c r="F29" s="110" t="s">
        <v>764</v>
      </c>
    </row>
    <row r="30" spans="1:6" ht="13.15">
      <c r="B30" s="108">
        <v>114</v>
      </c>
      <c r="C30" s="109" t="s">
        <v>500</v>
      </c>
      <c r="D30" s="110" t="s">
        <v>505</v>
      </c>
      <c r="E30" s="110" t="s">
        <v>765</v>
      </c>
      <c r="F30" s="110" t="s">
        <v>765</v>
      </c>
    </row>
    <row r="31" spans="1:6" ht="13.15">
      <c r="B31" s="108">
        <v>115</v>
      </c>
      <c r="D31" s="110" t="s">
        <v>557</v>
      </c>
      <c r="E31" s="110" t="s">
        <v>766</v>
      </c>
      <c r="F31" s="110" t="s">
        <v>766</v>
      </c>
    </row>
    <row r="32" spans="1:6" ht="13.15">
      <c r="B32" s="108">
        <v>116</v>
      </c>
      <c r="D32" s="110" t="s">
        <v>29</v>
      </c>
      <c r="E32" s="110" t="s">
        <v>767</v>
      </c>
      <c r="F32" s="110" t="s">
        <v>767</v>
      </c>
    </row>
    <row r="33" spans="2:6" ht="13.15">
      <c r="B33" s="108">
        <v>117</v>
      </c>
      <c r="D33" s="110" t="s">
        <v>30</v>
      </c>
      <c r="E33" s="110" t="s">
        <v>768</v>
      </c>
      <c r="F33" s="110" t="s">
        <v>768</v>
      </c>
    </row>
    <row r="34" spans="2:6" ht="26.25">
      <c r="B34" s="108">
        <v>118</v>
      </c>
      <c r="D34" s="110" t="s">
        <v>331</v>
      </c>
      <c r="E34" s="110" t="s">
        <v>769</v>
      </c>
      <c r="F34" s="110" t="s">
        <v>769</v>
      </c>
    </row>
    <row r="35" spans="2:6">
      <c r="B35" s="108">
        <v>119</v>
      </c>
      <c r="D35" s="110" t="s">
        <v>486</v>
      </c>
      <c r="E35" s="110" t="s">
        <v>1445</v>
      </c>
      <c r="F35" s="110" t="s">
        <v>1445</v>
      </c>
    </row>
    <row r="36" spans="2:6">
      <c r="B36" s="108">
        <v>120</v>
      </c>
      <c r="D36" s="110" t="s">
        <v>479</v>
      </c>
      <c r="E36" s="110" t="s">
        <v>1446</v>
      </c>
      <c r="F36" s="110" t="s">
        <v>1446</v>
      </c>
    </row>
    <row r="37" spans="2:6" ht="23.25">
      <c r="B37" s="108">
        <v>121</v>
      </c>
      <c r="D37" s="110" t="s">
        <v>31</v>
      </c>
      <c r="E37" s="110" t="s">
        <v>1305</v>
      </c>
      <c r="F37" s="110" t="s">
        <v>1305</v>
      </c>
    </row>
    <row r="38" spans="2:6" ht="13.15">
      <c r="B38" s="108">
        <v>122</v>
      </c>
      <c r="D38" s="110" t="s">
        <v>32</v>
      </c>
      <c r="E38" s="110" t="s">
        <v>770</v>
      </c>
      <c r="F38" s="110" t="s">
        <v>770</v>
      </c>
    </row>
    <row r="39" spans="2:6" ht="13.15">
      <c r="B39" s="108">
        <v>123</v>
      </c>
      <c r="D39" s="110" t="s">
        <v>326</v>
      </c>
      <c r="E39" s="110" t="s">
        <v>771</v>
      </c>
      <c r="F39" s="110" t="s">
        <v>771</v>
      </c>
    </row>
    <row r="40" spans="2:6">
      <c r="B40" s="108">
        <v>124</v>
      </c>
      <c r="D40" s="110" t="s">
        <v>33</v>
      </c>
      <c r="E40" s="110" t="s">
        <v>1324</v>
      </c>
      <c r="F40" s="110" t="s">
        <v>1324</v>
      </c>
    </row>
    <row r="41" spans="2:6" ht="23.25">
      <c r="B41" s="108">
        <v>125</v>
      </c>
      <c r="D41" s="110" t="s">
        <v>488</v>
      </c>
      <c r="E41" s="110" t="s">
        <v>1325</v>
      </c>
      <c r="F41" s="110" t="s">
        <v>1325</v>
      </c>
    </row>
    <row r="42" spans="2:6">
      <c r="B42" s="108">
        <v>126</v>
      </c>
      <c r="D42" s="110" t="s">
        <v>487</v>
      </c>
      <c r="E42" s="110" t="s">
        <v>1326</v>
      </c>
      <c r="F42" s="110" t="s">
        <v>1326</v>
      </c>
    </row>
    <row r="43" spans="2:6" ht="23.25">
      <c r="B43" s="108">
        <v>127</v>
      </c>
      <c r="D43" s="110" t="s">
        <v>34</v>
      </c>
      <c r="E43" s="110" t="s">
        <v>1306</v>
      </c>
      <c r="F43" s="110" t="s">
        <v>1306</v>
      </c>
    </row>
    <row r="44" spans="2:6" ht="23.25">
      <c r="B44" s="108">
        <v>128</v>
      </c>
      <c r="D44" s="110" t="s">
        <v>35</v>
      </c>
      <c r="E44" s="110" t="s">
        <v>772</v>
      </c>
      <c r="F44" s="110" t="s">
        <v>772</v>
      </c>
    </row>
    <row r="45" spans="2:6" ht="23.25">
      <c r="B45" s="108">
        <v>129</v>
      </c>
      <c r="D45" s="110" t="s">
        <v>327</v>
      </c>
      <c r="E45" s="110" t="s">
        <v>773</v>
      </c>
      <c r="F45" s="110" t="s">
        <v>773</v>
      </c>
    </row>
    <row r="46" spans="2:6" ht="13.15">
      <c r="B46" s="108">
        <v>130</v>
      </c>
      <c r="D46" s="110" t="s">
        <v>36</v>
      </c>
      <c r="E46" s="110" t="s">
        <v>774</v>
      </c>
      <c r="F46" s="110" t="s">
        <v>774</v>
      </c>
    </row>
    <row r="47" spans="2:6" ht="13.15">
      <c r="B47" s="108">
        <v>131</v>
      </c>
      <c r="D47" s="110" t="s">
        <v>332</v>
      </c>
      <c r="E47" s="110" t="s">
        <v>775</v>
      </c>
      <c r="F47" s="110" t="s">
        <v>775</v>
      </c>
    </row>
    <row r="48" spans="2:6" ht="13.15">
      <c r="B48" s="108">
        <v>132</v>
      </c>
      <c r="D48" s="110" t="s">
        <v>37</v>
      </c>
      <c r="E48" s="110" t="s">
        <v>776</v>
      </c>
      <c r="F48" s="110" t="s">
        <v>776</v>
      </c>
    </row>
    <row r="49" spans="2:6" ht="13.15">
      <c r="B49" s="108">
        <v>133</v>
      </c>
      <c r="D49" s="110" t="s">
        <v>583</v>
      </c>
      <c r="E49" s="110" t="s">
        <v>777</v>
      </c>
      <c r="F49" s="110" t="s">
        <v>777</v>
      </c>
    </row>
    <row r="50" spans="2:6" ht="13.15">
      <c r="B50" s="108">
        <v>134</v>
      </c>
      <c r="D50" s="110" t="s">
        <v>582</v>
      </c>
      <c r="E50" s="110" t="s">
        <v>778</v>
      </c>
      <c r="F50" s="110" t="s">
        <v>778</v>
      </c>
    </row>
    <row r="51" spans="2:6">
      <c r="B51" s="108">
        <v>135</v>
      </c>
      <c r="D51" s="111" t="s">
        <v>581</v>
      </c>
      <c r="E51" s="114">
        <v>43435</v>
      </c>
      <c r="F51" s="114">
        <v>43435</v>
      </c>
    </row>
    <row r="52" spans="2:6">
      <c r="B52" s="108">
        <v>136</v>
      </c>
      <c r="D52" s="111" t="s">
        <v>333</v>
      </c>
      <c r="E52" s="114">
        <v>43465</v>
      </c>
      <c r="F52" s="114">
        <v>43465</v>
      </c>
    </row>
    <row r="53" spans="2:6">
      <c r="B53" s="108">
        <v>137</v>
      </c>
      <c r="D53" s="110" t="s">
        <v>38</v>
      </c>
      <c r="E53" s="110" t="s">
        <v>38</v>
      </c>
      <c r="F53" s="110" t="s">
        <v>38</v>
      </c>
    </row>
    <row r="54" spans="2:6" ht="13.15">
      <c r="B54" s="108">
        <v>138</v>
      </c>
      <c r="D54" s="110" t="s">
        <v>39</v>
      </c>
      <c r="E54" s="110" t="s">
        <v>779</v>
      </c>
      <c r="F54" s="110" t="s">
        <v>779</v>
      </c>
    </row>
    <row r="55" spans="2:6" ht="13.15">
      <c r="B55" s="108">
        <v>139</v>
      </c>
      <c r="C55" s="109" t="s">
        <v>417</v>
      </c>
      <c r="D55" s="110" t="s">
        <v>418</v>
      </c>
      <c r="E55" s="110" t="s">
        <v>780</v>
      </c>
      <c r="F55" s="110" t="s">
        <v>780</v>
      </c>
    </row>
    <row r="56" spans="2:6" ht="23.25">
      <c r="B56" s="108">
        <v>140</v>
      </c>
      <c r="D56" s="110" t="s">
        <v>40</v>
      </c>
      <c r="E56" s="110" t="s">
        <v>1327</v>
      </c>
      <c r="F56" s="110" t="s">
        <v>1327</v>
      </c>
    </row>
    <row r="57" spans="2:6" ht="13.15">
      <c r="B57" s="108">
        <v>141</v>
      </c>
      <c r="D57" s="110" t="s">
        <v>41</v>
      </c>
      <c r="E57" s="126" t="s">
        <v>1377</v>
      </c>
      <c r="F57" s="126" t="s">
        <v>1377</v>
      </c>
    </row>
    <row r="58" spans="2:6" ht="13.15">
      <c r="B58" s="108">
        <v>142</v>
      </c>
      <c r="D58" s="110" t="s">
        <v>475</v>
      </c>
      <c r="E58" s="110" t="s">
        <v>781</v>
      </c>
      <c r="F58" s="110" t="s">
        <v>781</v>
      </c>
    </row>
    <row r="59" spans="2:6" ht="13.15">
      <c r="B59" s="108">
        <v>143</v>
      </c>
      <c r="C59" s="109" t="s">
        <v>451</v>
      </c>
      <c r="D59" s="107" t="s">
        <v>334</v>
      </c>
      <c r="E59" s="115" t="s">
        <v>782</v>
      </c>
      <c r="F59" s="115" t="s">
        <v>782</v>
      </c>
    </row>
    <row r="60" spans="2:6" ht="13.15">
      <c r="B60" s="108">
        <v>144</v>
      </c>
      <c r="D60" s="110" t="s">
        <v>42</v>
      </c>
      <c r="E60" s="110" t="s">
        <v>783</v>
      </c>
      <c r="F60" s="110" t="s">
        <v>783</v>
      </c>
    </row>
    <row r="61" spans="2:6" ht="26.25">
      <c r="B61" s="108">
        <v>145</v>
      </c>
      <c r="D61" s="110" t="s">
        <v>43</v>
      </c>
      <c r="E61" s="110" t="s">
        <v>784</v>
      </c>
      <c r="F61" s="110" t="s">
        <v>784</v>
      </c>
    </row>
    <row r="62" spans="2:6" ht="13.15">
      <c r="B62" s="108">
        <v>146</v>
      </c>
      <c r="D62" s="110" t="s">
        <v>44</v>
      </c>
      <c r="E62" s="110" t="s">
        <v>785</v>
      </c>
      <c r="F62" s="110" t="s">
        <v>785</v>
      </c>
    </row>
    <row r="63" spans="2:6" ht="26.25">
      <c r="B63" s="108">
        <v>147</v>
      </c>
      <c r="D63" s="110" t="s">
        <v>45</v>
      </c>
      <c r="E63" s="110" t="s">
        <v>786</v>
      </c>
      <c r="F63" s="110" t="s">
        <v>786</v>
      </c>
    </row>
    <row r="64" spans="2:6" ht="13.15">
      <c r="B64" s="108">
        <v>148</v>
      </c>
      <c r="D64" s="110" t="s">
        <v>476</v>
      </c>
      <c r="E64" s="110" t="s">
        <v>787</v>
      </c>
      <c r="F64" s="110" t="s">
        <v>787</v>
      </c>
    </row>
    <row r="65" spans="1:6">
      <c r="B65" s="108">
        <v>149</v>
      </c>
      <c r="D65" s="110" t="s">
        <v>477</v>
      </c>
      <c r="E65" s="110" t="s">
        <v>1328</v>
      </c>
      <c r="F65" s="110" t="s">
        <v>1328</v>
      </c>
    </row>
    <row r="66" spans="1:6">
      <c r="B66" s="108">
        <v>150</v>
      </c>
      <c r="D66" s="110" t="s">
        <v>46</v>
      </c>
      <c r="E66" s="110" t="s">
        <v>1329</v>
      </c>
      <c r="F66" s="110" t="s">
        <v>1329</v>
      </c>
    </row>
    <row r="67" spans="1:6" ht="13.15">
      <c r="B67" s="108">
        <v>151</v>
      </c>
      <c r="C67" s="109" t="s">
        <v>451</v>
      </c>
      <c r="D67" s="107" t="s">
        <v>335</v>
      </c>
      <c r="E67" s="115" t="s">
        <v>788</v>
      </c>
      <c r="F67" s="115" t="s">
        <v>788</v>
      </c>
    </row>
    <row r="68" spans="1:6" ht="13.15">
      <c r="B68" s="108">
        <v>152</v>
      </c>
      <c r="D68" s="110" t="s">
        <v>47</v>
      </c>
      <c r="E68" s="110" t="s">
        <v>789</v>
      </c>
      <c r="F68" s="110" t="s">
        <v>789</v>
      </c>
    </row>
    <row r="69" spans="1:6" ht="13.15">
      <c r="B69" s="108">
        <v>153</v>
      </c>
      <c r="D69" s="110" t="s">
        <v>48</v>
      </c>
      <c r="E69" s="110" t="s">
        <v>790</v>
      </c>
      <c r="F69" s="110" t="s">
        <v>790</v>
      </c>
    </row>
    <row r="70" spans="1:6" ht="13.15">
      <c r="B70" s="108">
        <v>154</v>
      </c>
      <c r="D70" s="110" t="s">
        <v>49</v>
      </c>
      <c r="E70" s="110" t="s">
        <v>791</v>
      </c>
      <c r="F70" s="110" t="s">
        <v>791</v>
      </c>
    </row>
    <row r="71" spans="1:6" ht="26.25">
      <c r="B71" s="108">
        <v>155</v>
      </c>
      <c r="D71" s="110" t="s">
        <v>50</v>
      </c>
      <c r="E71" s="110" t="s">
        <v>792</v>
      </c>
      <c r="F71" s="110" t="s">
        <v>792</v>
      </c>
    </row>
    <row r="72" spans="1:6" ht="13.15">
      <c r="B72" s="108">
        <v>156</v>
      </c>
      <c r="C72" s="109" t="s">
        <v>451</v>
      </c>
      <c r="D72" s="107" t="s">
        <v>449</v>
      </c>
      <c r="E72" s="115" t="s">
        <v>793</v>
      </c>
      <c r="F72" s="115" t="s">
        <v>793</v>
      </c>
    </row>
    <row r="73" spans="1:6" ht="13.15">
      <c r="B73" s="108">
        <v>157</v>
      </c>
      <c r="C73" s="109" t="s">
        <v>451</v>
      </c>
      <c r="D73" s="107" t="s">
        <v>448</v>
      </c>
      <c r="E73" s="115" t="s">
        <v>794</v>
      </c>
      <c r="F73" s="115" t="s">
        <v>794</v>
      </c>
    </row>
    <row r="74" spans="1:6" ht="13.15">
      <c r="B74" s="108">
        <v>158</v>
      </c>
      <c r="D74" s="110" t="s">
        <v>336</v>
      </c>
      <c r="E74" s="110" t="s">
        <v>795</v>
      </c>
      <c r="F74" s="110" t="s">
        <v>795</v>
      </c>
    </row>
    <row r="75" spans="1:6" ht="13.15">
      <c r="A75" s="116"/>
      <c r="B75" s="108">
        <v>159</v>
      </c>
      <c r="C75" s="113" t="s">
        <v>399</v>
      </c>
      <c r="D75" s="111" t="s">
        <v>419</v>
      </c>
      <c r="E75" s="111" t="s">
        <v>796</v>
      </c>
      <c r="F75" s="111" t="s">
        <v>796</v>
      </c>
    </row>
    <row r="76" spans="1:6" ht="13.15">
      <c r="B76" s="108">
        <v>160</v>
      </c>
      <c r="D76" s="110" t="s">
        <v>51</v>
      </c>
      <c r="E76" s="111" t="s">
        <v>797</v>
      </c>
      <c r="F76" s="111" t="s">
        <v>797</v>
      </c>
    </row>
    <row r="77" spans="1:6">
      <c r="B77" s="108">
        <v>161</v>
      </c>
      <c r="D77" s="110" t="s">
        <v>52</v>
      </c>
      <c r="E77" s="111" t="s">
        <v>1260</v>
      </c>
      <c r="F77" s="111" t="s">
        <v>1260</v>
      </c>
    </row>
    <row r="78" spans="1:6" ht="13.15">
      <c r="B78" s="108">
        <v>162</v>
      </c>
      <c r="D78" s="110" t="s">
        <v>1368</v>
      </c>
      <c r="E78" s="126" t="s">
        <v>1442</v>
      </c>
      <c r="F78" s="126" t="s">
        <v>1442</v>
      </c>
    </row>
    <row r="79" spans="1:6" ht="13.15">
      <c r="B79" s="108">
        <v>163</v>
      </c>
      <c r="D79" s="110" t="s">
        <v>1369</v>
      </c>
      <c r="E79" s="126" t="s">
        <v>1441</v>
      </c>
      <c r="F79" s="126" t="s">
        <v>1441</v>
      </c>
    </row>
    <row r="80" spans="1:6" ht="13.15">
      <c r="B80" s="108">
        <v>164</v>
      </c>
      <c r="D80" s="110" t="s">
        <v>1370</v>
      </c>
      <c r="E80" s="126" t="s">
        <v>1440</v>
      </c>
      <c r="F80" s="126" t="s">
        <v>1440</v>
      </c>
    </row>
    <row r="81" spans="1:6" ht="13.15">
      <c r="A81" s="116"/>
      <c r="B81" s="108">
        <v>165</v>
      </c>
      <c r="C81" s="113" t="s">
        <v>399</v>
      </c>
      <c r="D81" s="111" t="s">
        <v>420</v>
      </c>
      <c r="E81" s="111" t="s">
        <v>798</v>
      </c>
      <c r="F81" s="111" t="s">
        <v>798</v>
      </c>
    </row>
    <row r="82" spans="1:6" ht="13.15">
      <c r="A82" s="116"/>
      <c r="B82" s="108">
        <v>166</v>
      </c>
      <c r="C82" s="113" t="s">
        <v>399</v>
      </c>
      <c r="D82" s="111" t="s">
        <v>421</v>
      </c>
      <c r="E82" s="111" t="s">
        <v>799</v>
      </c>
      <c r="F82" s="111" t="s">
        <v>799</v>
      </c>
    </row>
    <row r="83" spans="1:6" ht="13.15">
      <c r="A83" s="116"/>
      <c r="B83" s="108">
        <v>167</v>
      </c>
      <c r="C83" s="113" t="s">
        <v>399</v>
      </c>
      <c r="D83" s="111" t="s">
        <v>422</v>
      </c>
      <c r="E83" s="111" t="s">
        <v>800</v>
      </c>
      <c r="F83" s="111" t="s">
        <v>800</v>
      </c>
    </row>
    <row r="84" spans="1:6" ht="13.15">
      <c r="A84" s="116"/>
      <c r="B84" s="108">
        <v>168</v>
      </c>
      <c r="C84" s="113" t="s">
        <v>399</v>
      </c>
      <c r="D84" s="111" t="s">
        <v>407</v>
      </c>
      <c r="E84" s="111" t="s">
        <v>801</v>
      </c>
      <c r="F84" s="111" t="s">
        <v>801</v>
      </c>
    </row>
    <row r="85" spans="1:6" ht="13.15">
      <c r="B85" s="108">
        <v>169</v>
      </c>
      <c r="D85" s="110" t="s">
        <v>53</v>
      </c>
      <c r="E85" s="110" t="s">
        <v>802</v>
      </c>
      <c r="F85" s="110" t="s">
        <v>802</v>
      </c>
    </row>
    <row r="86" spans="1:6" ht="13.15">
      <c r="B86" s="108">
        <v>170</v>
      </c>
      <c r="D86" s="110" t="s">
        <v>54</v>
      </c>
      <c r="E86" s="110" t="s">
        <v>803</v>
      </c>
      <c r="F86" s="110" t="s">
        <v>803</v>
      </c>
    </row>
    <row r="87" spans="1:6" ht="13.15">
      <c r="B87" s="108">
        <v>171</v>
      </c>
      <c r="D87" s="110" t="s">
        <v>423</v>
      </c>
      <c r="E87" s="110" t="s">
        <v>804</v>
      </c>
      <c r="F87" s="110" t="s">
        <v>804</v>
      </c>
    </row>
    <row r="88" spans="1:6" ht="13.15">
      <c r="B88" s="108">
        <v>172</v>
      </c>
      <c r="D88" s="110" t="s">
        <v>55</v>
      </c>
      <c r="E88" s="110" t="s">
        <v>805</v>
      </c>
      <c r="F88" s="110" t="s">
        <v>805</v>
      </c>
    </row>
    <row r="89" spans="1:6" ht="13.15">
      <c r="B89" s="108">
        <v>173</v>
      </c>
      <c r="D89" s="110" t="s">
        <v>56</v>
      </c>
      <c r="E89" s="110" t="s">
        <v>806</v>
      </c>
      <c r="F89" s="110" t="s">
        <v>806</v>
      </c>
    </row>
    <row r="90" spans="1:6" ht="13.15">
      <c r="B90" s="108">
        <v>174</v>
      </c>
      <c r="D90" s="110" t="s">
        <v>1367</v>
      </c>
      <c r="E90" s="110" t="s">
        <v>807</v>
      </c>
      <c r="F90" s="110" t="s">
        <v>807</v>
      </c>
    </row>
    <row r="91" spans="1:6" ht="13.15">
      <c r="B91" s="108">
        <v>175</v>
      </c>
      <c r="D91" s="110" t="s">
        <v>1373</v>
      </c>
      <c r="E91" s="126" t="s">
        <v>1374</v>
      </c>
      <c r="F91" s="126" t="s">
        <v>1374</v>
      </c>
    </row>
    <row r="92" spans="1:6" ht="26.25">
      <c r="B92" s="108">
        <v>176</v>
      </c>
      <c r="D92" s="110" t="s">
        <v>1366</v>
      </c>
      <c r="E92" s="126" t="s">
        <v>1375</v>
      </c>
      <c r="F92" s="110" t="s">
        <v>1307</v>
      </c>
    </row>
    <row r="93" spans="1:6" ht="13.15">
      <c r="B93" s="108">
        <v>177</v>
      </c>
      <c r="D93" s="110" t="s">
        <v>57</v>
      </c>
      <c r="E93" s="110" t="s">
        <v>808</v>
      </c>
      <c r="F93" s="110" t="s">
        <v>808</v>
      </c>
    </row>
    <row r="94" spans="1:6" ht="13.15">
      <c r="B94" s="108">
        <v>178</v>
      </c>
      <c r="D94" s="110" t="s">
        <v>58</v>
      </c>
      <c r="E94" s="110" t="s">
        <v>809</v>
      </c>
      <c r="F94" s="110" t="s">
        <v>809</v>
      </c>
    </row>
    <row r="95" spans="1:6" ht="13.15">
      <c r="B95" s="108">
        <v>179</v>
      </c>
      <c r="D95" s="110" t="s">
        <v>59</v>
      </c>
      <c r="E95" s="110" t="s">
        <v>810</v>
      </c>
      <c r="F95" s="110" t="s">
        <v>810</v>
      </c>
    </row>
    <row r="96" spans="1:6" ht="13.15">
      <c r="B96" s="108">
        <v>180</v>
      </c>
      <c r="D96" s="110" t="s">
        <v>337</v>
      </c>
      <c r="E96" s="110" t="s">
        <v>811</v>
      </c>
      <c r="F96" s="110" t="s">
        <v>811</v>
      </c>
    </row>
    <row r="97" spans="2:6" ht="13.15">
      <c r="B97" s="108">
        <v>181</v>
      </c>
      <c r="C97" s="109" t="s">
        <v>500</v>
      </c>
      <c r="D97" s="110" t="s">
        <v>521</v>
      </c>
      <c r="E97" s="110" t="s">
        <v>812</v>
      </c>
      <c r="F97" s="110" t="s">
        <v>812</v>
      </c>
    </row>
    <row r="98" spans="2:6" ht="39.4">
      <c r="B98" s="108">
        <v>182</v>
      </c>
      <c r="C98" s="109" t="s">
        <v>500</v>
      </c>
      <c r="D98" s="110" t="s">
        <v>541</v>
      </c>
      <c r="E98" s="110" t="s">
        <v>813</v>
      </c>
      <c r="F98" s="110" t="s">
        <v>813</v>
      </c>
    </row>
    <row r="99" spans="2:6" ht="13.15">
      <c r="B99" s="108">
        <v>183</v>
      </c>
      <c r="D99" s="110" t="s">
        <v>60</v>
      </c>
      <c r="E99" s="110" t="s">
        <v>814</v>
      </c>
      <c r="F99" s="110" t="s">
        <v>814</v>
      </c>
    </row>
    <row r="100" spans="2:6" ht="13.15">
      <c r="B100" s="108">
        <v>184</v>
      </c>
      <c r="D100" s="110" t="s">
        <v>572</v>
      </c>
      <c r="E100" s="110" t="s">
        <v>815</v>
      </c>
      <c r="F100" s="110" t="s">
        <v>815</v>
      </c>
    </row>
    <row r="101" spans="2:6" ht="13.15">
      <c r="B101" s="108">
        <v>185</v>
      </c>
      <c r="D101" s="110" t="s">
        <v>61</v>
      </c>
      <c r="E101" s="110" t="s">
        <v>816</v>
      </c>
      <c r="F101" s="110" t="s">
        <v>816</v>
      </c>
    </row>
    <row r="102" spans="2:6" ht="23.25">
      <c r="B102" s="108">
        <v>186</v>
      </c>
      <c r="D102" s="110" t="s">
        <v>62</v>
      </c>
      <c r="E102" s="110" t="s">
        <v>817</v>
      </c>
      <c r="F102" s="110" t="s">
        <v>817</v>
      </c>
    </row>
    <row r="103" spans="2:6" ht="23.25">
      <c r="B103" s="108">
        <v>187</v>
      </c>
      <c r="D103" s="110" t="s">
        <v>63</v>
      </c>
      <c r="E103" s="110" t="s">
        <v>818</v>
      </c>
      <c r="F103" s="110" t="s">
        <v>818</v>
      </c>
    </row>
    <row r="104" spans="2:6" ht="13.15">
      <c r="B104" s="108">
        <v>188</v>
      </c>
      <c r="D104" s="110" t="s">
        <v>64</v>
      </c>
      <c r="E104" s="110" t="s">
        <v>819</v>
      </c>
      <c r="F104" s="110" t="s">
        <v>819</v>
      </c>
    </row>
    <row r="105" spans="2:6" ht="13.15">
      <c r="B105" s="108">
        <v>189</v>
      </c>
      <c r="D105" s="110" t="s">
        <v>65</v>
      </c>
      <c r="E105" s="110" t="s">
        <v>820</v>
      </c>
      <c r="F105" s="110" t="s">
        <v>820</v>
      </c>
    </row>
    <row r="106" spans="2:6" ht="13.15">
      <c r="B106" s="108">
        <v>190</v>
      </c>
      <c r="C106" s="109" t="s">
        <v>500</v>
      </c>
      <c r="D106" s="110" t="s">
        <v>519</v>
      </c>
      <c r="E106" s="110" t="s">
        <v>821</v>
      </c>
      <c r="F106" s="110" t="s">
        <v>821</v>
      </c>
    </row>
    <row r="107" spans="2:6" ht="13.15">
      <c r="B107" s="108">
        <v>191</v>
      </c>
      <c r="D107" s="110" t="s">
        <v>547</v>
      </c>
      <c r="E107" s="110" t="s">
        <v>822</v>
      </c>
      <c r="F107" s="110" t="s">
        <v>822</v>
      </c>
    </row>
    <row r="108" spans="2:6" ht="13.15">
      <c r="B108" s="108">
        <v>192</v>
      </c>
      <c r="D108" s="110" t="s">
        <v>441</v>
      </c>
      <c r="E108" s="110" t="s">
        <v>823</v>
      </c>
      <c r="F108" s="110" t="s">
        <v>823</v>
      </c>
    </row>
    <row r="109" spans="2:6" ht="13.15">
      <c r="B109" s="108">
        <v>193</v>
      </c>
      <c r="D109" s="110" t="s">
        <v>442</v>
      </c>
      <c r="E109" s="110" t="s">
        <v>824</v>
      </c>
      <c r="F109" s="110" t="s">
        <v>824</v>
      </c>
    </row>
    <row r="110" spans="2:6" ht="13.15">
      <c r="B110" s="108">
        <v>194</v>
      </c>
      <c r="D110" s="110" t="s">
        <v>66</v>
      </c>
      <c r="E110" s="110" t="s">
        <v>825</v>
      </c>
      <c r="F110" s="110" t="s">
        <v>825</v>
      </c>
    </row>
    <row r="111" spans="2:6" ht="13.15">
      <c r="B111" s="108">
        <v>195</v>
      </c>
      <c r="D111" s="110" t="s">
        <v>67</v>
      </c>
      <c r="E111" s="110" t="s">
        <v>826</v>
      </c>
      <c r="F111" s="110" t="s">
        <v>826</v>
      </c>
    </row>
    <row r="112" spans="2:6" ht="13.15">
      <c r="B112" s="108">
        <v>196</v>
      </c>
      <c r="D112" s="110" t="s">
        <v>338</v>
      </c>
      <c r="E112" s="110" t="s">
        <v>827</v>
      </c>
      <c r="F112" s="110" t="s">
        <v>827</v>
      </c>
    </row>
    <row r="113" spans="2:6" ht="23.25">
      <c r="B113" s="108">
        <v>197</v>
      </c>
      <c r="D113" s="110" t="s">
        <v>339</v>
      </c>
      <c r="E113" s="110" t="s">
        <v>828</v>
      </c>
      <c r="F113" s="110" t="s">
        <v>828</v>
      </c>
    </row>
    <row r="114" spans="2:6" ht="23.25">
      <c r="B114" s="108">
        <v>198</v>
      </c>
      <c r="D114" s="110" t="s">
        <v>68</v>
      </c>
      <c r="E114" s="110" t="s">
        <v>829</v>
      </c>
      <c r="F114" s="110" t="s">
        <v>829</v>
      </c>
    </row>
    <row r="115" spans="2:6" ht="13.15">
      <c r="B115" s="108">
        <v>199</v>
      </c>
      <c r="D115" s="110" t="s">
        <v>574</v>
      </c>
      <c r="E115" s="110" t="s">
        <v>830</v>
      </c>
      <c r="F115" s="110" t="s">
        <v>830</v>
      </c>
    </row>
    <row r="116" spans="2:6">
      <c r="B116" s="108">
        <v>200</v>
      </c>
      <c r="D116" s="110" t="s">
        <v>69</v>
      </c>
      <c r="E116" s="110" t="s">
        <v>70</v>
      </c>
      <c r="F116" s="110" t="s">
        <v>70</v>
      </c>
    </row>
    <row r="117" spans="2:6" ht="13.15">
      <c r="B117" s="108">
        <v>201</v>
      </c>
      <c r="D117" s="110" t="s">
        <v>566</v>
      </c>
      <c r="E117" s="110" t="s">
        <v>831</v>
      </c>
      <c r="F117" s="110" t="s">
        <v>831</v>
      </c>
    </row>
    <row r="118" spans="2:6" ht="13.15">
      <c r="B118" s="108">
        <v>202</v>
      </c>
      <c r="D118" s="110" t="s">
        <v>340</v>
      </c>
      <c r="E118" s="110" t="s">
        <v>832</v>
      </c>
      <c r="F118" s="110" t="s">
        <v>832</v>
      </c>
    </row>
    <row r="119" spans="2:6" ht="13.15">
      <c r="B119" s="108">
        <v>203</v>
      </c>
      <c r="D119" s="110" t="s">
        <v>341</v>
      </c>
      <c r="E119" s="110" t="s">
        <v>833</v>
      </c>
      <c r="F119" s="110" t="s">
        <v>833</v>
      </c>
    </row>
    <row r="120" spans="2:6" ht="13.15">
      <c r="B120" s="108">
        <v>204</v>
      </c>
      <c r="D120" s="110" t="s">
        <v>342</v>
      </c>
      <c r="E120" s="110" t="s">
        <v>834</v>
      </c>
      <c r="F120" s="110" t="s">
        <v>834</v>
      </c>
    </row>
    <row r="121" spans="2:6" ht="13.15">
      <c r="B121" s="108">
        <v>205</v>
      </c>
      <c r="D121" s="110" t="s">
        <v>558</v>
      </c>
      <c r="E121" s="110" t="s">
        <v>835</v>
      </c>
      <c r="F121" s="110" t="s">
        <v>835</v>
      </c>
    </row>
    <row r="122" spans="2:6">
      <c r="B122" s="108">
        <v>206</v>
      </c>
      <c r="D122" s="110" t="s">
        <v>1269</v>
      </c>
      <c r="E122" s="110" t="s">
        <v>1261</v>
      </c>
      <c r="F122" s="110" t="s">
        <v>1261</v>
      </c>
    </row>
    <row r="123" spans="2:6">
      <c r="B123" s="108">
        <v>207</v>
      </c>
      <c r="D123" s="110" t="s">
        <v>71</v>
      </c>
      <c r="E123" s="110" t="s">
        <v>1330</v>
      </c>
      <c r="F123" s="110" t="s">
        <v>1330</v>
      </c>
    </row>
    <row r="124" spans="2:6" ht="23.25">
      <c r="B124" s="108">
        <v>208</v>
      </c>
      <c r="D124" s="110" t="s">
        <v>72</v>
      </c>
      <c r="E124" s="110" t="s">
        <v>1331</v>
      </c>
      <c r="F124" s="110" t="s">
        <v>1331</v>
      </c>
    </row>
    <row r="125" spans="2:6" ht="23.25">
      <c r="B125" s="108">
        <v>209</v>
      </c>
      <c r="D125" s="110" t="s">
        <v>73</v>
      </c>
      <c r="E125" s="110" t="s">
        <v>1332</v>
      </c>
      <c r="F125" s="110" t="s">
        <v>1332</v>
      </c>
    </row>
    <row r="126" spans="2:6" ht="13.15">
      <c r="B126" s="108">
        <v>210</v>
      </c>
      <c r="D126" s="110" t="s">
        <v>443</v>
      </c>
      <c r="E126" s="110" t="s">
        <v>836</v>
      </c>
      <c r="F126" s="110" t="s">
        <v>836</v>
      </c>
    </row>
    <row r="127" spans="2:6">
      <c r="B127" s="108">
        <v>211</v>
      </c>
      <c r="D127" s="110" t="s">
        <v>74</v>
      </c>
      <c r="E127" s="110" t="s">
        <v>74</v>
      </c>
      <c r="F127" s="110" t="s">
        <v>74</v>
      </c>
    </row>
    <row r="128" spans="2:6" ht="13.15">
      <c r="B128" s="108">
        <v>212</v>
      </c>
      <c r="D128" s="110" t="s">
        <v>75</v>
      </c>
      <c r="E128" s="110" t="s">
        <v>837</v>
      </c>
      <c r="F128" s="110" t="s">
        <v>837</v>
      </c>
    </row>
    <row r="129" spans="2:6" ht="13.15">
      <c r="B129" s="108">
        <v>213</v>
      </c>
      <c r="D129" s="110" t="s">
        <v>76</v>
      </c>
      <c r="E129" s="110" t="s">
        <v>838</v>
      </c>
      <c r="F129" s="110" t="s">
        <v>838</v>
      </c>
    </row>
    <row r="130" spans="2:6" ht="13.15">
      <c r="B130" s="108">
        <v>214</v>
      </c>
      <c r="D130" s="110" t="s">
        <v>77</v>
      </c>
      <c r="E130" s="110" t="s">
        <v>839</v>
      </c>
      <c r="F130" s="110" t="s">
        <v>839</v>
      </c>
    </row>
    <row r="131" spans="2:6" ht="13.15">
      <c r="B131" s="108">
        <v>215</v>
      </c>
      <c r="D131" s="110" t="s">
        <v>343</v>
      </c>
      <c r="E131" s="110" t="s">
        <v>840</v>
      </c>
      <c r="F131" s="110" t="s">
        <v>840</v>
      </c>
    </row>
    <row r="132" spans="2:6" ht="13.15">
      <c r="B132" s="108">
        <v>216</v>
      </c>
      <c r="D132" s="110" t="s">
        <v>78</v>
      </c>
      <c r="E132" s="110" t="s">
        <v>841</v>
      </c>
      <c r="F132" s="110" t="s">
        <v>841</v>
      </c>
    </row>
    <row r="133" spans="2:6" ht="13.15">
      <c r="B133" s="108">
        <v>217</v>
      </c>
      <c r="D133" s="110" t="s">
        <v>344</v>
      </c>
      <c r="E133" s="110" t="s">
        <v>842</v>
      </c>
      <c r="F133" s="110" t="s">
        <v>842</v>
      </c>
    </row>
    <row r="134" spans="2:6" ht="13.15">
      <c r="B134" s="108">
        <v>218</v>
      </c>
      <c r="D134" s="110" t="s">
        <v>79</v>
      </c>
      <c r="E134" s="110" t="s">
        <v>843</v>
      </c>
      <c r="F134" s="110" t="s">
        <v>843</v>
      </c>
    </row>
    <row r="135" spans="2:6" ht="13.15">
      <c r="B135" s="108">
        <v>219</v>
      </c>
      <c r="D135" s="110" t="s">
        <v>80</v>
      </c>
      <c r="E135" s="110" t="s">
        <v>844</v>
      </c>
      <c r="F135" s="110" t="s">
        <v>844</v>
      </c>
    </row>
    <row r="136" spans="2:6" ht="13.15">
      <c r="B136" s="108">
        <v>220</v>
      </c>
      <c r="D136" s="110" t="s">
        <v>81</v>
      </c>
      <c r="E136" s="110" t="s">
        <v>845</v>
      </c>
      <c r="F136" s="110" t="s">
        <v>845</v>
      </c>
    </row>
    <row r="137" spans="2:6" ht="13.15">
      <c r="B137" s="108">
        <v>221</v>
      </c>
      <c r="D137" s="110" t="s">
        <v>345</v>
      </c>
      <c r="E137" s="110" t="s">
        <v>846</v>
      </c>
      <c r="F137" s="110" t="s">
        <v>846</v>
      </c>
    </row>
    <row r="138" spans="2:6" ht="13.15">
      <c r="B138" s="108">
        <v>222</v>
      </c>
      <c r="D138" s="110" t="s">
        <v>82</v>
      </c>
      <c r="E138" s="110" t="s">
        <v>847</v>
      </c>
      <c r="F138" s="110" t="s">
        <v>847</v>
      </c>
    </row>
    <row r="139" spans="2:6" ht="13.15">
      <c r="B139" s="108">
        <v>223</v>
      </c>
      <c r="D139" s="110" t="s">
        <v>83</v>
      </c>
      <c r="E139" s="110" t="s">
        <v>848</v>
      </c>
      <c r="F139" s="110" t="s">
        <v>848</v>
      </c>
    </row>
    <row r="140" spans="2:6" ht="13.15">
      <c r="B140" s="108">
        <v>224</v>
      </c>
      <c r="C140" s="109" t="s">
        <v>451</v>
      </c>
      <c r="D140" s="110" t="s">
        <v>460</v>
      </c>
      <c r="E140" s="110" t="s">
        <v>849</v>
      </c>
      <c r="F140" s="110" t="s">
        <v>849</v>
      </c>
    </row>
    <row r="141" spans="2:6" ht="13.15">
      <c r="B141" s="108">
        <v>225</v>
      </c>
      <c r="D141" s="110" t="s">
        <v>84</v>
      </c>
      <c r="E141" s="110" t="s">
        <v>850</v>
      </c>
      <c r="F141" s="110" t="s">
        <v>850</v>
      </c>
    </row>
    <row r="142" spans="2:6" ht="13.15">
      <c r="B142" s="108">
        <v>226</v>
      </c>
      <c r="D142" s="110" t="s">
        <v>543</v>
      </c>
      <c r="E142" s="110" t="s">
        <v>851</v>
      </c>
      <c r="F142" s="110" t="s">
        <v>851</v>
      </c>
    </row>
    <row r="143" spans="2:6" ht="13.15">
      <c r="B143" s="108">
        <v>227</v>
      </c>
      <c r="D143" s="110" t="s">
        <v>346</v>
      </c>
      <c r="E143" s="110" t="s">
        <v>852</v>
      </c>
      <c r="F143" s="110" t="s">
        <v>852</v>
      </c>
    </row>
    <row r="144" spans="2:6" ht="13.15">
      <c r="B144" s="108">
        <v>228</v>
      </c>
      <c r="D144" s="110" t="s">
        <v>347</v>
      </c>
      <c r="E144" s="110" t="s">
        <v>853</v>
      </c>
      <c r="F144" s="110" t="s">
        <v>853</v>
      </c>
    </row>
    <row r="145" spans="2:6" ht="13.15">
      <c r="B145" s="108">
        <v>229</v>
      </c>
      <c r="D145" s="110" t="s">
        <v>498</v>
      </c>
      <c r="E145" s="110" t="s">
        <v>854</v>
      </c>
      <c r="F145" s="110" t="s">
        <v>854</v>
      </c>
    </row>
    <row r="146" spans="2:6" ht="13.15">
      <c r="B146" s="108">
        <v>230</v>
      </c>
      <c r="D146" s="110" t="s">
        <v>497</v>
      </c>
      <c r="E146" s="110" t="s">
        <v>855</v>
      </c>
      <c r="F146" s="110" t="s">
        <v>855</v>
      </c>
    </row>
    <row r="147" spans="2:6" ht="13.15">
      <c r="B147" s="108">
        <v>231</v>
      </c>
      <c r="D147" s="110" t="s">
        <v>348</v>
      </c>
      <c r="E147" s="110" t="s">
        <v>856</v>
      </c>
      <c r="F147" s="110" t="s">
        <v>856</v>
      </c>
    </row>
    <row r="148" spans="2:6" ht="13.15">
      <c r="B148" s="108">
        <v>232</v>
      </c>
      <c r="D148" s="110" t="s">
        <v>556</v>
      </c>
      <c r="E148" s="110" t="s">
        <v>857</v>
      </c>
      <c r="F148" s="110" t="s">
        <v>857</v>
      </c>
    </row>
    <row r="149" spans="2:6" ht="13.15">
      <c r="B149" s="108">
        <v>233</v>
      </c>
      <c r="D149" s="110" t="s">
        <v>349</v>
      </c>
      <c r="E149" s="110" t="s">
        <v>858</v>
      </c>
      <c r="F149" s="110" t="s">
        <v>858</v>
      </c>
    </row>
    <row r="150" spans="2:6" ht="13.15">
      <c r="B150" s="108">
        <v>234</v>
      </c>
      <c r="D150" s="110" t="s">
        <v>350</v>
      </c>
      <c r="E150" s="110" t="s">
        <v>859</v>
      </c>
      <c r="F150" s="110" t="s">
        <v>859</v>
      </c>
    </row>
    <row r="151" spans="2:6" ht="13.15">
      <c r="B151" s="108">
        <v>235</v>
      </c>
      <c r="D151" s="110" t="s">
        <v>85</v>
      </c>
      <c r="E151" s="110" t="s">
        <v>860</v>
      </c>
      <c r="F151" s="110" t="s">
        <v>860</v>
      </c>
    </row>
    <row r="152" spans="2:6" ht="13.15">
      <c r="B152" s="108">
        <v>236</v>
      </c>
      <c r="D152" s="110" t="s">
        <v>351</v>
      </c>
      <c r="E152" s="110" t="s">
        <v>861</v>
      </c>
      <c r="F152" s="110" t="s">
        <v>861</v>
      </c>
    </row>
    <row r="153" spans="2:6" ht="13.15">
      <c r="B153" s="108">
        <v>237</v>
      </c>
      <c r="D153" s="110" t="s">
        <v>1256</v>
      </c>
      <c r="E153" s="110" t="s">
        <v>862</v>
      </c>
      <c r="F153" s="110" t="s">
        <v>862</v>
      </c>
    </row>
    <row r="154" spans="2:6" ht="13.15">
      <c r="B154" s="108">
        <v>238</v>
      </c>
      <c r="D154" s="110" t="s">
        <v>86</v>
      </c>
      <c r="E154" s="110" t="s">
        <v>863</v>
      </c>
      <c r="F154" s="110" t="s">
        <v>863</v>
      </c>
    </row>
    <row r="155" spans="2:6" ht="13.15">
      <c r="B155" s="108">
        <v>239</v>
      </c>
      <c r="D155" s="110" t="s">
        <v>87</v>
      </c>
      <c r="E155" s="110" t="s">
        <v>864</v>
      </c>
      <c r="F155" s="110" t="s">
        <v>864</v>
      </c>
    </row>
    <row r="156" spans="2:6" ht="13.15">
      <c r="B156" s="108">
        <v>240</v>
      </c>
      <c r="D156" s="110" t="s">
        <v>88</v>
      </c>
      <c r="E156" s="110" t="s">
        <v>865</v>
      </c>
      <c r="F156" s="110" t="s">
        <v>865</v>
      </c>
    </row>
    <row r="157" spans="2:6">
      <c r="B157" s="108">
        <v>241</v>
      </c>
      <c r="D157" s="110" t="s">
        <v>352</v>
      </c>
      <c r="E157" s="110" t="s">
        <v>1333</v>
      </c>
      <c r="F157" s="110" t="s">
        <v>1333</v>
      </c>
    </row>
    <row r="158" spans="2:6" ht="13.15">
      <c r="B158" s="108">
        <v>242</v>
      </c>
      <c r="D158" s="110" t="s">
        <v>353</v>
      </c>
      <c r="E158" s="110" t="s">
        <v>866</v>
      </c>
      <c r="F158" s="110" t="s">
        <v>866</v>
      </c>
    </row>
    <row r="159" spans="2:6" ht="13.15">
      <c r="B159" s="108">
        <v>243</v>
      </c>
      <c r="D159" s="110" t="s">
        <v>544</v>
      </c>
      <c r="E159" s="110" t="s">
        <v>867</v>
      </c>
      <c r="F159" s="110" t="s">
        <v>867</v>
      </c>
    </row>
    <row r="160" spans="2:6" ht="13.15">
      <c r="B160" s="108">
        <v>244</v>
      </c>
      <c r="D160" s="110" t="s">
        <v>597</v>
      </c>
      <c r="E160" s="110" t="s">
        <v>868</v>
      </c>
      <c r="F160" s="110" t="s">
        <v>868</v>
      </c>
    </row>
    <row r="161" spans="2:6" ht="13.15">
      <c r="B161" s="108">
        <v>245</v>
      </c>
      <c r="D161" s="110" t="s">
        <v>598</v>
      </c>
      <c r="E161" s="110" t="s">
        <v>869</v>
      </c>
      <c r="F161" s="110" t="s">
        <v>869</v>
      </c>
    </row>
    <row r="162" spans="2:6">
      <c r="B162" s="108">
        <v>246</v>
      </c>
      <c r="D162" s="110" t="s">
        <v>354</v>
      </c>
      <c r="E162" s="110" t="s">
        <v>1334</v>
      </c>
      <c r="F162" s="110" t="s">
        <v>1334</v>
      </c>
    </row>
    <row r="163" spans="2:6" ht="13.15">
      <c r="B163" s="108">
        <v>247</v>
      </c>
      <c r="D163" s="110" t="s">
        <v>546</v>
      </c>
      <c r="E163" s="110" t="s">
        <v>870</v>
      </c>
      <c r="F163" s="110" t="s">
        <v>870</v>
      </c>
    </row>
    <row r="164" spans="2:6" ht="13.15">
      <c r="B164" s="108">
        <v>248</v>
      </c>
      <c r="D164" s="110" t="s">
        <v>355</v>
      </c>
      <c r="E164" s="110" t="s">
        <v>871</v>
      </c>
      <c r="F164" s="110" t="s">
        <v>871</v>
      </c>
    </row>
    <row r="165" spans="2:6" ht="13.15">
      <c r="B165" s="108">
        <v>249</v>
      </c>
      <c r="D165" s="110" t="s">
        <v>356</v>
      </c>
      <c r="E165" s="110" t="s">
        <v>872</v>
      </c>
      <c r="F165" s="110" t="s">
        <v>872</v>
      </c>
    </row>
    <row r="166" spans="2:6" ht="13.15">
      <c r="B166" s="108">
        <v>250</v>
      </c>
      <c r="D166" s="110" t="s">
        <v>89</v>
      </c>
      <c r="E166" s="110" t="s">
        <v>873</v>
      </c>
      <c r="F166" s="110" t="s">
        <v>873</v>
      </c>
    </row>
    <row r="167" spans="2:6" ht="13.15">
      <c r="B167" s="108">
        <v>251</v>
      </c>
      <c r="D167" s="110" t="s">
        <v>90</v>
      </c>
      <c r="E167" s="126" t="s">
        <v>1376</v>
      </c>
      <c r="F167" s="126" t="s">
        <v>1376</v>
      </c>
    </row>
    <row r="168" spans="2:6" ht="13.15">
      <c r="B168" s="108">
        <v>252</v>
      </c>
      <c r="D168" s="110" t="s">
        <v>545</v>
      </c>
      <c r="E168" s="110" t="s">
        <v>874</v>
      </c>
      <c r="F168" s="110" t="s">
        <v>874</v>
      </c>
    </row>
    <row r="169" spans="2:6" ht="13.15">
      <c r="B169" s="108">
        <v>253</v>
      </c>
      <c r="D169" s="110" t="s">
        <v>607</v>
      </c>
      <c r="E169" s="110" t="s">
        <v>875</v>
      </c>
      <c r="F169" s="110" t="s">
        <v>875</v>
      </c>
    </row>
    <row r="170" spans="2:6" ht="13.15">
      <c r="B170" s="108">
        <v>254</v>
      </c>
      <c r="D170" s="110" t="s">
        <v>91</v>
      </c>
      <c r="E170" s="110" t="s">
        <v>876</v>
      </c>
      <c r="F170" s="110" t="s">
        <v>876</v>
      </c>
    </row>
    <row r="171" spans="2:6" ht="13.15">
      <c r="B171" s="108">
        <v>255</v>
      </c>
      <c r="C171" s="109" t="s">
        <v>451</v>
      </c>
      <c r="D171" s="110" t="s">
        <v>457</v>
      </c>
      <c r="E171" s="110" t="s">
        <v>877</v>
      </c>
      <c r="F171" s="110" t="s">
        <v>877</v>
      </c>
    </row>
    <row r="172" spans="2:6" ht="13.15">
      <c r="B172" s="108">
        <v>256</v>
      </c>
      <c r="D172" s="110" t="s">
        <v>92</v>
      </c>
      <c r="E172" s="110" t="s">
        <v>878</v>
      </c>
      <c r="F172" s="110" t="s">
        <v>878</v>
      </c>
    </row>
    <row r="173" spans="2:6" ht="13.15">
      <c r="B173" s="108">
        <v>257</v>
      </c>
      <c r="D173" s="110" t="s">
        <v>357</v>
      </c>
      <c r="E173" s="110" t="s">
        <v>879</v>
      </c>
      <c r="F173" s="110" t="s">
        <v>879</v>
      </c>
    </row>
    <row r="174" spans="2:6">
      <c r="B174" s="108">
        <v>258</v>
      </c>
      <c r="D174" s="110" t="s">
        <v>358</v>
      </c>
      <c r="E174" s="110" t="s">
        <v>1335</v>
      </c>
      <c r="F174" s="110" t="s">
        <v>1335</v>
      </c>
    </row>
    <row r="175" spans="2:6" ht="13.15">
      <c r="B175" s="108">
        <v>259</v>
      </c>
      <c r="D175" s="110" t="s">
        <v>359</v>
      </c>
      <c r="E175" s="110" t="s">
        <v>880</v>
      </c>
      <c r="F175" s="110" t="s">
        <v>880</v>
      </c>
    </row>
    <row r="176" spans="2:6" ht="13.15">
      <c r="B176" s="108">
        <v>260</v>
      </c>
      <c r="D176" s="110" t="s">
        <v>490</v>
      </c>
      <c r="E176" s="110" t="s">
        <v>881</v>
      </c>
      <c r="F176" s="110" t="s">
        <v>881</v>
      </c>
    </row>
    <row r="177" spans="2:6" ht="13.15">
      <c r="B177" s="108">
        <v>261</v>
      </c>
      <c r="D177" s="110" t="s">
        <v>492</v>
      </c>
      <c r="E177" s="110" t="s">
        <v>882</v>
      </c>
      <c r="F177" s="110" t="s">
        <v>882</v>
      </c>
    </row>
    <row r="178" spans="2:6" ht="23.25">
      <c r="B178" s="108">
        <v>262</v>
      </c>
      <c r="D178" s="110" t="s">
        <v>1371</v>
      </c>
      <c r="E178" s="126" t="s">
        <v>1372</v>
      </c>
      <c r="F178" s="126" t="s">
        <v>1372</v>
      </c>
    </row>
    <row r="179" spans="2:6" ht="13.15">
      <c r="B179" s="108">
        <v>263</v>
      </c>
      <c r="D179" s="110" t="s">
        <v>1365</v>
      </c>
      <c r="E179" s="126" t="s">
        <v>1364</v>
      </c>
      <c r="F179" s="126" t="s">
        <v>1364</v>
      </c>
    </row>
    <row r="180" spans="2:6">
      <c r="B180" s="108">
        <v>264</v>
      </c>
      <c r="D180" s="110" t="s">
        <v>491</v>
      </c>
      <c r="E180" s="110" t="s">
        <v>1336</v>
      </c>
      <c r="F180" s="110" t="s">
        <v>1336</v>
      </c>
    </row>
    <row r="181" spans="2:6" ht="13.15">
      <c r="B181" s="108">
        <v>265</v>
      </c>
      <c r="D181" s="110" t="s">
        <v>493</v>
      </c>
      <c r="E181" s="110" t="s">
        <v>883</v>
      </c>
      <c r="F181" s="110" t="s">
        <v>883</v>
      </c>
    </row>
    <row r="182" spans="2:6" ht="13.15">
      <c r="B182" s="108">
        <v>266</v>
      </c>
      <c r="D182" s="110" t="s">
        <v>489</v>
      </c>
      <c r="E182" s="110" t="s">
        <v>884</v>
      </c>
      <c r="F182" s="110" t="s">
        <v>884</v>
      </c>
    </row>
    <row r="183" spans="2:6" ht="13.15">
      <c r="B183" s="108">
        <v>267</v>
      </c>
      <c r="D183" s="110" t="s">
        <v>93</v>
      </c>
      <c r="E183" s="110" t="s">
        <v>885</v>
      </c>
      <c r="F183" s="110" t="s">
        <v>885</v>
      </c>
    </row>
    <row r="184" spans="2:6" ht="13.15">
      <c r="B184" s="108">
        <v>268</v>
      </c>
      <c r="D184" s="110" t="s">
        <v>562</v>
      </c>
      <c r="E184" s="110" t="s">
        <v>886</v>
      </c>
      <c r="F184" s="110" t="s">
        <v>886</v>
      </c>
    </row>
    <row r="185" spans="2:6" ht="13.15">
      <c r="B185" s="108">
        <v>269</v>
      </c>
      <c r="D185" s="110" t="s">
        <v>94</v>
      </c>
      <c r="E185" s="110" t="s">
        <v>887</v>
      </c>
      <c r="F185" s="110" t="s">
        <v>887</v>
      </c>
    </row>
    <row r="186" spans="2:6" ht="13.15">
      <c r="B186" s="108">
        <v>270</v>
      </c>
      <c r="D186" s="110" t="s">
        <v>360</v>
      </c>
      <c r="E186" s="110" t="s">
        <v>888</v>
      </c>
      <c r="F186" s="110" t="s">
        <v>888</v>
      </c>
    </row>
    <row r="187" spans="2:6" ht="23.25">
      <c r="B187" s="108">
        <v>271</v>
      </c>
      <c r="D187" s="110" t="s">
        <v>1398</v>
      </c>
      <c r="E187" s="110" t="s">
        <v>889</v>
      </c>
      <c r="F187" s="110" t="s">
        <v>889</v>
      </c>
    </row>
    <row r="188" spans="2:6" ht="39.4">
      <c r="B188" s="108">
        <v>272</v>
      </c>
      <c r="D188" s="110" t="s">
        <v>95</v>
      </c>
      <c r="E188" s="110" t="s">
        <v>890</v>
      </c>
      <c r="F188" s="110" t="s">
        <v>890</v>
      </c>
    </row>
    <row r="189" spans="2:6" ht="13.15">
      <c r="B189" s="108">
        <v>273</v>
      </c>
      <c r="D189" s="110" t="s">
        <v>96</v>
      </c>
      <c r="E189" s="110" t="s">
        <v>891</v>
      </c>
      <c r="F189" s="110" t="s">
        <v>891</v>
      </c>
    </row>
    <row r="190" spans="2:6" ht="13.15">
      <c r="B190" s="108">
        <v>274</v>
      </c>
      <c r="D190" s="110" t="s">
        <v>97</v>
      </c>
      <c r="E190" s="110" t="s">
        <v>892</v>
      </c>
      <c r="F190" s="110" t="s">
        <v>892</v>
      </c>
    </row>
    <row r="191" spans="2:6" ht="13.15">
      <c r="B191" s="108">
        <v>275</v>
      </c>
      <c r="D191" s="110" t="s">
        <v>98</v>
      </c>
      <c r="E191" s="110" t="s">
        <v>893</v>
      </c>
      <c r="F191" s="110" t="s">
        <v>893</v>
      </c>
    </row>
    <row r="192" spans="2:6" ht="13.15">
      <c r="B192" s="108">
        <v>276</v>
      </c>
      <c r="D192" s="110" t="s">
        <v>99</v>
      </c>
      <c r="E192" s="110" t="s">
        <v>894</v>
      </c>
      <c r="F192" s="110" t="s">
        <v>894</v>
      </c>
    </row>
    <row r="193" spans="2:6" ht="13.15">
      <c r="B193" s="108">
        <v>277</v>
      </c>
      <c r="D193" s="110" t="s">
        <v>100</v>
      </c>
      <c r="E193" s="110" t="s">
        <v>895</v>
      </c>
      <c r="F193" s="110" t="s">
        <v>895</v>
      </c>
    </row>
    <row r="194" spans="2:6" ht="13.15">
      <c r="B194" s="108">
        <v>278</v>
      </c>
      <c r="D194" s="110" t="s">
        <v>101</v>
      </c>
      <c r="E194" s="110" t="s">
        <v>896</v>
      </c>
      <c r="F194" s="110" t="s">
        <v>896</v>
      </c>
    </row>
    <row r="195" spans="2:6" ht="13.15">
      <c r="B195" s="108">
        <v>279</v>
      </c>
      <c r="D195" s="110" t="s">
        <v>102</v>
      </c>
      <c r="E195" s="110" t="s">
        <v>897</v>
      </c>
      <c r="F195" s="110" t="s">
        <v>897</v>
      </c>
    </row>
    <row r="196" spans="2:6" ht="13.15">
      <c r="B196" s="108">
        <v>280</v>
      </c>
      <c r="D196" s="110" t="s">
        <v>103</v>
      </c>
      <c r="E196" s="110" t="s">
        <v>898</v>
      </c>
      <c r="F196" s="110" t="s">
        <v>898</v>
      </c>
    </row>
    <row r="197" spans="2:6" ht="13.15">
      <c r="B197" s="108">
        <v>281</v>
      </c>
      <c r="D197" s="110" t="s">
        <v>104</v>
      </c>
      <c r="E197" s="110" t="s">
        <v>899</v>
      </c>
      <c r="F197" s="110" t="s">
        <v>899</v>
      </c>
    </row>
    <row r="198" spans="2:6" ht="13.15">
      <c r="B198" s="108">
        <v>282</v>
      </c>
      <c r="D198" s="110" t="s">
        <v>105</v>
      </c>
      <c r="E198" s="110" t="s">
        <v>900</v>
      </c>
      <c r="F198" s="110" t="s">
        <v>900</v>
      </c>
    </row>
    <row r="199" spans="2:6" ht="13.15">
      <c r="B199" s="108">
        <v>283</v>
      </c>
      <c r="D199" s="110" t="s">
        <v>106</v>
      </c>
      <c r="E199" s="110" t="s">
        <v>901</v>
      </c>
      <c r="F199" s="110" t="s">
        <v>901</v>
      </c>
    </row>
    <row r="200" spans="2:6" ht="26.25">
      <c r="B200" s="108">
        <v>284</v>
      </c>
      <c r="D200" s="110" t="s">
        <v>107</v>
      </c>
      <c r="E200" s="126" t="s">
        <v>1397</v>
      </c>
      <c r="F200" s="110" t="s">
        <v>902</v>
      </c>
    </row>
    <row r="201" spans="2:6" ht="13.15">
      <c r="B201" s="108">
        <v>285</v>
      </c>
      <c r="D201" s="110" t="s">
        <v>361</v>
      </c>
      <c r="E201" s="110" t="s">
        <v>903</v>
      </c>
      <c r="F201" s="110" t="s">
        <v>903</v>
      </c>
    </row>
    <row r="202" spans="2:6" ht="13.15">
      <c r="B202" s="108">
        <v>286</v>
      </c>
      <c r="D202" s="110" t="s">
        <v>108</v>
      </c>
      <c r="E202" s="110" t="s">
        <v>904</v>
      </c>
      <c r="F202" s="110" t="s">
        <v>904</v>
      </c>
    </row>
    <row r="203" spans="2:6" ht="13.15">
      <c r="B203" s="108">
        <v>287</v>
      </c>
      <c r="D203" s="110" t="s">
        <v>109</v>
      </c>
      <c r="E203" s="110" t="s">
        <v>905</v>
      </c>
      <c r="F203" s="110" t="s">
        <v>905</v>
      </c>
    </row>
    <row r="204" spans="2:6" ht="13.15">
      <c r="B204" s="108">
        <v>288</v>
      </c>
      <c r="D204" s="110" t="s">
        <v>110</v>
      </c>
      <c r="E204" s="110" t="s">
        <v>906</v>
      </c>
      <c r="F204" s="110" t="s">
        <v>906</v>
      </c>
    </row>
    <row r="205" spans="2:6" ht="13.15">
      <c r="B205" s="108">
        <v>289</v>
      </c>
      <c r="D205" s="110" t="s">
        <v>362</v>
      </c>
      <c r="E205" s="110" t="s">
        <v>907</v>
      </c>
      <c r="F205" s="110" t="s">
        <v>907</v>
      </c>
    </row>
    <row r="206" spans="2:6" ht="13.15">
      <c r="B206" s="108">
        <v>290</v>
      </c>
      <c r="D206" s="110" t="s">
        <v>363</v>
      </c>
      <c r="E206" s="110" t="s">
        <v>1247</v>
      </c>
      <c r="F206" s="110" t="s">
        <v>1247</v>
      </c>
    </row>
    <row r="207" spans="2:6" ht="13.15">
      <c r="B207" s="108">
        <v>291</v>
      </c>
      <c r="D207" s="110" t="s">
        <v>549</v>
      </c>
      <c r="E207" s="110" t="s">
        <v>908</v>
      </c>
      <c r="F207" s="110" t="s">
        <v>908</v>
      </c>
    </row>
    <row r="208" spans="2:6">
      <c r="B208" s="108">
        <v>292</v>
      </c>
      <c r="D208" s="110" t="s">
        <v>576</v>
      </c>
      <c r="E208" s="110" t="s">
        <v>1337</v>
      </c>
      <c r="F208" s="110" t="s">
        <v>1337</v>
      </c>
    </row>
    <row r="209" spans="2:6" ht="13.15">
      <c r="B209" s="108">
        <v>293</v>
      </c>
      <c r="D209" s="110" t="s">
        <v>550</v>
      </c>
      <c r="E209" s="110" t="s">
        <v>909</v>
      </c>
      <c r="F209" s="110" t="s">
        <v>909</v>
      </c>
    </row>
    <row r="210" spans="2:6" ht="13.15">
      <c r="B210" s="108">
        <v>294</v>
      </c>
      <c r="D210" s="110" t="s">
        <v>548</v>
      </c>
      <c r="E210" s="110" t="s">
        <v>910</v>
      </c>
      <c r="F210" s="110" t="s">
        <v>910</v>
      </c>
    </row>
    <row r="211" spans="2:6" ht="13.15">
      <c r="B211" s="108">
        <v>295</v>
      </c>
      <c r="D211" s="110" t="s">
        <v>364</v>
      </c>
      <c r="E211" s="110" t="s">
        <v>911</v>
      </c>
      <c r="F211" s="110" t="s">
        <v>911</v>
      </c>
    </row>
    <row r="212" spans="2:6" ht="13.15">
      <c r="B212" s="108">
        <v>296</v>
      </c>
      <c r="D212" s="110" t="s">
        <v>439</v>
      </c>
      <c r="E212" s="110" t="s">
        <v>912</v>
      </c>
      <c r="F212" s="110" t="s">
        <v>912</v>
      </c>
    </row>
    <row r="213" spans="2:6" ht="13.15">
      <c r="B213" s="108">
        <v>297</v>
      </c>
      <c r="D213" s="110" t="s">
        <v>111</v>
      </c>
      <c r="E213" s="110" t="s">
        <v>913</v>
      </c>
      <c r="F213" s="110" t="s">
        <v>913</v>
      </c>
    </row>
    <row r="214" spans="2:6" ht="13.15">
      <c r="B214" s="108">
        <v>298</v>
      </c>
      <c r="C214" s="109" t="s">
        <v>500</v>
      </c>
      <c r="D214" s="110" t="s">
        <v>536</v>
      </c>
      <c r="E214" s="110" t="s">
        <v>914</v>
      </c>
      <c r="F214" s="110" t="s">
        <v>914</v>
      </c>
    </row>
    <row r="215" spans="2:6" ht="13.15">
      <c r="B215" s="108">
        <v>299</v>
      </c>
      <c r="D215" s="110" t="s">
        <v>555</v>
      </c>
      <c r="E215" s="110" t="s">
        <v>915</v>
      </c>
      <c r="F215" s="110" t="s">
        <v>915</v>
      </c>
    </row>
    <row r="216" spans="2:6" ht="13.15">
      <c r="B216" s="108">
        <v>300</v>
      </c>
      <c r="D216" s="110" t="s">
        <v>433</v>
      </c>
      <c r="E216" s="110" t="s">
        <v>916</v>
      </c>
      <c r="F216" s="110" t="s">
        <v>916</v>
      </c>
    </row>
    <row r="217" spans="2:6" ht="13.15">
      <c r="B217" s="108">
        <v>301</v>
      </c>
      <c r="D217" s="110" t="s">
        <v>472</v>
      </c>
      <c r="E217" s="110" t="s">
        <v>917</v>
      </c>
      <c r="F217" s="110" t="s">
        <v>917</v>
      </c>
    </row>
    <row r="218" spans="2:6" ht="13.15">
      <c r="B218" s="108">
        <v>302</v>
      </c>
      <c r="C218" s="109" t="s">
        <v>500</v>
      </c>
      <c r="D218" s="115" t="s">
        <v>588</v>
      </c>
      <c r="E218" s="115" t="s">
        <v>918</v>
      </c>
      <c r="F218" s="115" t="s">
        <v>918</v>
      </c>
    </row>
    <row r="219" spans="2:6" ht="13.15">
      <c r="B219" s="108">
        <v>303</v>
      </c>
      <c r="C219" s="109" t="s">
        <v>500</v>
      </c>
      <c r="D219" s="115" t="s">
        <v>508</v>
      </c>
      <c r="E219" s="115" t="s">
        <v>919</v>
      </c>
      <c r="F219" s="115" t="s">
        <v>919</v>
      </c>
    </row>
    <row r="220" spans="2:6" ht="13.15">
      <c r="B220" s="108">
        <v>304</v>
      </c>
      <c r="C220" s="109" t="s">
        <v>500</v>
      </c>
      <c r="D220" s="115" t="s">
        <v>590</v>
      </c>
      <c r="E220" s="115" t="s">
        <v>920</v>
      </c>
      <c r="F220" s="115" t="s">
        <v>920</v>
      </c>
    </row>
    <row r="221" spans="2:6">
      <c r="B221" s="108">
        <v>305</v>
      </c>
      <c r="C221" s="109" t="s">
        <v>500</v>
      </c>
      <c r="D221" s="115" t="s">
        <v>1283</v>
      </c>
      <c r="E221" s="115" t="s">
        <v>741</v>
      </c>
      <c r="F221" s="115" t="s">
        <v>741</v>
      </c>
    </row>
    <row r="222" spans="2:6">
      <c r="B222" s="108">
        <v>306</v>
      </c>
      <c r="C222" s="109" t="s">
        <v>500</v>
      </c>
      <c r="D222" s="115" t="s">
        <v>1284</v>
      </c>
      <c r="E222" s="115" t="s">
        <v>589</v>
      </c>
      <c r="F222" s="115" t="s">
        <v>589</v>
      </c>
    </row>
    <row r="223" spans="2:6">
      <c r="B223" s="108">
        <v>307</v>
      </c>
      <c r="C223" s="109" t="s">
        <v>500</v>
      </c>
      <c r="D223" s="115" t="s">
        <v>1285</v>
      </c>
      <c r="E223" s="115" t="s">
        <v>584</v>
      </c>
      <c r="F223" s="115" t="s">
        <v>584</v>
      </c>
    </row>
    <row r="224" spans="2:6">
      <c r="B224" s="108">
        <v>308</v>
      </c>
      <c r="C224" s="109" t="s">
        <v>500</v>
      </c>
      <c r="D224" s="115" t="s">
        <v>1286</v>
      </c>
      <c r="E224" s="115" t="s">
        <v>585</v>
      </c>
      <c r="F224" s="115" t="s">
        <v>585</v>
      </c>
    </row>
    <row r="225" spans="2:6">
      <c r="B225" s="108">
        <v>309</v>
      </c>
      <c r="C225" s="109" t="s">
        <v>500</v>
      </c>
      <c r="D225" s="115" t="s">
        <v>1287</v>
      </c>
      <c r="E225" s="115" t="s">
        <v>586</v>
      </c>
      <c r="F225" s="115" t="s">
        <v>586</v>
      </c>
    </row>
    <row r="226" spans="2:6">
      <c r="B226" s="108">
        <v>310</v>
      </c>
      <c r="C226" s="109" t="s">
        <v>500</v>
      </c>
      <c r="D226" s="115" t="s">
        <v>1288</v>
      </c>
      <c r="E226" s="115" t="s">
        <v>587</v>
      </c>
      <c r="F226" s="115" t="s">
        <v>587</v>
      </c>
    </row>
    <row r="227" spans="2:6">
      <c r="B227" s="108">
        <v>311</v>
      </c>
      <c r="C227" s="109" t="s">
        <v>500</v>
      </c>
      <c r="D227" s="115" t="s">
        <v>1289</v>
      </c>
      <c r="E227" s="115" t="s">
        <v>591</v>
      </c>
      <c r="F227" s="115" t="s">
        <v>591</v>
      </c>
    </row>
    <row r="228" spans="2:6">
      <c r="B228" s="108">
        <v>312</v>
      </c>
      <c r="C228" s="109" t="s">
        <v>500</v>
      </c>
      <c r="D228" s="115" t="s">
        <v>1290</v>
      </c>
      <c r="E228" s="115" t="s">
        <v>592</v>
      </c>
      <c r="F228" s="115" t="s">
        <v>592</v>
      </c>
    </row>
    <row r="229" spans="2:6">
      <c r="B229" s="108">
        <v>313</v>
      </c>
      <c r="C229" s="109" t="s">
        <v>500</v>
      </c>
      <c r="D229" s="115" t="s">
        <v>1291</v>
      </c>
      <c r="E229" s="115" t="s">
        <v>593</v>
      </c>
      <c r="F229" s="115" t="s">
        <v>593</v>
      </c>
    </row>
    <row r="230" spans="2:6">
      <c r="B230" s="108">
        <v>314</v>
      </c>
      <c r="C230" s="109" t="s">
        <v>500</v>
      </c>
      <c r="D230" s="115" t="s">
        <v>1292</v>
      </c>
      <c r="E230" s="115" t="s">
        <v>594</v>
      </c>
      <c r="F230" s="115" t="s">
        <v>594</v>
      </c>
    </row>
    <row r="231" spans="2:6">
      <c r="B231" s="108">
        <v>315</v>
      </c>
      <c r="C231" s="109" t="s">
        <v>500</v>
      </c>
      <c r="D231" s="115" t="s">
        <v>1293</v>
      </c>
      <c r="E231" s="110" t="s">
        <v>501</v>
      </c>
      <c r="F231" s="110" t="s">
        <v>501</v>
      </c>
    </row>
    <row r="232" spans="2:6">
      <c r="B232" s="108">
        <v>316</v>
      </c>
      <c r="C232" s="109" t="s">
        <v>500</v>
      </c>
      <c r="D232" s="115" t="s">
        <v>1294</v>
      </c>
      <c r="E232" s="110" t="s">
        <v>502</v>
      </c>
      <c r="F232" s="110" t="s">
        <v>502</v>
      </c>
    </row>
    <row r="233" spans="2:6">
      <c r="B233" s="108">
        <v>317</v>
      </c>
      <c r="C233" s="109" t="s">
        <v>500</v>
      </c>
      <c r="D233" s="115" t="s">
        <v>1295</v>
      </c>
      <c r="E233" s="110" t="s">
        <v>503</v>
      </c>
      <c r="F233" s="110" t="s">
        <v>503</v>
      </c>
    </row>
    <row r="234" spans="2:6">
      <c r="B234" s="108">
        <v>318</v>
      </c>
      <c r="C234" s="109" t="s">
        <v>500</v>
      </c>
      <c r="D234" s="115" t="s">
        <v>1296</v>
      </c>
      <c r="E234" s="110" t="s">
        <v>504</v>
      </c>
      <c r="F234" s="110" t="s">
        <v>504</v>
      </c>
    </row>
    <row r="235" spans="2:6">
      <c r="B235" s="108">
        <v>319</v>
      </c>
      <c r="C235" s="109" t="s">
        <v>500</v>
      </c>
      <c r="D235" s="115" t="s">
        <v>1297</v>
      </c>
      <c r="E235" s="115" t="s">
        <v>538</v>
      </c>
      <c r="F235" s="115" t="s">
        <v>538</v>
      </c>
    </row>
    <row r="236" spans="2:6">
      <c r="B236" s="108">
        <v>320</v>
      </c>
      <c r="C236" s="109" t="s">
        <v>500</v>
      </c>
      <c r="D236" s="115" t="s">
        <v>1298</v>
      </c>
      <c r="E236" s="115" t="s">
        <v>1228</v>
      </c>
      <c r="F236" s="115" t="s">
        <v>1228</v>
      </c>
    </row>
    <row r="237" spans="2:6">
      <c r="B237" s="108">
        <v>321</v>
      </c>
      <c r="C237" s="109" t="s">
        <v>500</v>
      </c>
      <c r="D237" s="115" t="s">
        <v>1299</v>
      </c>
      <c r="E237" s="115" t="s">
        <v>1229</v>
      </c>
      <c r="F237" s="115" t="s">
        <v>1229</v>
      </c>
    </row>
    <row r="238" spans="2:6">
      <c r="B238" s="108">
        <v>322</v>
      </c>
      <c r="C238" s="109" t="s">
        <v>500</v>
      </c>
      <c r="D238" s="115"/>
      <c r="E238" s="115"/>
      <c r="F238" s="115"/>
    </row>
    <row r="239" spans="2:6" ht="26.25">
      <c r="B239" s="108">
        <v>323</v>
      </c>
      <c r="D239" s="110" t="s">
        <v>112</v>
      </c>
      <c r="E239" s="110" t="s">
        <v>921</v>
      </c>
      <c r="F239" s="110" t="s">
        <v>921</v>
      </c>
    </row>
    <row r="240" spans="2:6" ht="26.25">
      <c r="B240" s="108">
        <v>324</v>
      </c>
      <c r="D240" s="110" t="s">
        <v>113</v>
      </c>
      <c r="E240" s="110" t="s">
        <v>922</v>
      </c>
      <c r="F240" s="110" t="s">
        <v>922</v>
      </c>
    </row>
    <row r="241" spans="2:6" ht="26.25">
      <c r="B241" s="108">
        <v>325</v>
      </c>
      <c r="D241" s="110" t="s">
        <v>114</v>
      </c>
      <c r="E241" s="110" t="s">
        <v>923</v>
      </c>
      <c r="F241" s="110" t="s">
        <v>923</v>
      </c>
    </row>
    <row r="242" spans="2:6" ht="23.25">
      <c r="B242" s="108">
        <v>326</v>
      </c>
      <c r="C242" s="109" t="s">
        <v>500</v>
      </c>
      <c r="D242" s="110" t="s">
        <v>537</v>
      </c>
      <c r="E242" s="110" t="s">
        <v>924</v>
      </c>
      <c r="F242" s="110" t="s">
        <v>924</v>
      </c>
    </row>
    <row r="243" spans="2:6" ht="13.15">
      <c r="B243" s="108">
        <v>327</v>
      </c>
      <c r="D243" s="110" t="s">
        <v>115</v>
      </c>
      <c r="E243" s="110" t="s">
        <v>925</v>
      </c>
      <c r="F243" s="110" t="s">
        <v>925</v>
      </c>
    </row>
    <row r="244" spans="2:6" ht="13.15">
      <c r="B244" s="108">
        <v>328</v>
      </c>
      <c r="C244" s="109" t="s">
        <v>451</v>
      </c>
      <c r="D244" s="110" t="s">
        <v>461</v>
      </c>
      <c r="E244" s="110" t="s">
        <v>926</v>
      </c>
      <c r="F244" s="110" t="s">
        <v>926</v>
      </c>
    </row>
    <row r="245" spans="2:6" ht="13.15">
      <c r="B245" s="108">
        <v>329</v>
      </c>
      <c r="D245" s="110" t="s">
        <v>116</v>
      </c>
      <c r="E245" s="110" t="s">
        <v>927</v>
      </c>
      <c r="F245" s="110" t="s">
        <v>927</v>
      </c>
    </row>
    <row r="246" spans="2:6" ht="13.15">
      <c r="B246" s="108">
        <v>330</v>
      </c>
      <c r="D246" s="110" t="s">
        <v>117</v>
      </c>
      <c r="E246" s="110" t="s">
        <v>928</v>
      </c>
      <c r="F246" s="110" t="s">
        <v>928</v>
      </c>
    </row>
    <row r="247" spans="2:6" ht="13.15">
      <c r="B247" s="108">
        <v>331</v>
      </c>
      <c r="D247" s="110" t="s">
        <v>118</v>
      </c>
      <c r="E247" s="110" t="s">
        <v>929</v>
      </c>
      <c r="F247" s="110" t="s">
        <v>929</v>
      </c>
    </row>
    <row r="248" spans="2:6" ht="13.15">
      <c r="B248" s="108">
        <v>332</v>
      </c>
      <c r="C248" s="109" t="s">
        <v>451</v>
      </c>
      <c r="D248" s="107" t="s">
        <v>453</v>
      </c>
      <c r="E248" s="115" t="s">
        <v>930</v>
      </c>
      <c r="F248" s="115" t="s">
        <v>930</v>
      </c>
    </row>
    <row r="249" spans="2:6" ht="13.15">
      <c r="B249" s="108">
        <v>333</v>
      </c>
      <c r="C249" s="109" t="s">
        <v>451</v>
      </c>
      <c r="D249" s="107" t="s">
        <v>454</v>
      </c>
      <c r="E249" s="115" t="s">
        <v>931</v>
      </c>
      <c r="F249" s="115" t="s">
        <v>931</v>
      </c>
    </row>
    <row r="250" spans="2:6" ht="13.15">
      <c r="B250" s="108">
        <v>334</v>
      </c>
      <c r="D250" s="110" t="s">
        <v>119</v>
      </c>
      <c r="E250" s="110" t="s">
        <v>932</v>
      </c>
      <c r="F250" s="110" t="s">
        <v>932</v>
      </c>
    </row>
    <row r="251" spans="2:6" ht="13.15">
      <c r="B251" s="108">
        <v>335</v>
      </c>
      <c r="C251" s="109" t="s">
        <v>451</v>
      </c>
      <c r="D251" s="110" t="s">
        <v>459</v>
      </c>
      <c r="E251" s="110" t="s">
        <v>933</v>
      </c>
      <c r="F251" s="110" t="s">
        <v>933</v>
      </c>
    </row>
    <row r="252" spans="2:6" ht="13.15">
      <c r="B252" s="108">
        <v>336</v>
      </c>
      <c r="C252" s="109" t="s">
        <v>451</v>
      </c>
      <c r="D252" s="107" t="s">
        <v>462</v>
      </c>
      <c r="E252" s="115" t="s">
        <v>934</v>
      </c>
      <c r="F252" s="115" t="s">
        <v>934</v>
      </c>
    </row>
    <row r="253" spans="2:6" ht="26.25">
      <c r="B253" s="108">
        <v>337</v>
      </c>
      <c r="D253" s="110" t="s">
        <v>120</v>
      </c>
      <c r="E253" s="110" t="s">
        <v>935</v>
      </c>
      <c r="F253" s="110" t="s">
        <v>935</v>
      </c>
    </row>
    <row r="254" spans="2:6" ht="26.25">
      <c r="B254" s="108">
        <v>338</v>
      </c>
      <c r="D254" s="110" t="s">
        <v>121</v>
      </c>
      <c r="E254" s="110" t="s">
        <v>936</v>
      </c>
      <c r="F254" s="110" t="s">
        <v>936</v>
      </c>
    </row>
    <row r="255" spans="2:6" ht="13.15">
      <c r="B255" s="108">
        <v>339</v>
      </c>
      <c r="D255" s="110" t="s">
        <v>122</v>
      </c>
      <c r="E255" s="110" t="s">
        <v>937</v>
      </c>
      <c r="F255" s="110" t="s">
        <v>937</v>
      </c>
    </row>
    <row r="256" spans="2:6" ht="13.15">
      <c r="B256" s="108">
        <v>340</v>
      </c>
      <c r="D256" s="110" t="s">
        <v>123</v>
      </c>
      <c r="E256" s="110" t="s">
        <v>938</v>
      </c>
      <c r="F256" s="110" t="s">
        <v>938</v>
      </c>
    </row>
    <row r="257" spans="2:6" ht="13.15">
      <c r="B257" s="108">
        <v>341</v>
      </c>
      <c r="D257" s="110" t="s">
        <v>124</v>
      </c>
      <c r="E257" s="110" t="s">
        <v>939</v>
      </c>
      <c r="F257" s="110" t="s">
        <v>939</v>
      </c>
    </row>
    <row r="258" spans="2:6" ht="13.15">
      <c r="B258" s="108">
        <v>342</v>
      </c>
      <c r="D258" s="110" t="s">
        <v>125</v>
      </c>
      <c r="E258" s="110" t="s">
        <v>940</v>
      </c>
      <c r="F258" s="110" t="s">
        <v>940</v>
      </c>
    </row>
    <row r="259" spans="2:6" ht="13.15">
      <c r="B259" s="108">
        <v>343</v>
      </c>
      <c r="C259" s="109" t="s">
        <v>500</v>
      </c>
      <c r="D259" s="110" t="s">
        <v>522</v>
      </c>
      <c r="E259" s="110" t="s">
        <v>941</v>
      </c>
      <c r="F259" s="110" t="s">
        <v>941</v>
      </c>
    </row>
    <row r="260" spans="2:6" ht="13.15">
      <c r="B260" s="108">
        <v>344</v>
      </c>
      <c r="C260" s="109" t="s">
        <v>500</v>
      </c>
      <c r="D260" s="110" t="s">
        <v>524</v>
      </c>
      <c r="E260" s="110" t="s">
        <v>942</v>
      </c>
      <c r="F260" s="110" t="s">
        <v>942</v>
      </c>
    </row>
    <row r="261" spans="2:6" ht="13.15">
      <c r="B261" s="108">
        <v>345</v>
      </c>
      <c r="D261" s="110" t="s">
        <v>126</v>
      </c>
      <c r="E261" s="110" t="s">
        <v>943</v>
      </c>
      <c r="F261" s="110" t="s">
        <v>943</v>
      </c>
    </row>
    <row r="262" spans="2:6" ht="26.25">
      <c r="B262" s="108">
        <v>346</v>
      </c>
      <c r="C262" s="109" t="s">
        <v>500</v>
      </c>
      <c r="D262" s="110" t="s">
        <v>532</v>
      </c>
      <c r="E262" s="110" t="s">
        <v>944</v>
      </c>
      <c r="F262" s="110" t="s">
        <v>944</v>
      </c>
    </row>
    <row r="263" spans="2:6" ht="13.15">
      <c r="B263" s="108">
        <v>347</v>
      </c>
      <c r="D263" s="110" t="s">
        <v>365</v>
      </c>
      <c r="E263" s="110" t="s">
        <v>945</v>
      </c>
      <c r="F263" s="110" t="s">
        <v>945</v>
      </c>
    </row>
    <row r="264" spans="2:6" ht="13.15">
      <c r="B264" s="108">
        <v>348</v>
      </c>
      <c r="D264" s="110" t="s">
        <v>127</v>
      </c>
      <c r="E264" s="110" t="s">
        <v>946</v>
      </c>
      <c r="F264" s="110" t="s">
        <v>946</v>
      </c>
    </row>
    <row r="265" spans="2:6" ht="13.15">
      <c r="B265" s="108">
        <v>349</v>
      </c>
      <c r="D265" s="110" t="s">
        <v>366</v>
      </c>
      <c r="E265" s="110" t="s">
        <v>947</v>
      </c>
      <c r="F265" s="110" t="s">
        <v>947</v>
      </c>
    </row>
    <row r="266" spans="2:6" ht="13.15">
      <c r="B266" s="108">
        <v>350</v>
      </c>
      <c r="C266" s="109" t="s">
        <v>500</v>
      </c>
      <c r="D266" s="110" t="s">
        <v>523</v>
      </c>
      <c r="E266" s="110" t="s">
        <v>948</v>
      </c>
      <c r="F266" s="110" t="s">
        <v>948</v>
      </c>
    </row>
    <row r="267" spans="2:6" ht="13.15">
      <c r="B267" s="108">
        <v>351</v>
      </c>
      <c r="C267" s="109" t="s">
        <v>451</v>
      </c>
      <c r="D267" s="107" t="s">
        <v>452</v>
      </c>
      <c r="E267" s="115" t="s">
        <v>949</v>
      </c>
      <c r="F267" s="115" t="s">
        <v>949</v>
      </c>
    </row>
    <row r="268" spans="2:6" ht="23.25">
      <c r="B268" s="108">
        <v>352</v>
      </c>
      <c r="C268" s="109" t="s">
        <v>500</v>
      </c>
      <c r="D268" s="110" t="s">
        <v>515</v>
      </c>
      <c r="E268" s="110" t="s">
        <v>950</v>
      </c>
      <c r="F268" s="110" t="s">
        <v>950</v>
      </c>
    </row>
    <row r="269" spans="2:6" ht="23.25">
      <c r="B269" s="108">
        <v>353</v>
      </c>
      <c r="D269" s="110" t="s">
        <v>128</v>
      </c>
      <c r="F269" s="110"/>
    </row>
    <row r="270" spans="2:6" ht="13.15">
      <c r="B270" s="108">
        <v>354</v>
      </c>
      <c r="D270" s="110" t="s">
        <v>129</v>
      </c>
      <c r="E270" s="110" t="s">
        <v>951</v>
      </c>
      <c r="F270" s="110" t="s">
        <v>951</v>
      </c>
    </row>
    <row r="271" spans="2:6" ht="13.15">
      <c r="B271" s="108">
        <v>355</v>
      </c>
      <c r="D271" s="110" t="s">
        <v>130</v>
      </c>
      <c r="E271" s="110" t="s">
        <v>952</v>
      </c>
      <c r="F271" s="110" t="s">
        <v>952</v>
      </c>
    </row>
    <row r="272" spans="2:6" ht="13.15">
      <c r="B272" s="108">
        <v>356</v>
      </c>
      <c r="D272" s="110" t="s">
        <v>131</v>
      </c>
      <c r="E272" s="110" t="s">
        <v>953</v>
      </c>
      <c r="F272" s="110" t="s">
        <v>953</v>
      </c>
    </row>
    <row r="273" spans="2:6" ht="13.15">
      <c r="B273" s="108">
        <v>357</v>
      </c>
      <c r="C273" s="109" t="s">
        <v>500</v>
      </c>
      <c r="D273" s="110" t="s">
        <v>518</v>
      </c>
      <c r="E273" s="110" t="s">
        <v>954</v>
      </c>
      <c r="F273" s="110" t="s">
        <v>954</v>
      </c>
    </row>
    <row r="274" spans="2:6" ht="13.15">
      <c r="B274" s="108">
        <v>358</v>
      </c>
      <c r="D274" s="110" t="s">
        <v>132</v>
      </c>
      <c r="E274" s="110" t="s">
        <v>955</v>
      </c>
      <c r="F274" s="110" t="s">
        <v>955</v>
      </c>
    </row>
    <row r="275" spans="2:6" ht="13.15">
      <c r="B275" s="108">
        <v>359</v>
      </c>
      <c r="D275" s="110" t="s">
        <v>367</v>
      </c>
      <c r="E275" s="110" t="s">
        <v>956</v>
      </c>
      <c r="F275" s="110" t="s">
        <v>956</v>
      </c>
    </row>
    <row r="276" spans="2:6" ht="13.15">
      <c r="B276" s="108">
        <v>360</v>
      </c>
      <c r="D276" s="110" t="s">
        <v>133</v>
      </c>
      <c r="E276" s="110" t="s">
        <v>957</v>
      </c>
      <c r="F276" s="110" t="s">
        <v>957</v>
      </c>
    </row>
    <row r="277" spans="2:6" ht="26.25">
      <c r="B277" s="108">
        <v>361</v>
      </c>
      <c r="C277" s="109" t="s">
        <v>500</v>
      </c>
      <c r="D277" s="110" t="s">
        <v>514</v>
      </c>
      <c r="E277" s="110" t="s">
        <v>958</v>
      </c>
      <c r="F277" s="110" t="s">
        <v>958</v>
      </c>
    </row>
    <row r="278" spans="2:6" ht="39.4">
      <c r="B278" s="108">
        <v>362</v>
      </c>
      <c r="C278" s="109" t="s">
        <v>500</v>
      </c>
      <c r="D278" s="110" t="s">
        <v>529</v>
      </c>
      <c r="E278" s="110" t="s">
        <v>959</v>
      </c>
      <c r="F278" s="110" t="s">
        <v>959</v>
      </c>
    </row>
    <row r="279" spans="2:6" ht="13.15">
      <c r="B279" s="108">
        <v>363</v>
      </c>
      <c r="D279" s="110" t="s">
        <v>134</v>
      </c>
      <c r="E279" s="110" t="s">
        <v>960</v>
      </c>
      <c r="F279" s="110" t="s">
        <v>960</v>
      </c>
    </row>
    <row r="280" spans="2:6">
      <c r="B280" s="108">
        <v>364</v>
      </c>
      <c r="D280" s="110" t="s">
        <v>1</v>
      </c>
      <c r="E280" s="110" t="s">
        <v>1</v>
      </c>
      <c r="F280" s="110" t="s">
        <v>1</v>
      </c>
    </row>
    <row r="281" spans="2:6">
      <c r="B281" s="108">
        <v>365</v>
      </c>
      <c r="D281" s="110" t="s">
        <v>2</v>
      </c>
      <c r="E281" s="110" t="s">
        <v>2</v>
      </c>
      <c r="F281" s="110" t="s">
        <v>2</v>
      </c>
    </row>
    <row r="282" spans="2:6" ht="13.15">
      <c r="B282" s="108">
        <v>366</v>
      </c>
      <c r="D282" s="110" t="s">
        <v>440</v>
      </c>
      <c r="E282" s="110" t="s">
        <v>961</v>
      </c>
      <c r="F282" s="110" t="s">
        <v>961</v>
      </c>
    </row>
    <row r="283" spans="2:6">
      <c r="B283" s="108">
        <v>367</v>
      </c>
      <c r="D283" s="110" t="s">
        <v>135</v>
      </c>
      <c r="E283" s="110" t="s">
        <v>136</v>
      </c>
      <c r="F283" s="110" t="s">
        <v>136</v>
      </c>
    </row>
    <row r="284" spans="2:6" ht="13.15">
      <c r="B284" s="108">
        <v>368</v>
      </c>
      <c r="D284" s="110" t="s">
        <v>563</v>
      </c>
      <c r="E284" s="110" t="s">
        <v>962</v>
      </c>
      <c r="F284" s="110" t="s">
        <v>962</v>
      </c>
    </row>
    <row r="285" spans="2:6">
      <c r="B285" s="108">
        <v>369</v>
      </c>
      <c r="D285" s="110" t="s">
        <v>137</v>
      </c>
      <c r="E285" s="110" t="s">
        <v>424</v>
      </c>
      <c r="F285" s="110" t="s">
        <v>424</v>
      </c>
    </row>
    <row r="286" spans="2:6" ht="13.15">
      <c r="B286" s="108">
        <v>370</v>
      </c>
      <c r="D286" s="110" t="s">
        <v>138</v>
      </c>
      <c r="E286" s="110" t="s">
        <v>963</v>
      </c>
      <c r="F286" s="110" t="s">
        <v>963</v>
      </c>
    </row>
    <row r="287" spans="2:6" ht="13.15">
      <c r="B287" s="108">
        <v>371</v>
      </c>
      <c r="D287" s="110" t="s">
        <v>139</v>
      </c>
      <c r="E287" s="110" t="s">
        <v>964</v>
      </c>
      <c r="F287" s="110" t="s">
        <v>964</v>
      </c>
    </row>
    <row r="288" spans="2:6" ht="13.15">
      <c r="B288" s="108">
        <v>372</v>
      </c>
      <c r="D288" s="110" t="s">
        <v>368</v>
      </c>
      <c r="E288" s="110" t="s">
        <v>965</v>
      </c>
      <c r="F288" s="110" t="s">
        <v>965</v>
      </c>
    </row>
    <row r="289" spans="2:6" ht="13.15">
      <c r="B289" s="108">
        <v>373</v>
      </c>
      <c r="D289" s="110" t="s">
        <v>369</v>
      </c>
      <c r="E289" s="110" t="s">
        <v>966</v>
      </c>
      <c r="F289" s="110" t="s">
        <v>966</v>
      </c>
    </row>
    <row r="290" spans="2:6" ht="13.15">
      <c r="B290" s="108">
        <v>374</v>
      </c>
      <c r="D290" s="110" t="s">
        <v>370</v>
      </c>
      <c r="E290" s="110" t="s">
        <v>965</v>
      </c>
      <c r="F290" s="110" t="s">
        <v>965</v>
      </c>
    </row>
    <row r="291" spans="2:6" ht="13.15">
      <c r="B291" s="108">
        <v>375</v>
      </c>
      <c r="C291" s="109" t="s">
        <v>500</v>
      </c>
      <c r="D291" s="110" t="s">
        <v>506</v>
      </c>
      <c r="E291" s="110" t="s">
        <v>967</v>
      </c>
      <c r="F291" s="110" t="s">
        <v>967</v>
      </c>
    </row>
    <row r="292" spans="2:6" ht="13.15">
      <c r="B292" s="108">
        <v>376</v>
      </c>
      <c r="D292" s="110" t="s">
        <v>140</v>
      </c>
      <c r="E292" s="110" t="s">
        <v>968</v>
      </c>
      <c r="F292" s="110" t="s">
        <v>968</v>
      </c>
    </row>
    <row r="293" spans="2:6" ht="13.15">
      <c r="B293" s="108">
        <v>377</v>
      </c>
      <c r="D293" s="110" t="s">
        <v>371</v>
      </c>
      <c r="E293" s="110" t="s">
        <v>969</v>
      </c>
      <c r="F293" s="110" t="s">
        <v>969</v>
      </c>
    </row>
    <row r="294" spans="2:6" ht="13.15">
      <c r="B294" s="108">
        <v>378</v>
      </c>
      <c r="D294" s="110" t="s">
        <v>141</v>
      </c>
      <c r="E294" s="110" t="s">
        <v>970</v>
      </c>
      <c r="F294" s="110" t="s">
        <v>970</v>
      </c>
    </row>
    <row r="295" spans="2:6" ht="13.15">
      <c r="B295" s="108">
        <v>379</v>
      </c>
      <c r="C295" s="109" t="s">
        <v>451</v>
      </c>
      <c r="D295" s="107" t="s">
        <v>463</v>
      </c>
      <c r="E295" s="115" t="s">
        <v>971</v>
      </c>
      <c r="F295" s="115" t="s">
        <v>971</v>
      </c>
    </row>
    <row r="296" spans="2:6" ht="13.15">
      <c r="B296" s="108">
        <v>380</v>
      </c>
      <c r="D296" s="110" t="s">
        <v>400</v>
      </c>
      <c r="E296" s="110" t="s">
        <v>972</v>
      </c>
      <c r="F296" s="110" t="s">
        <v>972</v>
      </c>
    </row>
    <row r="297" spans="2:6" ht="13.15">
      <c r="B297" s="108">
        <v>381</v>
      </c>
      <c r="D297" s="110" t="s">
        <v>401</v>
      </c>
      <c r="E297" s="110" t="s">
        <v>973</v>
      </c>
      <c r="F297" s="110" t="s">
        <v>973</v>
      </c>
    </row>
    <row r="298" spans="2:6" ht="13.15">
      <c r="B298" s="108">
        <v>382</v>
      </c>
      <c r="C298" s="109" t="s">
        <v>469</v>
      </c>
      <c r="D298" s="110" t="s">
        <v>470</v>
      </c>
      <c r="E298" s="110" t="s">
        <v>974</v>
      </c>
      <c r="F298" s="110" t="s">
        <v>974</v>
      </c>
    </row>
    <row r="299" spans="2:6" ht="13.15">
      <c r="B299" s="108">
        <v>383</v>
      </c>
      <c r="D299" s="110" t="s">
        <v>142</v>
      </c>
      <c r="E299" s="110" t="s">
        <v>975</v>
      </c>
      <c r="F299" s="110" t="s">
        <v>975</v>
      </c>
    </row>
    <row r="300" spans="2:6" ht="13.15">
      <c r="B300" s="108">
        <v>384</v>
      </c>
      <c r="D300" s="110" t="s">
        <v>372</v>
      </c>
      <c r="E300" s="110" t="s">
        <v>976</v>
      </c>
      <c r="F300" s="110" t="s">
        <v>976</v>
      </c>
    </row>
    <row r="301" spans="2:6" ht="13.15">
      <c r="B301" s="108">
        <v>385</v>
      </c>
      <c r="D301" s="110" t="s">
        <v>143</v>
      </c>
      <c r="E301" s="110" t="s">
        <v>977</v>
      </c>
      <c r="F301" s="110" t="s">
        <v>977</v>
      </c>
    </row>
    <row r="302" spans="2:6" ht="13.15">
      <c r="B302" s="108">
        <v>386</v>
      </c>
      <c r="D302" s="110" t="s">
        <v>144</v>
      </c>
      <c r="E302" s="110" t="s">
        <v>978</v>
      </c>
      <c r="F302" s="110" t="s">
        <v>978</v>
      </c>
    </row>
    <row r="303" spans="2:6" ht="13.15">
      <c r="B303" s="108">
        <v>387</v>
      </c>
      <c r="D303" s="110" t="s">
        <v>145</v>
      </c>
      <c r="E303" s="110" t="s">
        <v>979</v>
      </c>
      <c r="F303" s="110" t="s">
        <v>979</v>
      </c>
    </row>
    <row r="304" spans="2:6" ht="13.15">
      <c r="B304" s="108">
        <v>388</v>
      </c>
      <c r="D304" s="110" t="s">
        <v>458</v>
      </c>
      <c r="E304" s="110" t="s">
        <v>980</v>
      </c>
      <c r="F304" s="110" t="s">
        <v>980</v>
      </c>
    </row>
    <row r="305" spans="2:6" ht="23.25">
      <c r="B305" s="108">
        <v>389</v>
      </c>
      <c r="D305" s="110" t="s">
        <v>146</v>
      </c>
      <c r="E305" s="110" t="s">
        <v>981</v>
      </c>
      <c r="F305" s="110" t="s">
        <v>981</v>
      </c>
    </row>
    <row r="306" spans="2:6" ht="13.15">
      <c r="B306" s="108">
        <v>390</v>
      </c>
      <c r="D306" s="110" t="s">
        <v>573</v>
      </c>
      <c r="E306" s="110" t="s">
        <v>982</v>
      </c>
      <c r="F306" s="110" t="s">
        <v>982</v>
      </c>
    </row>
    <row r="307" spans="2:6" ht="26.25">
      <c r="B307" s="108">
        <v>391</v>
      </c>
      <c r="D307" s="110" t="s">
        <v>402</v>
      </c>
      <c r="E307" s="110" t="s">
        <v>983</v>
      </c>
      <c r="F307" s="110" t="s">
        <v>983</v>
      </c>
    </row>
    <row r="308" spans="2:6" ht="13.15">
      <c r="B308" s="108">
        <v>392</v>
      </c>
      <c r="D308" s="110" t="s">
        <v>403</v>
      </c>
      <c r="E308" s="110" t="s">
        <v>984</v>
      </c>
      <c r="F308" s="110" t="s">
        <v>984</v>
      </c>
    </row>
    <row r="309" spans="2:6" ht="13.15">
      <c r="B309" s="108">
        <v>393</v>
      </c>
      <c r="D309" s="110" t="s">
        <v>373</v>
      </c>
      <c r="E309" s="110" t="s">
        <v>985</v>
      </c>
      <c r="F309" s="110" t="s">
        <v>985</v>
      </c>
    </row>
    <row r="310" spans="2:6" ht="13.15">
      <c r="B310" s="108">
        <v>394</v>
      </c>
      <c r="D310" s="110" t="s">
        <v>147</v>
      </c>
      <c r="E310" s="110" t="s">
        <v>986</v>
      </c>
      <c r="F310" s="110" t="s">
        <v>986</v>
      </c>
    </row>
    <row r="311" spans="2:6" ht="13.15">
      <c r="B311" s="108">
        <v>395</v>
      </c>
      <c r="D311" s="110" t="s">
        <v>374</v>
      </c>
      <c r="E311" s="110" t="s">
        <v>987</v>
      </c>
      <c r="F311" s="110" t="s">
        <v>987</v>
      </c>
    </row>
    <row r="312" spans="2:6" ht="13.15">
      <c r="B312" s="108">
        <v>396</v>
      </c>
      <c r="D312" s="110" t="s">
        <v>375</v>
      </c>
      <c r="E312" s="110" t="s">
        <v>988</v>
      </c>
      <c r="F312" s="110" t="s">
        <v>988</v>
      </c>
    </row>
    <row r="313" spans="2:6" ht="13.15">
      <c r="B313" s="108">
        <v>397</v>
      </c>
      <c r="D313" s="110" t="s">
        <v>148</v>
      </c>
      <c r="E313" s="110" t="s">
        <v>989</v>
      </c>
      <c r="F313" s="110" t="s">
        <v>989</v>
      </c>
    </row>
    <row r="314" spans="2:6" ht="13.15">
      <c r="B314" s="108">
        <v>398</v>
      </c>
      <c r="D314" s="110" t="s">
        <v>149</v>
      </c>
      <c r="E314" s="110" t="s">
        <v>990</v>
      </c>
      <c r="F314" s="110" t="s">
        <v>990</v>
      </c>
    </row>
    <row r="315" spans="2:6" ht="13.15">
      <c r="B315" s="108">
        <v>399</v>
      </c>
      <c r="D315" s="110" t="s">
        <v>376</v>
      </c>
      <c r="E315" s="110" t="s">
        <v>991</v>
      </c>
      <c r="F315" s="110" t="s">
        <v>991</v>
      </c>
    </row>
    <row r="316" spans="2:6" ht="13.15">
      <c r="B316" s="108">
        <v>400</v>
      </c>
      <c r="D316" s="110" t="s">
        <v>150</v>
      </c>
      <c r="E316" s="110" t="s">
        <v>992</v>
      </c>
      <c r="F316" s="110" t="s">
        <v>992</v>
      </c>
    </row>
    <row r="317" spans="2:6" ht="13.15">
      <c r="B317" s="108">
        <v>401</v>
      </c>
      <c r="C317" s="109" t="s">
        <v>417</v>
      </c>
      <c r="D317" s="110" t="s">
        <v>425</v>
      </c>
      <c r="E317" s="110" t="s">
        <v>993</v>
      </c>
      <c r="F317" s="110" t="s">
        <v>993</v>
      </c>
    </row>
    <row r="318" spans="2:6">
      <c r="B318" s="108">
        <v>402</v>
      </c>
      <c r="C318" s="109" t="s">
        <v>451</v>
      </c>
      <c r="D318" s="107" t="s">
        <v>450</v>
      </c>
      <c r="E318" s="115" t="s">
        <v>1338</v>
      </c>
      <c r="F318" s="115" t="s">
        <v>1338</v>
      </c>
    </row>
    <row r="319" spans="2:6">
      <c r="B319" s="108">
        <v>403</v>
      </c>
      <c r="D319" s="110" t="s">
        <v>151</v>
      </c>
      <c r="E319" s="110" t="s">
        <v>1330</v>
      </c>
      <c r="F319" s="110" t="s">
        <v>1330</v>
      </c>
    </row>
    <row r="320" spans="2:6" ht="13.15">
      <c r="B320" s="108">
        <v>404</v>
      </c>
      <c r="D320" s="110" t="s">
        <v>152</v>
      </c>
      <c r="E320" s="126" t="s">
        <v>1378</v>
      </c>
      <c r="F320" s="126" t="s">
        <v>1378</v>
      </c>
    </row>
    <row r="321" spans="1:6">
      <c r="B321" s="108">
        <v>405</v>
      </c>
      <c r="D321" s="110" t="s">
        <v>153</v>
      </c>
      <c r="E321" s="110" t="s">
        <v>1339</v>
      </c>
      <c r="F321" s="110" t="s">
        <v>1339</v>
      </c>
    </row>
    <row r="322" spans="1:6" ht="13.15">
      <c r="B322" s="108">
        <v>406</v>
      </c>
      <c r="D322" s="110" t="s">
        <v>154</v>
      </c>
      <c r="E322" s="110" t="s">
        <v>994</v>
      </c>
      <c r="F322" s="110" t="s">
        <v>994</v>
      </c>
    </row>
    <row r="323" spans="1:6" ht="13.15">
      <c r="B323" s="108">
        <v>407</v>
      </c>
      <c r="C323" s="109" t="s">
        <v>451</v>
      </c>
      <c r="D323" s="107" t="s">
        <v>447</v>
      </c>
      <c r="E323" s="115" t="s">
        <v>995</v>
      </c>
      <c r="F323" s="115" t="s">
        <v>995</v>
      </c>
    </row>
    <row r="324" spans="1:6">
      <c r="B324" s="108">
        <v>408</v>
      </c>
      <c r="D324" s="110" t="s">
        <v>155</v>
      </c>
      <c r="E324" s="110" t="s">
        <v>1338</v>
      </c>
      <c r="F324" s="110" t="s">
        <v>1338</v>
      </c>
    </row>
    <row r="325" spans="1:6" ht="13.15">
      <c r="B325" s="108">
        <v>409</v>
      </c>
      <c r="C325" s="109" t="s">
        <v>451</v>
      </c>
      <c r="D325" s="110" t="s">
        <v>445</v>
      </c>
      <c r="E325" s="115" t="s">
        <v>996</v>
      </c>
      <c r="F325" s="115" t="s">
        <v>996</v>
      </c>
    </row>
    <row r="326" spans="1:6" ht="13.15">
      <c r="B326" s="108">
        <v>410</v>
      </c>
      <c r="D326" s="110" t="s">
        <v>156</v>
      </c>
      <c r="E326" s="110" t="s">
        <v>997</v>
      </c>
      <c r="F326" s="110" t="s">
        <v>997</v>
      </c>
    </row>
    <row r="327" spans="1:6" ht="34.9">
      <c r="B327" s="108">
        <v>411</v>
      </c>
      <c r="D327" s="110" t="s">
        <v>157</v>
      </c>
      <c r="E327" s="110" t="s">
        <v>1262</v>
      </c>
      <c r="F327" s="110" t="s">
        <v>1262</v>
      </c>
    </row>
    <row r="328" spans="1:6" ht="13.15">
      <c r="B328" s="108">
        <v>412</v>
      </c>
      <c r="D328" s="110" t="s">
        <v>158</v>
      </c>
      <c r="E328" s="110" t="s">
        <v>998</v>
      </c>
      <c r="F328" s="110" t="s">
        <v>998</v>
      </c>
    </row>
    <row r="329" spans="1:6" ht="13.15">
      <c r="B329" s="108">
        <v>413</v>
      </c>
      <c r="D329" s="110" t="s">
        <v>481</v>
      </c>
      <c r="E329" s="110" t="s">
        <v>999</v>
      </c>
      <c r="F329" s="110" t="s">
        <v>999</v>
      </c>
    </row>
    <row r="330" spans="1:6" ht="24.75">
      <c r="B330" s="108">
        <v>414</v>
      </c>
      <c r="D330" s="110" t="s">
        <v>1363</v>
      </c>
      <c r="E330" s="126" t="s">
        <v>1379</v>
      </c>
      <c r="F330" s="126" t="s">
        <v>1379</v>
      </c>
    </row>
    <row r="331" spans="1:6">
      <c r="B331" s="108">
        <v>415</v>
      </c>
      <c r="D331" s="110" t="s">
        <v>482</v>
      </c>
      <c r="E331" s="110" t="s">
        <v>1340</v>
      </c>
      <c r="F331" s="110" t="s">
        <v>1340</v>
      </c>
    </row>
    <row r="332" spans="1:6" ht="13.15">
      <c r="B332" s="108">
        <v>416</v>
      </c>
      <c r="D332" s="110" t="s">
        <v>480</v>
      </c>
      <c r="E332" s="110" t="s">
        <v>1000</v>
      </c>
      <c r="F332" s="110" t="s">
        <v>1000</v>
      </c>
    </row>
    <row r="333" spans="1:6" ht="13.15">
      <c r="A333" s="112"/>
      <c r="B333" s="108">
        <v>417</v>
      </c>
      <c r="C333" s="113" t="s">
        <v>399</v>
      </c>
      <c r="D333" s="111" t="s">
        <v>426</v>
      </c>
      <c r="E333" s="111" t="s">
        <v>1001</v>
      </c>
      <c r="F333" s="111" t="s">
        <v>1001</v>
      </c>
    </row>
    <row r="334" spans="1:6" ht="13.15">
      <c r="A334" s="112"/>
      <c r="B334" s="108">
        <v>418</v>
      </c>
      <c r="C334" s="113" t="s">
        <v>399</v>
      </c>
      <c r="D334" s="111" t="s">
        <v>427</v>
      </c>
      <c r="E334" s="111" t="s">
        <v>1002</v>
      </c>
      <c r="F334" s="111" t="s">
        <v>1002</v>
      </c>
    </row>
    <row r="335" spans="1:6" ht="13.15">
      <c r="A335" s="112"/>
      <c r="B335" s="108">
        <v>419</v>
      </c>
      <c r="C335" s="113" t="s">
        <v>399</v>
      </c>
      <c r="D335" s="111" t="s">
        <v>428</v>
      </c>
      <c r="E335" s="111" t="s">
        <v>1003</v>
      </c>
      <c r="F335" s="111" t="s">
        <v>1003</v>
      </c>
    </row>
    <row r="336" spans="1:6" ht="13.15">
      <c r="B336" s="108">
        <v>420</v>
      </c>
      <c r="D336" s="110" t="s">
        <v>159</v>
      </c>
      <c r="E336" s="110" t="s">
        <v>1001</v>
      </c>
      <c r="F336" s="110" t="s">
        <v>1001</v>
      </c>
    </row>
    <row r="337" spans="2:6" ht="13.15">
      <c r="B337" s="108">
        <v>421</v>
      </c>
      <c r="D337" s="110" t="s">
        <v>160</v>
      </c>
      <c r="E337" s="111" t="s">
        <v>1004</v>
      </c>
      <c r="F337" s="111" t="s">
        <v>1004</v>
      </c>
    </row>
    <row r="338" spans="2:6" ht="13.15">
      <c r="B338" s="108">
        <v>422</v>
      </c>
      <c r="D338" s="110" t="s">
        <v>161</v>
      </c>
      <c r="E338" s="110" t="s">
        <v>1005</v>
      </c>
      <c r="F338" s="110" t="s">
        <v>1005</v>
      </c>
    </row>
    <row r="339" spans="2:6" ht="13.15">
      <c r="B339" s="108">
        <v>423</v>
      </c>
      <c r="D339" s="110" t="s">
        <v>162</v>
      </c>
      <c r="E339" s="110" t="s">
        <v>1006</v>
      </c>
      <c r="F339" s="110" t="s">
        <v>1006</v>
      </c>
    </row>
    <row r="340" spans="2:6" ht="13.15">
      <c r="B340" s="108">
        <v>424</v>
      </c>
      <c r="D340" s="110" t="s">
        <v>163</v>
      </c>
      <c r="E340" s="110" t="s">
        <v>1007</v>
      </c>
      <c r="F340" s="110" t="s">
        <v>1007</v>
      </c>
    </row>
    <row r="341" spans="2:6" ht="13.15">
      <c r="B341" s="108">
        <v>425</v>
      </c>
      <c r="D341" s="110" t="s">
        <v>164</v>
      </c>
      <c r="E341" s="110" t="s">
        <v>1008</v>
      </c>
      <c r="F341" s="110" t="s">
        <v>1008</v>
      </c>
    </row>
    <row r="342" spans="2:6" ht="13.15">
      <c r="B342" s="108">
        <v>426</v>
      </c>
      <c r="D342" s="110" t="s">
        <v>165</v>
      </c>
      <c r="E342" s="110" t="s">
        <v>1009</v>
      </c>
      <c r="F342" s="110" t="s">
        <v>1009</v>
      </c>
    </row>
    <row r="343" spans="2:6" ht="13.15">
      <c r="B343" s="108">
        <v>427</v>
      </c>
      <c r="D343" s="110" t="s">
        <v>166</v>
      </c>
      <c r="E343" s="110" t="s">
        <v>1010</v>
      </c>
      <c r="F343" s="110" t="s">
        <v>1010</v>
      </c>
    </row>
    <row r="344" spans="2:6" ht="13.15">
      <c r="B344" s="108">
        <v>428</v>
      </c>
      <c r="D344" s="110" t="s">
        <v>167</v>
      </c>
      <c r="E344" s="110" t="s">
        <v>1011</v>
      </c>
      <c r="F344" s="110" t="s">
        <v>1011</v>
      </c>
    </row>
    <row r="345" spans="2:6" ht="13.15">
      <c r="B345" s="108">
        <v>429</v>
      </c>
      <c r="D345" s="110" t="s">
        <v>168</v>
      </c>
      <c r="E345" s="110" t="s">
        <v>1012</v>
      </c>
      <c r="F345" s="110" t="s">
        <v>1012</v>
      </c>
    </row>
    <row r="346" spans="2:6" ht="13.15">
      <c r="B346" s="108">
        <v>430</v>
      </c>
      <c r="D346" s="110" t="s">
        <v>169</v>
      </c>
      <c r="E346" s="110" t="s">
        <v>1013</v>
      </c>
      <c r="F346" s="110" t="s">
        <v>1013</v>
      </c>
    </row>
    <row r="347" spans="2:6" ht="13.15">
      <c r="B347" s="108">
        <v>431</v>
      </c>
      <c r="D347" s="110" t="s">
        <v>170</v>
      </c>
      <c r="E347" s="110" t="s">
        <v>1014</v>
      </c>
      <c r="F347" s="110" t="s">
        <v>1014</v>
      </c>
    </row>
    <row r="348" spans="2:6" ht="13.15">
      <c r="B348" s="108">
        <v>432</v>
      </c>
      <c r="D348" s="110" t="s">
        <v>171</v>
      </c>
      <c r="E348" s="110" t="s">
        <v>1015</v>
      </c>
      <c r="F348" s="110" t="s">
        <v>1015</v>
      </c>
    </row>
    <row r="349" spans="2:6">
      <c r="B349" s="108">
        <v>433</v>
      </c>
      <c r="D349" s="110" t="s">
        <v>172</v>
      </c>
      <c r="E349" s="110" t="s">
        <v>1341</v>
      </c>
      <c r="F349" s="110" t="s">
        <v>1341</v>
      </c>
    </row>
    <row r="350" spans="2:6">
      <c r="B350" s="108">
        <v>434</v>
      </c>
      <c r="D350" s="110" t="s">
        <v>484</v>
      </c>
      <c r="E350" s="110" t="s">
        <v>1342</v>
      </c>
      <c r="F350" s="110" t="s">
        <v>1342</v>
      </c>
    </row>
    <row r="351" spans="2:6">
      <c r="B351" s="108">
        <v>435</v>
      </c>
      <c r="D351" s="110" t="s">
        <v>483</v>
      </c>
      <c r="E351" s="110" t="s">
        <v>1343</v>
      </c>
      <c r="F351" s="110" t="s">
        <v>1343</v>
      </c>
    </row>
    <row r="352" spans="2:6">
      <c r="B352" s="108">
        <v>436</v>
      </c>
      <c r="D352" s="110" t="s">
        <v>173</v>
      </c>
      <c r="E352" s="110" t="s">
        <v>1308</v>
      </c>
      <c r="F352" s="110" t="s">
        <v>1308</v>
      </c>
    </row>
    <row r="353" spans="2:6" ht="13.15">
      <c r="B353" s="108">
        <v>437</v>
      </c>
      <c r="D353" s="110" t="s">
        <v>174</v>
      </c>
      <c r="E353" s="110" t="s">
        <v>1016</v>
      </c>
      <c r="F353" s="110" t="s">
        <v>1016</v>
      </c>
    </row>
    <row r="354" spans="2:6" ht="13.15">
      <c r="B354" s="108">
        <v>438</v>
      </c>
      <c r="D354" s="110" t="s">
        <v>175</v>
      </c>
      <c r="E354" s="110" t="s">
        <v>1017</v>
      </c>
      <c r="F354" s="110" t="s">
        <v>1017</v>
      </c>
    </row>
    <row r="355" spans="2:6" ht="13.15">
      <c r="B355" s="108">
        <v>439</v>
      </c>
      <c r="D355" s="110" t="s">
        <v>176</v>
      </c>
      <c r="E355" s="110" t="s">
        <v>1018</v>
      </c>
      <c r="F355" s="110" t="s">
        <v>1018</v>
      </c>
    </row>
    <row r="356" spans="2:6">
      <c r="B356" s="108">
        <v>440</v>
      </c>
      <c r="D356" s="110" t="s">
        <v>177</v>
      </c>
      <c r="E356" s="110" t="s">
        <v>1344</v>
      </c>
      <c r="F356" s="110" t="s">
        <v>1344</v>
      </c>
    </row>
    <row r="357" spans="2:6">
      <c r="B357" s="108">
        <v>441</v>
      </c>
      <c r="D357" s="110" t="s">
        <v>178</v>
      </c>
      <c r="E357" s="110" t="s">
        <v>1345</v>
      </c>
      <c r="F357" s="110" t="s">
        <v>1345</v>
      </c>
    </row>
    <row r="358" spans="2:6">
      <c r="B358" s="108">
        <v>442</v>
      </c>
      <c r="D358" s="110" t="s">
        <v>485</v>
      </c>
      <c r="E358" s="110" t="s">
        <v>1346</v>
      </c>
      <c r="F358" s="110" t="s">
        <v>1346</v>
      </c>
    </row>
    <row r="359" spans="2:6">
      <c r="B359" s="108">
        <v>443</v>
      </c>
      <c r="D359" s="110" t="s">
        <v>478</v>
      </c>
      <c r="E359" s="110" t="s">
        <v>1347</v>
      </c>
      <c r="F359" s="110" t="s">
        <v>1347</v>
      </c>
    </row>
    <row r="360" spans="2:6">
      <c r="B360" s="108">
        <v>444</v>
      </c>
      <c r="D360" s="110" t="s">
        <v>377</v>
      </c>
      <c r="E360" s="110" t="s">
        <v>377</v>
      </c>
      <c r="F360" s="110" t="s">
        <v>377</v>
      </c>
    </row>
    <row r="361" spans="2:6" ht="23.25">
      <c r="B361" s="108">
        <v>445</v>
      </c>
      <c r="C361" s="109" t="s">
        <v>500</v>
      </c>
      <c r="D361" s="110" t="s">
        <v>528</v>
      </c>
      <c r="E361" s="110" t="s">
        <v>1309</v>
      </c>
      <c r="F361" s="110" t="s">
        <v>1309</v>
      </c>
    </row>
    <row r="362" spans="2:6" ht="13.15">
      <c r="B362" s="108">
        <v>446</v>
      </c>
      <c r="D362" s="110" t="s">
        <v>554</v>
      </c>
      <c r="E362" s="110" t="s">
        <v>1019</v>
      </c>
      <c r="F362" s="110" t="s">
        <v>1019</v>
      </c>
    </row>
    <row r="363" spans="2:6" ht="13.15">
      <c r="B363" s="108">
        <v>447</v>
      </c>
      <c r="C363" s="109" t="s">
        <v>451</v>
      </c>
      <c r="D363" s="110" t="s">
        <v>456</v>
      </c>
      <c r="E363" s="110" t="s">
        <v>1020</v>
      </c>
      <c r="F363" s="110" t="s">
        <v>1020</v>
      </c>
    </row>
    <row r="364" spans="2:6" ht="13.15">
      <c r="B364" s="108">
        <v>448</v>
      </c>
      <c r="D364" s="110" t="s">
        <v>179</v>
      </c>
      <c r="E364" s="110" t="s">
        <v>1021</v>
      </c>
      <c r="F364" s="110" t="s">
        <v>1021</v>
      </c>
    </row>
    <row r="365" spans="2:6" ht="26.25">
      <c r="B365" s="108">
        <v>449</v>
      </c>
      <c r="D365" s="110" t="s">
        <v>180</v>
      </c>
      <c r="E365" s="110" t="s">
        <v>1022</v>
      </c>
      <c r="F365" s="110" t="s">
        <v>1022</v>
      </c>
    </row>
    <row r="366" spans="2:6" ht="13.15">
      <c r="B366" s="108">
        <v>450</v>
      </c>
      <c r="D366" s="110" t="s">
        <v>181</v>
      </c>
      <c r="E366" s="110" t="s">
        <v>1023</v>
      </c>
      <c r="F366" s="110" t="s">
        <v>1023</v>
      </c>
    </row>
    <row r="367" spans="2:6" ht="13.15">
      <c r="B367" s="108">
        <v>451</v>
      </c>
      <c r="D367" s="110" t="s">
        <v>559</v>
      </c>
      <c r="E367" s="110" t="s">
        <v>1024</v>
      </c>
      <c r="F367" s="110" t="s">
        <v>1024</v>
      </c>
    </row>
    <row r="368" spans="2:6" ht="26.25">
      <c r="B368" s="108">
        <v>452</v>
      </c>
      <c r="D368" s="110" t="s">
        <v>182</v>
      </c>
      <c r="E368" s="110" t="s">
        <v>1025</v>
      </c>
      <c r="F368" s="110" t="s">
        <v>1025</v>
      </c>
    </row>
    <row r="369" spans="2:6" ht="13.15">
      <c r="B369" s="108">
        <v>453</v>
      </c>
      <c r="D369" s="111" t="s">
        <v>429</v>
      </c>
      <c r="E369" s="110" t="s">
        <v>834</v>
      </c>
      <c r="F369" s="110" t="s">
        <v>834</v>
      </c>
    </row>
    <row r="370" spans="2:6" ht="13.15">
      <c r="B370" s="108">
        <v>454</v>
      </c>
      <c r="D370" s="110" t="s">
        <v>378</v>
      </c>
      <c r="E370" s="110" t="s">
        <v>1026</v>
      </c>
      <c r="F370" s="110" t="s">
        <v>1026</v>
      </c>
    </row>
    <row r="371" spans="2:6" ht="13.15">
      <c r="B371" s="108">
        <v>455</v>
      </c>
      <c r="D371" s="110" t="s">
        <v>183</v>
      </c>
      <c r="E371" s="110" t="s">
        <v>1027</v>
      </c>
      <c r="F371" s="110" t="s">
        <v>1027</v>
      </c>
    </row>
    <row r="372" spans="2:6" ht="13.15">
      <c r="B372" s="108">
        <v>456</v>
      </c>
      <c r="D372" s="110" t="s">
        <v>379</v>
      </c>
      <c r="E372" s="110" t="s">
        <v>1028</v>
      </c>
      <c r="F372" s="110" t="s">
        <v>1028</v>
      </c>
    </row>
    <row r="373" spans="2:6" ht="13.15">
      <c r="B373" s="108">
        <v>457</v>
      </c>
      <c r="D373" s="110" t="s">
        <v>184</v>
      </c>
      <c r="E373" s="110" t="s">
        <v>1029</v>
      </c>
      <c r="F373" s="110" t="s">
        <v>1029</v>
      </c>
    </row>
    <row r="374" spans="2:6" ht="13.15">
      <c r="B374" s="108">
        <v>458</v>
      </c>
      <c r="D374" s="110" t="s">
        <v>185</v>
      </c>
      <c r="E374" s="110" t="s">
        <v>1030</v>
      </c>
      <c r="F374" s="110" t="s">
        <v>1030</v>
      </c>
    </row>
    <row r="375" spans="2:6" ht="13.15">
      <c r="B375" s="108">
        <v>459</v>
      </c>
      <c r="C375" s="109" t="s">
        <v>500</v>
      </c>
      <c r="D375" s="110" t="s">
        <v>520</v>
      </c>
      <c r="E375" s="110" t="s">
        <v>1031</v>
      </c>
      <c r="F375" s="110" t="s">
        <v>1031</v>
      </c>
    </row>
    <row r="376" spans="2:6" ht="13.15">
      <c r="B376" s="108">
        <v>460</v>
      </c>
      <c r="D376" s="110" t="s">
        <v>186</v>
      </c>
      <c r="E376" s="110" t="s">
        <v>1031</v>
      </c>
      <c r="F376" s="110" t="s">
        <v>1031</v>
      </c>
    </row>
    <row r="377" spans="2:6" ht="13.15">
      <c r="B377" s="108">
        <v>461</v>
      </c>
      <c r="D377" s="110" t="s">
        <v>187</v>
      </c>
      <c r="E377" s="110" t="s">
        <v>1032</v>
      </c>
      <c r="F377" s="110" t="s">
        <v>1032</v>
      </c>
    </row>
    <row r="378" spans="2:6" ht="13.15">
      <c r="B378" s="108">
        <v>462</v>
      </c>
      <c r="D378" s="110" t="s">
        <v>577</v>
      </c>
      <c r="E378" s="110" t="s">
        <v>1033</v>
      </c>
      <c r="F378" s="110" t="s">
        <v>1033</v>
      </c>
    </row>
    <row r="379" spans="2:6" ht="13.15">
      <c r="B379" s="108">
        <v>463</v>
      </c>
      <c r="D379" s="110" t="s">
        <v>188</v>
      </c>
      <c r="E379" s="110" t="s">
        <v>1034</v>
      </c>
      <c r="F379" s="110" t="s">
        <v>1034</v>
      </c>
    </row>
    <row r="380" spans="2:6">
      <c r="B380" s="108">
        <v>464</v>
      </c>
      <c r="D380" s="110" t="s">
        <v>189</v>
      </c>
      <c r="F380" s="110"/>
    </row>
    <row r="381" spans="2:6" ht="13.15">
      <c r="B381" s="108">
        <v>465</v>
      </c>
      <c r="D381" s="110" t="s">
        <v>380</v>
      </c>
      <c r="E381" s="110" t="s">
        <v>1035</v>
      </c>
      <c r="F381" s="110" t="s">
        <v>1035</v>
      </c>
    </row>
    <row r="382" spans="2:6" ht="23.25">
      <c r="B382" s="108">
        <v>466</v>
      </c>
      <c r="D382" s="110" t="s">
        <v>567</v>
      </c>
      <c r="E382" s="110" t="s">
        <v>1036</v>
      </c>
      <c r="F382" s="110" t="s">
        <v>1036</v>
      </c>
    </row>
    <row r="383" spans="2:6" ht="23.25">
      <c r="B383" s="108">
        <v>467</v>
      </c>
      <c r="D383" s="110" t="s">
        <v>190</v>
      </c>
      <c r="E383" s="110" t="s">
        <v>1037</v>
      </c>
      <c r="F383" s="110" t="s">
        <v>1037</v>
      </c>
    </row>
    <row r="384" spans="2:6" ht="13.15">
      <c r="B384" s="108">
        <v>468</v>
      </c>
      <c r="D384" s="110" t="s">
        <v>191</v>
      </c>
      <c r="E384" s="110" t="s">
        <v>1038</v>
      </c>
      <c r="F384" s="110" t="s">
        <v>1038</v>
      </c>
    </row>
    <row r="385" spans="2:6" ht="13.15">
      <c r="B385" s="108">
        <v>469</v>
      </c>
      <c r="D385" s="110" t="s">
        <v>192</v>
      </c>
      <c r="E385" s="110" t="s">
        <v>1039</v>
      </c>
      <c r="F385" s="110" t="s">
        <v>1039</v>
      </c>
    </row>
    <row r="386" spans="2:6" ht="13.15">
      <c r="B386" s="108">
        <v>470</v>
      </c>
      <c r="C386" s="109" t="s">
        <v>500</v>
      </c>
      <c r="D386" s="110" t="s">
        <v>513</v>
      </c>
      <c r="E386" s="110" t="s">
        <v>1040</v>
      </c>
      <c r="F386" s="110" t="s">
        <v>1040</v>
      </c>
    </row>
    <row r="387" spans="2:6" ht="13.15">
      <c r="B387" s="108">
        <v>471</v>
      </c>
      <c r="C387" s="109" t="s">
        <v>500</v>
      </c>
      <c r="D387" s="110" t="s">
        <v>517</v>
      </c>
      <c r="E387" s="110" t="s">
        <v>1041</v>
      </c>
      <c r="F387" s="110" t="s">
        <v>1041</v>
      </c>
    </row>
    <row r="388" spans="2:6" ht="13.15">
      <c r="B388" s="108">
        <v>472</v>
      </c>
      <c r="D388" s="110" t="s">
        <v>193</v>
      </c>
      <c r="E388" s="110" t="s">
        <v>1042</v>
      </c>
      <c r="F388" s="110" t="s">
        <v>1042</v>
      </c>
    </row>
    <row r="389" spans="2:6" ht="13.15">
      <c r="B389" s="108">
        <v>473</v>
      </c>
      <c r="C389" s="109" t="s">
        <v>500</v>
      </c>
      <c r="D389" s="110" t="s">
        <v>509</v>
      </c>
      <c r="E389" s="110" t="s">
        <v>1043</v>
      </c>
      <c r="F389" s="110" t="s">
        <v>1043</v>
      </c>
    </row>
    <row r="390" spans="2:6" ht="23.25">
      <c r="B390" s="108">
        <v>474</v>
      </c>
      <c r="C390" s="109" t="s">
        <v>500</v>
      </c>
      <c r="D390" s="110" t="s">
        <v>511</v>
      </c>
      <c r="E390" s="110" t="s">
        <v>1310</v>
      </c>
      <c r="F390" s="110" t="s">
        <v>1310</v>
      </c>
    </row>
    <row r="391" spans="2:6">
      <c r="B391" s="108">
        <v>475</v>
      </c>
      <c r="C391" s="109" t="s">
        <v>500</v>
      </c>
      <c r="D391" s="110" t="s">
        <v>512</v>
      </c>
      <c r="E391" s="110" t="s">
        <v>1311</v>
      </c>
      <c r="F391" s="110" t="s">
        <v>1311</v>
      </c>
    </row>
    <row r="392" spans="2:6" ht="13.15">
      <c r="B392" s="108">
        <v>476</v>
      </c>
      <c r="D392" s="110" t="s">
        <v>194</v>
      </c>
      <c r="E392" s="110" t="s">
        <v>1044</v>
      </c>
      <c r="F392" s="110" t="s">
        <v>1044</v>
      </c>
    </row>
    <row r="393" spans="2:6" ht="13.15">
      <c r="B393" s="108">
        <v>477</v>
      </c>
      <c r="D393" s="110" t="s">
        <v>195</v>
      </c>
      <c r="E393" s="110" t="s">
        <v>1045</v>
      </c>
      <c r="F393" s="110" t="s">
        <v>1045</v>
      </c>
    </row>
    <row r="394" spans="2:6" ht="39.4">
      <c r="B394" s="108">
        <v>478</v>
      </c>
      <c r="C394" s="109" t="s">
        <v>500</v>
      </c>
      <c r="D394" s="110" t="s">
        <v>530</v>
      </c>
      <c r="E394" s="110" t="s">
        <v>1046</v>
      </c>
      <c r="F394" s="110" t="s">
        <v>1046</v>
      </c>
    </row>
    <row r="395" spans="2:6" ht="13.15">
      <c r="B395" s="108">
        <v>479</v>
      </c>
      <c r="D395" s="110" t="s">
        <v>196</v>
      </c>
      <c r="E395" s="110" t="s">
        <v>1047</v>
      </c>
      <c r="F395" s="110" t="s">
        <v>1047</v>
      </c>
    </row>
    <row r="396" spans="2:6" ht="13.15">
      <c r="B396" s="108">
        <v>480</v>
      </c>
      <c r="D396" s="110" t="s">
        <v>1240</v>
      </c>
      <c r="E396" s="110" t="s">
        <v>1048</v>
      </c>
      <c r="F396" s="110" t="s">
        <v>1048</v>
      </c>
    </row>
    <row r="397" spans="2:6" ht="13.15">
      <c r="B397" s="108">
        <v>481</v>
      </c>
      <c r="D397" s="110" t="s">
        <v>197</v>
      </c>
      <c r="E397" s="110" t="s">
        <v>1049</v>
      </c>
      <c r="F397" s="110" t="s">
        <v>1049</v>
      </c>
    </row>
    <row r="398" spans="2:6" ht="13.15">
      <c r="B398" s="108">
        <v>482</v>
      </c>
      <c r="D398" s="110" t="s">
        <v>198</v>
      </c>
      <c r="E398" s="110" t="s">
        <v>1050</v>
      </c>
      <c r="F398" s="110" t="s">
        <v>1050</v>
      </c>
    </row>
    <row r="399" spans="2:6" ht="13.15">
      <c r="B399" s="108">
        <v>483</v>
      </c>
      <c r="D399" s="110" t="s">
        <v>199</v>
      </c>
      <c r="E399" s="110" t="s">
        <v>1051</v>
      </c>
      <c r="F399" s="110" t="s">
        <v>1051</v>
      </c>
    </row>
    <row r="400" spans="2:6" ht="13.15">
      <c r="B400" s="108">
        <v>484</v>
      </c>
      <c r="D400" s="110" t="s">
        <v>200</v>
      </c>
      <c r="E400" s="110" t="s">
        <v>1052</v>
      </c>
      <c r="F400" s="110" t="s">
        <v>1052</v>
      </c>
    </row>
    <row r="401" spans="2:6" ht="26.25">
      <c r="B401" s="108">
        <v>485</v>
      </c>
      <c r="D401" s="110" t="s">
        <v>201</v>
      </c>
      <c r="E401" s="110" t="s">
        <v>1053</v>
      </c>
      <c r="F401" s="110" t="s">
        <v>1053</v>
      </c>
    </row>
    <row r="402" spans="2:6" ht="13.15">
      <c r="B402" s="108">
        <v>486</v>
      </c>
      <c r="D402" s="110" t="s">
        <v>580</v>
      </c>
      <c r="E402" s="110" t="s">
        <v>1054</v>
      </c>
      <c r="F402" s="110" t="s">
        <v>1054</v>
      </c>
    </row>
    <row r="403" spans="2:6" ht="13.15">
      <c r="B403" s="108">
        <v>487</v>
      </c>
      <c r="D403" s="110" t="s">
        <v>578</v>
      </c>
      <c r="E403" s="110" t="s">
        <v>1055</v>
      </c>
      <c r="F403" s="110" t="s">
        <v>1055</v>
      </c>
    </row>
    <row r="404" spans="2:6" ht="13.15">
      <c r="B404" s="108">
        <v>488</v>
      </c>
      <c r="D404" s="110" t="s">
        <v>579</v>
      </c>
      <c r="E404" s="110" t="s">
        <v>1056</v>
      </c>
      <c r="F404" s="110" t="s">
        <v>1056</v>
      </c>
    </row>
    <row r="405" spans="2:6" ht="13.15">
      <c r="B405" s="108">
        <v>489</v>
      </c>
      <c r="D405" s="110" t="s">
        <v>202</v>
      </c>
      <c r="E405" s="110" t="s">
        <v>1057</v>
      </c>
      <c r="F405" s="110" t="s">
        <v>1057</v>
      </c>
    </row>
    <row r="406" spans="2:6" ht="13.15">
      <c r="B406" s="108">
        <v>490</v>
      </c>
      <c r="C406" s="109" t="s">
        <v>451</v>
      </c>
      <c r="D406" s="110" t="s">
        <v>455</v>
      </c>
      <c r="E406" s="110" t="s">
        <v>1058</v>
      </c>
      <c r="F406" s="110" t="s">
        <v>1058</v>
      </c>
    </row>
    <row r="407" spans="2:6" ht="13.15">
      <c r="B407" s="108">
        <v>491</v>
      </c>
      <c r="D407" s="110" t="s">
        <v>203</v>
      </c>
      <c r="E407" s="110" t="s">
        <v>1059</v>
      </c>
      <c r="F407" s="110" t="s">
        <v>1059</v>
      </c>
    </row>
    <row r="408" spans="2:6" ht="13.15">
      <c r="B408" s="108">
        <v>492</v>
      </c>
      <c r="C408" s="109" t="s">
        <v>469</v>
      </c>
      <c r="D408" s="110" t="s">
        <v>467</v>
      </c>
      <c r="E408" s="110" t="s">
        <v>1060</v>
      </c>
      <c r="F408" s="110" t="s">
        <v>1060</v>
      </c>
    </row>
    <row r="409" spans="2:6" ht="13.15">
      <c r="B409" s="108">
        <v>493</v>
      </c>
      <c r="C409" s="109" t="s">
        <v>469</v>
      </c>
      <c r="D409" s="110" t="s">
        <v>466</v>
      </c>
      <c r="E409" s="110" t="s">
        <v>1061</v>
      </c>
      <c r="F409" s="110" t="s">
        <v>1061</v>
      </c>
    </row>
    <row r="410" spans="2:6" ht="13.15">
      <c r="B410" s="108">
        <v>494</v>
      </c>
      <c r="D410" s="110" t="s">
        <v>204</v>
      </c>
      <c r="E410" s="110" t="s">
        <v>1062</v>
      </c>
      <c r="F410" s="110" t="s">
        <v>1062</v>
      </c>
    </row>
    <row r="411" spans="2:6" ht="13.15">
      <c r="B411" s="108">
        <v>495</v>
      </c>
      <c r="D411" s="110" t="s">
        <v>205</v>
      </c>
      <c r="E411" s="110" t="s">
        <v>1063</v>
      </c>
      <c r="F411" s="110" t="s">
        <v>1063</v>
      </c>
    </row>
    <row r="412" spans="2:6" ht="13.15">
      <c r="B412" s="108">
        <v>496</v>
      </c>
      <c r="C412" s="109" t="s">
        <v>500</v>
      </c>
      <c r="D412" s="110" t="s">
        <v>606</v>
      </c>
      <c r="E412" s="110" t="s">
        <v>1064</v>
      </c>
      <c r="F412" s="110" t="s">
        <v>1064</v>
      </c>
    </row>
    <row r="413" spans="2:6" ht="13.15">
      <c r="B413" s="108">
        <v>497</v>
      </c>
      <c r="D413" s="110" t="s">
        <v>206</v>
      </c>
      <c r="E413" s="110" t="s">
        <v>1065</v>
      </c>
      <c r="F413" s="110" t="s">
        <v>1065</v>
      </c>
    </row>
    <row r="414" spans="2:6" ht="39.4">
      <c r="B414" s="108">
        <v>498</v>
      </c>
      <c r="D414" s="110" t="s">
        <v>207</v>
      </c>
      <c r="E414" s="110" t="s">
        <v>1066</v>
      </c>
      <c r="F414" s="110" t="s">
        <v>1066</v>
      </c>
    </row>
    <row r="415" spans="2:6" ht="13.15">
      <c r="B415" s="108">
        <v>499</v>
      </c>
      <c r="D415" s="110" t="s">
        <v>208</v>
      </c>
      <c r="E415" s="110" t="s">
        <v>1067</v>
      </c>
      <c r="F415" s="110" t="s">
        <v>1067</v>
      </c>
    </row>
    <row r="416" spans="2:6" ht="23.25">
      <c r="B416" s="108">
        <v>500</v>
      </c>
      <c r="D416" s="110" t="s">
        <v>209</v>
      </c>
      <c r="E416" s="110" t="s">
        <v>1312</v>
      </c>
      <c r="F416" s="110" t="s">
        <v>1312</v>
      </c>
    </row>
    <row r="417" spans="2:6">
      <c r="B417" s="108">
        <v>501</v>
      </c>
      <c r="D417" s="110" t="s">
        <v>210</v>
      </c>
      <c r="E417" s="110" t="s">
        <v>1313</v>
      </c>
      <c r="F417" s="110" t="s">
        <v>1313</v>
      </c>
    </row>
    <row r="418" spans="2:6" ht="23.25">
      <c r="B418" s="108">
        <v>502</v>
      </c>
      <c r="D418" s="110" t="s">
        <v>211</v>
      </c>
      <c r="E418" s="110" t="s">
        <v>1068</v>
      </c>
      <c r="F418" s="110" t="s">
        <v>1068</v>
      </c>
    </row>
    <row r="419" spans="2:6" ht="23.25">
      <c r="B419" s="108">
        <v>503</v>
      </c>
      <c r="D419" s="110" t="s">
        <v>212</v>
      </c>
      <c r="E419" s="110" t="s">
        <v>1069</v>
      </c>
      <c r="F419" s="110" t="s">
        <v>1069</v>
      </c>
    </row>
    <row r="420" spans="2:6" ht="23.25">
      <c r="B420" s="108">
        <v>504</v>
      </c>
      <c r="D420" s="110" t="s">
        <v>213</v>
      </c>
      <c r="E420" s="110" t="s">
        <v>1070</v>
      </c>
      <c r="F420" s="110" t="s">
        <v>1070</v>
      </c>
    </row>
    <row r="421" spans="2:6" ht="23.25">
      <c r="B421" s="108">
        <v>505</v>
      </c>
      <c r="D421" s="110" t="s">
        <v>214</v>
      </c>
      <c r="E421" s="110" t="s">
        <v>1071</v>
      </c>
      <c r="F421" s="110" t="s">
        <v>1071</v>
      </c>
    </row>
    <row r="422" spans="2:6" ht="23.25">
      <c r="B422" s="108">
        <v>506</v>
      </c>
      <c r="D422" s="110" t="s">
        <v>215</v>
      </c>
      <c r="E422" s="110" t="s">
        <v>1072</v>
      </c>
      <c r="F422" s="110" t="s">
        <v>1072</v>
      </c>
    </row>
    <row r="423" spans="2:6" ht="23.25">
      <c r="B423" s="108">
        <v>507</v>
      </c>
      <c r="D423" s="110" t="s">
        <v>216</v>
      </c>
      <c r="E423" s="110" t="s">
        <v>1073</v>
      </c>
      <c r="F423" s="110" t="s">
        <v>1073</v>
      </c>
    </row>
    <row r="424" spans="2:6" ht="23.25">
      <c r="B424" s="108">
        <v>508</v>
      </c>
      <c r="D424" s="110" t="s">
        <v>217</v>
      </c>
      <c r="E424" s="110" t="s">
        <v>1074</v>
      </c>
      <c r="F424" s="110" t="s">
        <v>1074</v>
      </c>
    </row>
    <row r="425" spans="2:6" ht="23.25">
      <c r="B425" s="108">
        <v>509</v>
      </c>
      <c r="D425" s="110" t="s">
        <v>218</v>
      </c>
      <c r="E425" s="110" t="s">
        <v>1075</v>
      </c>
      <c r="F425" s="110" t="s">
        <v>1075</v>
      </c>
    </row>
    <row r="426" spans="2:6" ht="23.25">
      <c r="B426" s="108">
        <v>510</v>
      </c>
      <c r="D426" s="110" t="s">
        <v>219</v>
      </c>
      <c r="E426" s="110" t="s">
        <v>1314</v>
      </c>
      <c r="F426" s="110" t="s">
        <v>1314</v>
      </c>
    </row>
    <row r="427" spans="2:6" ht="23.25">
      <c r="B427" s="108">
        <v>511</v>
      </c>
      <c r="D427" s="110" t="s">
        <v>220</v>
      </c>
      <c r="E427" s="110" t="s">
        <v>1076</v>
      </c>
      <c r="F427" s="110" t="s">
        <v>1076</v>
      </c>
    </row>
    <row r="428" spans="2:6" ht="23.25">
      <c r="B428" s="108">
        <v>512</v>
      </c>
      <c r="D428" s="110" t="s">
        <v>221</v>
      </c>
      <c r="E428" s="110" t="s">
        <v>1077</v>
      </c>
      <c r="F428" s="110" t="s">
        <v>1077</v>
      </c>
    </row>
    <row r="429" spans="2:6" ht="23.25">
      <c r="B429" s="108">
        <v>513</v>
      </c>
      <c r="D429" s="110" t="s">
        <v>222</v>
      </c>
      <c r="E429" s="110" t="s">
        <v>1078</v>
      </c>
      <c r="F429" s="110" t="s">
        <v>1078</v>
      </c>
    </row>
    <row r="430" spans="2:6" ht="23.25">
      <c r="B430" s="108">
        <v>514</v>
      </c>
      <c r="D430" s="110" t="s">
        <v>223</v>
      </c>
      <c r="E430" s="110" t="s">
        <v>1079</v>
      </c>
      <c r="F430" s="110" t="s">
        <v>1079</v>
      </c>
    </row>
    <row r="431" spans="2:6" ht="23.25">
      <c r="B431" s="108">
        <v>515</v>
      </c>
      <c r="D431" s="110" t="s">
        <v>224</v>
      </c>
      <c r="E431" s="110" t="s">
        <v>1080</v>
      </c>
      <c r="F431" s="110" t="s">
        <v>1080</v>
      </c>
    </row>
    <row r="432" spans="2:6" ht="23.25">
      <c r="B432" s="108">
        <v>516</v>
      </c>
      <c r="D432" s="110" t="s">
        <v>225</v>
      </c>
      <c r="E432" s="110" t="s">
        <v>1081</v>
      </c>
      <c r="F432" s="110" t="s">
        <v>1081</v>
      </c>
    </row>
    <row r="433" spans="1:27" ht="23.25">
      <c r="B433" s="108">
        <v>517</v>
      </c>
      <c r="D433" s="110" t="s">
        <v>226</v>
      </c>
      <c r="E433" s="110" t="s">
        <v>1082</v>
      </c>
      <c r="F433" s="110" t="s">
        <v>1082</v>
      </c>
    </row>
    <row r="434" spans="1:27" ht="23.25">
      <c r="B434" s="108">
        <v>518</v>
      </c>
      <c r="D434" s="110" t="s">
        <v>227</v>
      </c>
      <c r="E434" s="110" t="s">
        <v>1083</v>
      </c>
      <c r="F434" s="110" t="s">
        <v>1083</v>
      </c>
    </row>
    <row r="435" spans="1:27" ht="23.25">
      <c r="B435" s="108">
        <v>519</v>
      </c>
      <c r="D435" s="110" t="s">
        <v>228</v>
      </c>
      <c r="E435" s="110" t="s">
        <v>1084</v>
      </c>
      <c r="F435" s="110" t="s">
        <v>1084</v>
      </c>
    </row>
    <row r="436" spans="1:27" ht="23.25">
      <c r="B436" s="108">
        <v>520</v>
      </c>
      <c r="D436" s="110" t="s">
        <v>1270</v>
      </c>
      <c r="E436" s="110" t="s">
        <v>1263</v>
      </c>
      <c r="F436" s="110" t="s">
        <v>1263</v>
      </c>
    </row>
    <row r="437" spans="1:27" ht="23.25">
      <c r="B437" s="108">
        <v>521</v>
      </c>
      <c r="D437" s="110" t="s">
        <v>381</v>
      </c>
      <c r="E437" s="110" t="s">
        <v>1085</v>
      </c>
      <c r="F437" s="110" t="s">
        <v>1085</v>
      </c>
    </row>
    <row r="438" spans="1:27" ht="23.25">
      <c r="B438" s="108">
        <v>522</v>
      </c>
      <c r="D438" s="110" t="s">
        <v>382</v>
      </c>
      <c r="E438" s="110" t="s">
        <v>1085</v>
      </c>
      <c r="F438" s="110" t="s">
        <v>1085</v>
      </c>
    </row>
    <row r="439" spans="1:27" ht="26.25">
      <c r="B439" s="108">
        <v>523</v>
      </c>
      <c r="D439" s="110" t="s">
        <v>229</v>
      </c>
      <c r="E439" s="110" t="s">
        <v>1086</v>
      </c>
      <c r="F439" s="110" t="s">
        <v>1086</v>
      </c>
    </row>
    <row r="440" spans="1:27" ht="23.25">
      <c r="B440" s="108">
        <v>524</v>
      </c>
      <c r="D440" s="110" t="s">
        <v>230</v>
      </c>
      <c r="E440" s="110" t="s">
        <v>1087</v>
      </c>
      <c r="F440" s="110" t="s">
        <v>1087</v>
      </c>
    </row>
    <row r="441" spans="1:27" ht="26.25">
      <c r="B441" s="108">
        <v>525</v>
      </c>
      <c r="D441" s="110" t="s">
        <v>231</v>
      </c>
      <c r="E441" s="110" t="s">
        <v>1088</v>
      </c>
      <c r="F441" s="110" t="s">
        <v>1088</v>
      </c>
    </row>
    <row r="442" spans="1:27" ht="23.25">
      <c r="B442" s="108">
        <v>526</v>
      </c>
      <c r="D442" s="110" t="s">
        <v>232</v>
      </c>
      <c r="E442" s="110" t="s">
        <v>1089</v>
      </c>
      <c r="F442" s="110" t="s">
        <v>1089</v>
      </c>
    </row>
    <row r="443" spans="1:27" ht="23.25">
      <c r="B443" s="108">
        <v>527</v>
      </c>
      <c r="D443" s="110" t="s">
        <v>383</v>
      </c>
      <c r="E443" s="110" t="s">
        <v>1090</v>
      </c>
      <c r="F443" s="110" t="s">
        <v>1090</v>
      </c>
    </row>
    <row r="444" spans="1:27" s="111" customFormat="1" ht="23.25">
      <c r="A444" s="107"/>
      <c r="B444" s="108">
        <v>528</v>
      </c>
      <c r="C444" s="109"/>
      <c r="D444" s="110" t="s">
        <v>384</v>
      </c>
      <c r="E444" s="110" t="s">
        <v>1091</v>
      </c>
      <c r="F444" s="110" t="s">
        <v>1091</v>
      </c>
      <c r="G444" s="107"/>
      <c r="H444" s="107"/>
      <c r="I444" s="107"/>
      <c r="J444" s="107"/>
      <c r="K444" s="107"/>
      <c r="L444" s="107"/>
      <c r="M444" s="107"/>
      <c r="N444" s="107"/>
      <c r="O444" s="107"/>
      <c r="P444" s="107"/>
      <c r="Q444" s="107"/>
      <c r="R444" s="107"/>
      <c r="S444" s="107"/>
      <c r="T444" s="107"/>
      <c r="U444" s="107"/>
      <c r="V444" s="107"/>
      <c r="W444" s="107"/>
      <c r="X444" s="107"/>
      <c r="Y444" s="107"/>
      <c r="Z444" s="107"/>
      <c r="AA444" s="107"/>
    </row>
    <row r="445" spans="1:27" s="111" customFormat="1" ht="13.15">
      <c r="A445" s="107"/>
      <c r="B445" s="108">
        <v>529</v>
      </c>
      <c r="C445" s="109"/>
      <c r="D445" s="110" t="s">
        <v>233</v>
      </c>
      <c r="E445" s="110" t="s">
        <v>1092</v>
      </c>
      <c r="F445" s="110" t="s">
        <v>1092</v>
      </c>
      <c r="G445" s="107"/>
      <c r="H445" s="107"/>
      <c r="I445" s="107"/>
      <c r="J445" s="107"/>
      <c r="K445" s="107"/>
      <c r="L445" s="107"/>
      <c r="M445" s="107"/>
      <c r="N445" s="107"/>
      <c r="O445" s="107"/>
      <c r="P445" s="107"/>
      <c r="Q445" s="107"/>
      <c r="R445" s="107"/>
      <c r="S445" s="107"/>
      <c r="T445" s="107"/>
      <c r="U445" s="107"/>
      <c r="V445" s="107"/>
      <c r="W445" s="107"/>
      <c r="X445" s="107"/>
      <c r="Y445" s="107"/>
      <c r="Z445" s="107"/>
      <c r="AA445" s="107"/>
    </row>
    <row r="446" spans="1:27" s="112" customFormat="1" ht="26.25">
      <c r="A446" s="107"/>
      <c r="B446" s="108">
        <v>530</v>
      </c>
      <c r="C446" s="109"/>
      <c r="D446" s="110" t="s">
        <v>234</v>
      </c>
      <c r="E446" s="110" t="s">
        <v>1093</v>
      </c>
      <c r="F446" s="110" t="s">
        <v>1093</v>
      </c>
      <c r="G446" s="107"/>
      <c r="H446" s="107"/>
      <c r="I446" s="107"/>
      <c r="J446" s="107"/>
      <c r="K446" s="107"/>
      <c r="L446" s="107"/>
      <c r="M446" s="107"/>
      <c r="N446" s="107"/>
      <c r="O446" s="107"/>
      <c r="P446" s="107"/>
      <c r="Q446" s="107"/>
      <c r="R446" s="107"/>
      <c r="S446" s="107"/>
      <c r="T446" s="107"/>
      <c r="U446" s="107"/>
      <c r="V446" s="107"/>
      <c r="W446" s="107"/>
      <c r="X446" s="107"/>
      <c r="Y446" s="107"/>
      <c r="Z446" s="107"/>
      <c r="AA446" s="107"/>
    </row>
    <row r="447" spans="1:27" s="112" customFormat="1" ht="13.15">
      <c r="A447" s="107"/>
      <c r="B447" s="108">
        <v>531</v>
      </c>
      <c r="C447" s="109"/>
      <c r="D447" s="110" t="s">
        <v>235</v>
      </c>
      <c r="E447" s="110" t="s">
        <v>1094</v>
      </c>
      <c r="F447" s="110" t="s">
        <v>1094</v>
      </c>
      <c r="G447" s="107"/>
      <c r="H447" s="107"/>
      <c r="I447" s="107"/>
      <c r="J447" s="107"/>
      <c r="K447" s="107"/>
      <c r="L447" s="107"/>
      <c r="M447" s="107"/>
      <c r="N447" s="107"/>
      <c r="O447" s="107"/>
      <c r="P447" s="107"/>
      <c r="Q447" s="107"/>
      <c r="R447" s="107"/>
      <c r="S447" s="107"/>
      <c r="T447" s="107"/>
      <c r="U447" s="107"/>
      <c r="V447" s="107"/>
      <c r="W447" s="107"/>
      <c r="X447" s="107"/>
      <c r="Y447" s="107"/>
      <c r="Z447" s="107"/>
      <c r="AA447" s="107"/>
    </row>
    <row r="448" spans="1:27" s="112" customFormat="1" ht="39.4">
      <c r="A448" s="107"/>
      <c r="B448" s="108">
        <v>532</v>
      </c>
      <c r="C448" s="109"/>
      <c r="D448" s="110" t="s">
        <v>236</v>
      </c>
      <c r="E448" s="110" t="s">
        <v>1095</v>
      </c>
      <c r="F448" s="110" t="s">
        <v>1095</v>
      </c>
      <c r="G448" s="107"/>
      <c r="H448" s="107"/>
      <c r="I448" s="107"/>
      <c r="J448" s="107"/>
      <c r="K448" s="107"/>
      <c r="L448" s="107"/>
      <c r="M448" s="107"/>
      <c r="N448" s="107"/>
      <c r="O448" s="107"/>
      <c r="P448" s="107"/>
      <c r="Q448" s="107"/>
      <c r="R448" s="107"/>
      <c r="S448" s="107"/>
      <c r="T448" s="107"/>
      <c r="U448" s="107"/>
      <c r="V448" s="107"/>
      <c r="W448" s="107"/>
      <c r="X448" s="107"/>
      <c r="Y448" s="107"/>
      <c r="Z448" s="107"/>
      <c r="AA448" s="107"/>
    </row>
    <row r="449" spans="1:27" s="112" customFormat="1" ht="13.15">
      <c r="A449" s="107"/>
      <c r="B449" s="108">
        <v>533</v>
      </c>
      <c r="C449" s="109"/>
      <c r="D449" s="110" t="s">
        <v>237</v>
      </c>
      <c r="E449" s="110" t="s">
        <v>1096</v>
      </c>
      <c r="F449" s="110" t="s">
        <v>1096</v>
      </c>
      <c r="G449" s="107"/>
      <c r="H449" s="107"/>
      <c r="I449" s="107"/>
      <c r="J449" s="107"/>
      <c r="K449" s="107"/>
      <c r="L449" s="107"/>
      <c r="M449" s="107"/>
      <c r="N449" s="107"/>
      <c r="O449" s="107"/>
      <c r="P449" s="107"/>
      <c r="Q449" s="107"/>
      <c r="R449" s="107"/>
      <c r="S449" s="107"/>
      <c r="T449" s="107"/>
      <c r="U449" s="107"/>
      <c r="V449" s="107"/>
      <c r="W449" s="107"/>
      <c r="X449" s="107"/>
      <c r="Y449" s="107"/>
      <c r="Z449" s="107"/>
      <c r="AA449" s="107"/>
    </row>
    <row r="450" spans="1:27" s="112" customFormat="1" ht="23.25">
      <c r="A450" s="107"/>
      <c r="B450" s="108">
        <v>534</v>
      </c>
      <c r="C450" s="109"/>
      <c r="D450" s="110" t="s">
        <v>238</v>
      </c>
      <c r="E450" s="110" t="s">
        <v>1097</v>
      </c>
      <c r="F450" s="110" t="s">
        <v>1097</v>
      </c>
      <c r="G450" s="107"/>
      <c r="H450" s="107"/>
      <c r="I450" s="107"/>
      <c r="J450" s="107"/>
      <c r="K450" s="107"/>
      <c r="L450" s="107"/>
      <c r="M450" s="107"/>
      <c r="N450" s="107"/>
      <c r="O450" s="107"/>
      <c r="P450" s="107"/>
      <c r="Q450" s="107"/>
      <c r="R450" s="107"/>
      <c r="S450" s="107"/>
      <c r="T450" s="107"/>
      <c r="U450" s="107"/>
      <c r="V450" s="107"/>
      <c r="W450" s="107"/>
      <c r="X450" s="107"/>
      <c r="Y450" s="107"/>
      <c r="Z450" s="107"/>
      <c r="AA450" s="107"/>
    </row>
    <row r="451" spans="1:27" s="112" customFormat="1" ht="23.25">
      <c r="A451" s="107"/>
      <c r="B451" s="108">
        <v>535</v>
      </c>
      <c r="C451" s="109"/>
      <c r="D451" s="110" t="s">
        <v>239</v>
      </c>
      <c r="E451" s="110" t="s">
        <v>1098</v>
      </c>
      <c r="F451" s="110" t="s">
        <v>1098</v>
      </c>
      <c r="G451" s="107"/>
      <c r="H451" s="107"/>
      <c r="I451" s="107"/>
      <c r="J451" s="107"/>
      <c r="K451" s="107"/>
      <c r="L451" s="107"/>
      <c r="M451" s="107"/>
      <c r="N451" s="107"/>
      <c r="O451" s="107"/>
      <c r="P451" s="107"/>
      <c r="Q451" s="107"/>
      <c r="R451" s="107"/>
      <c r="S451" s="107"/>
      <c r="T451" s="107"/>
      <c r="U451" s="107"/>
      <c r="V451" s="107"/>
      <c r="W451" s="107"/>
      <c r="X451" s="107"/>
      <c r="Y451" s="107"/>
      <c r="Z451" s="107"/>
      <c r="AA451" s="107"/>
    </row>
    <row r="452" spans="1:27" s="112" customFormat="1" ht="26.25">
      <c r="A452" s="107"/>
      <c r="B452" s="108">
        <v>536</v>
      </c>
      <c r="C452" s="109"/>
      <c r="D452" s="110" t="s">
        <v>240</v>
      </c>
      <c r="E452" s="110" t="s">
        <v>1099</v>
      </c>
      <c r="F452" s="110" t="s">
        <v>1099</v>
      </c>
      <c r="G452" s="107"/>
      <c r="H452" s="107"/>
      <c r="I452" s="107"/>
      <c r="J452" s="107"/>
      <c r="K452" s="107"/>
      <c r="L452" s="107"/>
      <c r="M452" s="107"/>
      <c r="N452" s="107"/>
      <c r="O452" s="107"/>
      <c r="P452" s="107"/>
      <c r="Q452" s="107"/>
      <c r="R452" s="107"/>
      <c r="S452" s="107"/>
      <c r="T452" s="107"/>
      <c r="U452" s="107"/>
      <c r="V452" s="107"/>
      <c r="W452" s="107"/>
      <c r="X452" s="107"/>
      <c r="Y452" s="107"/>
      <c r="Z452" s="107"/>
      <c r="AA452" s="107"/>
    </row>
    <row r="453" spans="1:27" s="112" customFormat="1" ht="13.15">
      <c r="A453" s="107"/>
      <c r="B453" s="108">
        <v>537</v>
      </c>
      <c r="C453" s="109"/>
      <c r="D453" s="110" t="s">
        <v>241</v>
      </c>
      <c r="E453" s="110" t="s">
        <v>1100</v>
      </c>
      <c r="F453" s="110" t="s">
        <v>1100</v>
      </c>
      <c r="G453" s="107"/>
      <c r="H453" s="107"/>
      <c r="I453" s="107"/>
      <c r="J453" s="107"/>
      <c r="K453" s="107"/>
      <c r="L453" s="107"/>
      <c r="M453" s="107"/>
      <c r="N453" s="107"/>
      <c r="O453" s="107"/>
      <c r="P453" s="107"/>
      <c r="Q453" s="107"/>
      <c r="R453" s="107"/>
      <c r="S453" s="107"/>
      <c r="T453" s="107"/>
      <c r="U453" s="107"/>
      <c r="V453" s="107"/>
      <c r="W453" s="107"/>
      <c r="X453" s="107"/>
      <c r="Y453" s="107"/>
      <c r="Z453" s="107"/>
      <c r="AA453" s="107"/>
    </row>
    <row r="454" spans="1:27" s="112" customFormat="1" ht="13.15">
      <c r="A454" s="107"/>
      <c r="B454" s="108">
        <v>538</v>
      </c>
      <c r="C454" s="109"/>
      <c r="D454" s="110" t="s">
        <v>242</v>
      </c>
      <c r="E454" s="110" t="s">
        <v>1101</v>
      </c>
      <c r="F454" s="110" t="s">
        <v>1101</v>
      </c>
      <c r="G454" s="107"/>
      <c r="H454" s="107"/>
      <c r="I454" s="107"/>
      <c r="J454" s="107"/>
      <c r="K454" s="107"/>
      <c r="L454" s="107"/>
      <c r="M454" s="107"/>
      <c r="N454" s="107"/>
      <c r="O454" s="107"/>
      <c r="P454" s="107"/>
      <c r="Q454" s="107"/>
      <c r="R454" s="107"/>
      <c r="S454" s="107"/>
      <c r="T454" s="107"/>
      <c r="U454" s="107"/>
      <c r="V454" s="107"/>
      <c r="W454" s="107"/>
      <c r="X454" s="107"/>
      <c r="Y454" s="107"/>
      <c r="Z454" s="107"/>
      <c r="AA454" s="107"/>
    </row>
    <row r="455" spans="1:27" s="112" customFormat="1" ht="23.25">
      <c r="A455" s="107"/>
      <c r="B455" s="108">
        <v>539</v>
      </c>
      <c r="C455" s="109"/>
      <c r="D455" s="110" t="s">
        <v>243</v>
      </c>
      <c r="E455" s="110" t="s">
        <v>1315</v>
      </c>
      <c r="F455" s="110" t="s">
        <v>1315</v>
      </c>
      <c r="G455" s="107"/>
      <c r="H455" s="107"/>
      <c r="I455" s="107"/>
      <c r="J455" s="107"/>
      <c r="K455" s="107"/>
      <c r="L455" s="107"/>
      <c r="M455" s="107"/>
      <c r="N455" s="107"/>
      <c r="O455" s="107"/>
      <c r="P455" s="107"/>
      <c r="Q455" s="107"/>
      <c r="R455" s="107"/>
      <c r="S455" s="107"/>
      <c r="T455" s="107"/>
      <c r="U455" s="107"/>
      <c r="V455" s="107"/>
      <c r="W455" s="107"/>
      <c r="X455" s="107"/>
      <c r="Y455" s="107"/>
      <c r="Z455" s="107"/>
      <c r="AA455" s="107"/>
    </row>
    <row r="456" spans="1:27" s="112" customFormat="1" ht="13.15">
      <c r="A456" s="107"/>
      <c r="B456" s="108">
        <v>540</v>
      </c>
      <c r="C456" s="109"/>
      <c r="D456" s="110" t="s">
        <v>244</v>
      </c>
      <c r="E456" s="110" t="s">
        <v>1102</v>
      </c>
      <c r="F456" s="110" t="s">
        <v>1102</v>
      </c>
      <c r="G456" s="107"/>
      <c r="H456" s="107"/>
      <c r="I456" s="107"/>
      <c r="J456" s="107"/>
      <c r="K456" s="107"/>
      <c r="L456" s="107"/>
      <c r="M456" s="107"/>
      <c r="N456" s="107"/>
      <c r="O456" s="107"/>
      <c r="P456" s="107"/>
      <c r="Q456" s="107"/>
      <c r="R456" s="107"/>
      <c r="S456" s="107"/>
      <c r="T456" s="107"/>
      <c r="U456" s="107"/>
      <c r="V456" s="107"/>
      <c r="W456" s="107"/>
      <c r="X456" s="107"/>
      <c r="Y456" s="107"/>
      <c r="Z456" s="107"/>
      <c r="AA456" s="107"/>
    </row>
    <row r="457" spans="1:27" ht="13.15">
      <c r="B457" s="108">
        <v>541</v>
      </c>
      <c r="D457" s="110" t="s">
        <v>245</v>
      </c>
      <c r="E457" s="110" t="s">
        <v>1103</v>
      </c>
      <c r="F457" s="110" t="s">
        <v>1103</v>
      </c>
    </row>
    <row r="458" spans="1:27" ht="13.15">
      <c r="B458" s="108">
        <v>542</v>
      </c>
      <c r="D458" s="110" t="s">
        <v>246</v>
      </c>
      <c r="E458" s="110" t="s">
        <v>1104</v>
      </c>
      <c r="F458" s="110" t="s">
        <v>1104</v>
      </c>
    </row>
    <row r="459" spans="1:27" ht="23.25">
      <c r="B459" s="108">
        <v>543</v>
      </c>
      <c r="D459" s="110" t="s">
        <v>385</v>
      </c>
      <c r="E459" s="110" t="s">
        <v>1105</v>
      </c>
      <c r="F459" s="110" t="s">
        <v>1105</v>
      </c>
    </row>
    <row r="460" spans="1:27" ht="46.5">
      <c r="A460" s="111"/>
      <c r="B460" s="108">
        <v>544</v>
      </c>
      <c r="C460" s="117" t="s">
        <v>417</v>
      </c>
      <c r="D460" s="111" t="s">
        <v>430</v>
      </c>
      <c r="E460" s="111" t="s">
        <v>1106</v>
      </c>
      <c r="F460" s="111" t="s">
        <v>1106</v>
      </c>
    </row>
    <row r="461" spans="1:27" ht="39.4">
      <c r="B461" s="108">
        <v>545</v>
      </c>
      <c r="D461" s="110" t="s">
        <v>247</v>
      </c>
      <c r="E461" s="110" t="s">
        <v>1107</v>
      </c>
      <c r="F461" s="110" t="s">
        <v>1107</v>
      </c>
    </row>
    <row r="462" spans="1:27" ht="13.15">
      <c r="B462" s="108">
        <v>546</v>
      </c>
      <c r="D462" s="110" t="s">
        <v>248</v>
      </c>
      <c r="E462" s="110" t="s">
        <v>1108</v>
      </c>
      <c r="F462" s="110" t="s">
        <v>1108</v>
      </c>
    </row>
    <row r="463" spans="1:27" ht="13.15">
      <c r="B463" s="108">
        <v>547</v>
      </c>
      <c r="D463" s="110" t="s">
        <v>249</v>
      </c>
      <c r="E463" s="110" t="s">
        <v>1109</v>
      </c>
      <c r="F463" s="110" t="s">
        <v>1109</v>
      </c>
    </row>
    <row r="464" spans="1:27" ht="13.15">
      <c r="B464" s="108">
        <v>548</v>
      </c>
      <c r="D464" s="110" t="s">
        <v>250</v>
      </c>
      <c r="E464" s="110" t="s">
        <v>1110</v>
      </c>
      <c r="F464" s="110" t="s">
        <v>1110</v>
      </c>
    </row>
    <row r="465" spans="2:6" ht="23.25">
      <c r="B465" s="108">
        <v>549</v>
      </c>
      <c r="D465" s="110" t="s">
        <v>464</v>
      </c>
      <c r="E465" s="110" t="s">
        <v>1111</v>
      </c>
      <c r="F465" s="110" t="s">
        <v>1111</v>
      </c>
    </row>
    <row r="466" spans="2:6" ht="13.15">
      <c r="B466" s="108">
        <v>550</v>
      </c>
      <c r="D466" s="110" t="s">
        <v>251</v>
      </c>
      <c r="E466" s="110" t="s">
        <v>1112</v>
      </c>
      <c r="F466" s="110" t="s">
        <v>1112</v>
      </c>
    </row>
    <row r="467" spans="2:6" ht="13.15">
      <c r="B467" s="108">
        <v>551</v>
      </c>
      <c r="D467" s="110" t="s">
        <v>252</v>
      </c>
      <c r="E467" s="110" t="s">
        <v>1113</v>
      </c>
      <c r="F467" s="110" t="s">
        <v>1113</v>
      </c>
    </row>
    <row r="468" spans="2:6" ht="13.15">
      <c r="B468" s="108">
        <v>552</v>
      </c>
      <c r="D468" s="110" t="s">
        <v>253</v>
      </c>
      <c r="E468" s="110" t="s">
        <v>1114</v>
      </c>
      <c r="F468" s="110" t="s">
        <v>1114</v>
      </c>
    </row>
    <row r="469" spans="2:6" ht="23.25">
      <c r="B469" s="108">
        <v>553</v>
      </c>
      <c r="D469" s="110" t="s">
        <v>560</v>
      </c>
      <c r="E469" s="110" t="s">
        <v>1115</v>
      </c>
      <c r="F469" s="110" t="s">
        <v>1115</v>
      </c>
    </row>
    <row r="470" spans="2:6" ht="13.15">
      <c r="B470" s="108">
        <v>554</v>
      </c>
      <c r="D470" s="110" t="s">
        <v>561</v>
      </c>
      <c r="E470" s="110" t="s">
        <v>1116</v>
      </c>
      <c r="F470" s="110" t="s">
        <v>1116</v>
      </c>
    </row>
    <row r="471" spans="2:6" ht="13.15">
      <c r="B471" s="108">
        <v>555</v>
      </c>
      <c r="D471" s="110" t="s">
        <v>254</v>
      </c>
      <c r="E471" s="110" t="s">
        <v>1117</v>
      </c>
      <c r="F471" s="110" t="s">
        <v>1117</v>
      </c>
    </row>
    <row r="472" spans="2:6" ht="13.15">
      <c r="B472" s="108">
        <v>556</v>
      </c>
      <c r="D472" s="110" t="s">
        <v>386</v>
      </c>
      <c r="E472" s="110" t="s">
        <v>1118</v>
      </c>
      <c r="F472" s="110" t="s">
        <v>1118</v>
      </c>
    </row>
    <row r="473" spans="2:6" ht="23.25">
      <c r="B473" s="108">
        <v>557</v>
      </c>
      <c r="D473" s="110" t="s">
        <v>255</v>
      </c>
      <c r="E473" s="110" t="s">
        <v>1119</v>
      </c>
      <c r="F473" s="110" t="s">
        <v>1119</v>
      </c>
    </row>
    <row r="474" spans="2:6" ht="23.25">
      <c r="B474" s="108">
        <v>558</v>
      </c>
      <c r="D474" s="110" t="s">
        <v>387</v>
      </c>
      <c r="E474" s="110" t="s">
        <v>1120</v>
      </c>
      <c r="F474" s="110" t="s">
        <v>1120</v>
      </c>
    </row>
    <row r="475" spans="2:6" ht="26.25">
      <c r="B475" s="108">
        <v>559</v>
      </c>
      <c r="D475" s="110" t="s">
        <v>256</v>
      </c>
      <c r="E475" s="110" t="s">
        <v>1121</v>
      </c>
      <c r="F475" s="110" t="s">
        <v>1121</v>
      </c>
    </row>
    <row r="476" spans="2:6" ht="13.15">
      <c r="B476" s="108">
        <v>560</v>
      </c>
      <c r="D476" s="110" t="s">
        <v>257</v>
      </c>
      <c r="E476" s="110" t="s">
        <v>1122</v>
      </c>
      <c r="F476" s="110" t="s">
        <v>1122</v>
      </c>
    </row>
    <row r="477" spans="2:6" ht="13.15">
      <c r="B477" s="108">
        <v>561</v>
      </c>
      <c r="C477" s="109" t="s">
        <v>469</v>
      </c>
      <c r="D477" s="110" t="s">
        <v>468</v>
      </c>
      <c r="E477" s="110" t="s">
        <v>1123</v>
      </c>
      <c r="F477" s="110" t="s">
        <v>1123</v>
      </c>
    </row>
    <row r="478" spans="2:6" ht="26.25">
      <c r="B478" s="108">
        <v>562</v>
      </c>
      <c r="C478" s="109" t="s">
        <v>469</v>
      </c>
      <c r="D478" s="110" t="s">
        <v>465</v>
      </c>
      <c r="E478" s="110" t="s">
        <v>1124</v>
      </c>
      <c r="F478" s="110" t="s">
        <v>1124</v>
      </c>
    </row>
    <row r="479" spans="2:6">
      <c r="B479" s="108">
        <v>563</v>
      </c>
      <c r="D479" s="110" t="s">
        <v>1271</v>
      </c>
      <c r="E479" s="110" t="s">
        <v>1264</v>
      </c>
      <c r="F479" s="110" t="s">
        <v>1264</v>
      </c>
    </row>
    <row r="480" spans="2:6" ht="13.15">
      <c r="B480" s="108">
        <v>564</v>
      </c>
      <c r="D480" s="110" t="s">
        <v>258</v>
      </c>
      <c r="E480" s="110" t="s">
        <v>1125</v>
      </c>
      <c r="F480" s="110" t="s">
        <v>1125</v>
      </c>
    </row>
    <row r="481" spans="2:6" ht="34.9">
      <c r="B481" s="108">
        <v>565</v>
      </c>
      <c r="D481" s="110" t="s">
        <v>322</v>
      </c>
      <c r="E481" s="110" t="s">
        <v>1126</v>
      </c>
      <c r="F481" s="110" t="s">
        <v>1126</v>
      </c>
    </row>
    <row r="482" spans="2:6" ht="13.15">
      <c r="B482" s="108">
        <v>566</v>
      </c>
      <c r="D482" s="110" t="s">
        <v>259</v>
      </c>
      <c r="E482" s="110" t="s">
        <v>1127</v>
      </c>
      <c r="F482" s="110" t="s">
        <v>1127</v>
      </c>
    </row>
    <row r="483" spans="2:6" ht="13.15">
      <c r="B483" s="108">
        <v>567</v>
      </c>
      <c r="D483" s="110" t="s">
        <v>260</v>
      </c>
      <c r="E483" s="110" t="s">
        <v>1128</v>
      </c>
      <c r="F483" s="110" t="s">
        <v>1128</v>
      </c>
    </row>
    <row r="484" spans="2:6" ht="13.15">
      <c r="B484" s="108">
        <v>568</v>
      </c>
      <c r="D484" s="110" t="s">
        <v>261</v>
      </c>
      <c r="E484" s="110" t="s">
        <v>1129</v>
      </c>
      <c r="F484" s="110" t="s">
        <v>1129</v>
      </c>
    </row>
    <row r="485" spans="2:6" ht="13.15">
      <c r="B485" s="108">
        <v>569</v>
      </c>
      <c r="D485" s="110" t="s">
        <v>262</v>
      </c>
      <c r="E485" s="110" t="s">
        <v>1130</v>
      </c>
      <c r="F485" s="110" t="s">
        <v>1130</v>
      </c>
    </row>
    <row r="486" spans="2:6" ht="13.15">
      <c r="B486" s="108">
        <v>570</v>
      </c>
      <c r="D486" s="110" t="s">
        <v>263</v>
      </c>
      <c r="E486" s="110" t="s">
        <v>1131</v>
      </c>
      <c r="F486" s="110" t="s">
        <v>1131</v>
      </c>
    </row>
    <row r="487" spans="2:6" ht="34.9">
      <c r="B487" s="108">
        <v>571</v>
      </c>
      <c r="D487" s="110" t="s">
        <v>264</v>
      </c>
      <c r="E487" s="110" t="s">
        <v>1316</v>
      </c>
      <c r="F487" s="110" t="s">
        <v>1316</v>
      </c>
    </row>
    <row r="488" spans="2:6" ht="13.15">
      <c r="B488" s="108">
        <v>572</v>
      </c>
      <c r="D488" s="110" t="s">
        <v>265</v>
      </c>
      <c r="E488" s="110" t="s">
        <v>1132</v>
      </c>
      <c r="F488" s="110" t="s">
        <v>1132</v>
      </c>
    </row>
    <row r="489" spans="2:6" ht="13.15">
      <c r="B489" s="108">
        <v>573</v>
      </c>
      <c r="D489" s="110" t="s">
        <v>266</v>
      </c>
      <c r="E489" s="110" t="s">
        <v>1133</v>
      </c>
      <c r="F489" s="110" t="s">
        <v>1133</v>
      </c>
    </row>
    <row r="490" spans="2:6" ht="13.15">
      <c r="B490" s="108">
        <v>574</v>
      </c>
      <c r="D490" s="110" t="s">
        <v>267</v>
      </c>
      <c r="E490" s="110" t="s">
        <v>1134</v>
      </c>
      <c r="F490" s="110" t="s">
        <v>1134</v>
      </c>
    </row>
    <row r="491" spans="2:6" ht="26.25">
      <c r="B491" s="108">
        <v>575</v>
      </c>
      <c r="D491" s="110" t="s">
        <v>388</v>
      </c>
      <c r="E491" s="110" t="s">
        <v>1135</v>
      </c>
      <c r="F491" s="110" t="s">
        <v>1135</v>
      </c>
    </row>
    <row r="492" spans="2:6" ht="13.15">
      <c r="B492" s="108">
        <v>576</v>
      </c>
      <c r="D492" s="110" t="s">
        <v>268</v>
      </c>
      <c r="E492" s="110" t="s">
        <v>1136</v>
      </c>
      <c r="F492" s="110" t="s">
        <v>1136</v>
      </c>
    </row>
    <row r="493" spans="2:6" ht="13.15">
      <c r="B493" s="108">
        <v>577</v>
      </c>
      <c r="D493" s="110" t="s">
        <v>269</v>
      </c>
      <c r="E493" s="110" t="s">
        <v>1137</v>
      </c>
      <c r="F493" s="110" t="s">
        <v>1137</v>
      </c>
    </row>
    <row r="494" spans="2:6" ht="13.15">
      <c r="B494" s="108">
        <v>578</v>
      </c>
      <c r="D494" s="110" t="s">
        <v>565</v>
      </c>
      <c r="E494" s="110" t="s">
        <v>1138</v>
      </c>
      <c r="F494" s="110" t="s">
        <v>1138</v>
      </c>
    </row>
    <row r="495" spans="2:6" ht="13.15">
      <c r="B495" s="108">
        <v>579</v>
      </c>
      <c r="D495" s="110" t="s">
        <v>564</v>
      </c>
      <c r="E495" s="110" t="s">
        <v>1139</v>
      </c>
      <c r="F495" s="110" t="s">
        <v>1139</v>
      </c>
    </row>
    <row r="496" spans="2:6" ht="13.15">
      <c r="B496" s="108">
        <v>580</v>
      </c>
      <c r="D496" s="110" t="s">
        <v>270</v>
      </c>
      <c r="E496" s="110" t="s">
        <v>1140</v>
      </c>
      <c r="F496" s="110" t="s">
        <v>1140</v>
      </c>
    </row>
    <row r="497" spans="1:6" ht="13.15">
      <c r="B497" s="108">
        <v>581</v>
      </c>
      <c r="D497" s="110" t="s">
        <v>389</v>
      </c>
      <c r="E497" s="110" t="s">
        <v>1141</v>
      </c>
      <c r="F497" s="110" t="s">
        <v>1141</v>
      </c>
    </row>
    <row r="498" spans="1:6" ht="39.4">
      <c r="B498" s="108">
        <v>582</v>
      </c>
      <c r="D498" s="110" t="s">
        <v>390</v>
      </c>
      <c r="E498" s="110" t="s">
        <v>1142</v>
      </c>
      <c r="F498" s="110" t="s">
        <v>1142</v>
      </c>
    </row>
    <row r="499" spans="1:6" ht="13.15">
      <c r="B499" s="108">
        <v>583</v>
      </c>
      <c r="D499" s="110" t="s">
        <v>271</v>
      </c>
      <c r="E499" s="110" t="s">
        <v>1143</v>
      </c>
      <c r="F499" s="110" t="s">
        <v>1143</v>
      </c>
    </row>
    <row r="500" spans="1:6" ht="13.15">
      <c r="B500" s="108">
        <v>584</v>
      </c>
      <c r="D500" s="110" t="s">
        <v>272</v>
      </c>
      <c r="E500" s="110" t="s">
        <v>1144</v>
      </c>
      <c r="F500" s="110" t="s">
        <v>1144</v>
      </c>
    </row>
    <row r="501" spans="1:6" ht="13.15">
      <c r="B501" s="108">
        <v>585</v>
      </c>
      <c r="C501" s="109" t="s">
        <v>451</v>
      </c>
      <c r="D501" s="107" t="s">
        <v>446</v>
      </c>
      <c r="E501" s="115" t="s">
        <v>1145</v>
      </c>
      <c r="F501" s="115" t="s">
        <v>1145</v>
      </c>
    </row>
    <row r="502" spans="1:6" ht="13.15">
      <c r="B502" s="108">
        <v>586</v>
      </c>
      <c r="C502" s="109" t="s">
        <v>451</v>
      </c>
      <c r="D502" s="110" t="s">
        <v>444</v>
      </c>
      <c r="E502" s="115" t="s">
        <v>1146</v>
      </c>
      <c r="F502" s="115" t="s">
        <v>1146</v>
      </c>
    </row>
    <row r="503" spans="1:6" ht="13.15">
      <c r="B503" s="108">
        <v>587</v>
      </c>
      <c r="D503" s="110" t="s">
        <v>273</v>
      </c>
      <c r="E503" s="110" t="s">
        <v>1147</v>
      </c>
      <c r="F503" s="110" t="s">
        <v>1147</v>
      </c>
    </row>
    <row r="504" spans="1:6" ht="34.9">
      <c r="B504" s="108">
        <v>588</v>
      </c>
      <c r="D504" s="110" t="s">
        <v>274</v>
      </c>
      <c r="E504" s="110" t="s">
        <v>1265</v>
      </c>
      <c r="F504" s="110" t="s">
        <v>1265</v>
      </c>
    </row>
    <row r="505" spans="1:6" ht="13.15">
      <c r="B505" s="108">
        <v>589</v>
      </c>
      <c r="D505" s="110" t="s">
        <v>275</v>
      </c>
      <c r="E505" s="110" t="s">
        <v>1148</v>
      </c>
      <c r="F505" s="110" t="s">
        <v>1148</v>
      </c>
    </row>
    <row r="506" spans="1:6" ht="13.15">
      <c r="A506" s="112"/>
      <c r="B506" s="108">
        <v>590</v>
      </c>
      <c r="C506" s="113" t="s">
        <v>399</v>
      </c>
      <c r="D506" s="111" t="s">
        <v>405</v>
      </c>
      <c r="E506" s="111" t="s">
        <v>1149</v>
      </c>
      <c r="F506" s="111" t="s">
        <v>1149</v>
      </c>
    </row>
    <row r="507" spans="1:6" ht="13.15">
      <c r="A507" s="112"/>
      <c r="B507" s="108">
        <v>591</v>
      </c>
      <c r="C507" s="113" t="s">
        <v>399</v>
      </c>
      <c r="D507" s="111" t="s">
        <v>431</v>
      </c>
      <c r="E507" s="111" t="s">
        <v>1150</v>
      </c>
      <c r="F507" s="111" t="s">
        <v>1150</v>
      </c>
    </row>
    <row r="508" spans="1:6" ht="13.15">
      <c r="B508" s="108">
        <v>592</v>
      </c>
      <c r="D508" s="110" t="s">
        <v>276</v>
      </c>
      <c r="E508" s="111" t="s">
        <v>1151</v>
      </c>
      <c r="F508" s="111" t="s">
        <v>1151</v>
      </c>
    </row>
    <row r="509" spans="1:6" ht="13.15">
      <c r="B509" s="108">
        <v>593</v>
      </c>
      <c r="D509" s="110" t="s">
        <v>277</v>
      </c>
      <c r="E509" s="110" t="s">
        <v>1152</v>
      </c>
      <c r="F509" s="110" t="s">
        <v>1152</v>
      </c>
    </row>
    <row r="510" spans="1:6" ht="13.15">
      <c r="B510" s="108">
        <v>594</v>
      </c>
      <c r="D510" s="110" t="s">
        <v>278</v>
      </c>
      <c r="E510" s="110" t="s">
        <v>1153</v>
      </c>
      <c r="F510" s="110" t="s">
        <v>1153</v>
      </c>
    </row>
    <row r="511" spans="1:6" ht="23.25">
      <c r="B511" s="108">
        <v>595</v>
      </c>
      <c r="D511" s="110" t="s">
        <v>279</v>
      </c>
      <c r="E511" s="110" t="s">
        <v>1317</v>
      </c>
      <c r="F511" s="110" t="s">
        <v>1317</v>
      </c>
    </row>
    <row r="512" spans="1:6" ht="13.15">
      <c r="B512" s="108">
        <v>596</v>
      </c>
      <c r="D512" s="110" t="s">
        <v>280</v>
      </c>
      <c r="E512" s="110" t="s">
        <v>1154</v>
      </c>
      <c r="F512" s="110" t="s">
        <v>1154</v>
      </c>
    </row>
    <row r="513" spans="2:6" ht="34.9">
      <c r="B513" s="108">
        <v>597</v>
      </c>
      <c r="D513" s="110" t="s">
        <v>281</v>
      </c>
      <c r="E513" s="110" t="s">
        <v>1155</v>
      </c>
      <c r="F513" s="110" t="s">
        <v>1155</v>
      </c>
    </row>
    <row r="514" spans="2:6" ht="13.15">
      <c r="B514" s="108">
        <v>598</v>
      </c>
      <c r="D514" s="110" t="s">
        <v>282</v>
      </c>
      <c r="E514" s="110" t="s">
        <v>1156</v>
      </c>
      <c r="F514" s="110" t="s">
        <v>1156</v>
      </c>
    </row>
    <row r="515" spans="2:6" ht="13.15">
      <c r="B515" s="108">
        <v>599</v>
      </c>
      <c r="D515" s="110" t="s">
        <v>283</v>
      </c>
      <c r="E515" s="110" t="s">
        <v>1157</v>
      </c>
      <c r="F515" s="110" t="s">
        <v>1157</v>
      </c>
    </row>
    <row r="516" spans="2:6" ht="13.15">
      <c r="B516" s="108">
        <v>600</v>
      </c>
      <c r="D516" s="110" t="s">
        <v>284</v>
      </c>
      <c r="E516" s="110" t="s">
        <v>1158</v>
      </c>
      <c r="F516" s="110" t="s">
        <v>1158</v>
      </c>
    </row>
    <row r="517" spans="2:6" ht="13.15">
      <c r="B517" s="108">
        <v>601</v>
      </c>
      <c r="D517" s="110" t="s">
        <v>285</v>
      </c>
      <c r="E517" s="110" t="s">
        <v>1159</v>
      </c>
      <c r="F517" s="110" t="s">
        <v>1159</v>
      </c>
    </row>
    <row r="518" spans="2:6" ht="13.15">
      <c r="B518" s="108">
        <v>602</v>
      </c>
      <c r="D518" s="110" t="s">
        <v>286</v>
      </c>
      <c r="E518" s="110" t="s">
        <v>1160</v>
      </c>
      <c r="F518" s="110" t="s">
        <v>1160</v>
      </c>
    </row>
    <row r="519" spans="2:6" ht="13.15">
      <c r="B519" s="108">
        <v>603</v>
      </c>
      <c r="D519" s="110" t="s">
        <v>287</v>
      </c>
      <c r="E519" s="110" t="s">
        <v>1161</v>
      </c>
      <c r="F519" s="110" t="s">
        <v>1161</v>
      </c>
    </row>
    <row r="520" spans="2:6">
      <c r="B520" s="108">
        <v>604</v>
      </c>
      <c r="D520" s="110" t="s">
        <v>288</v>
      </c>
      <c r="E520" s="110" t="s">
        <v>288</v>
      </c>
      <c r="F520" s="110" t="s">
        <v>288</v>
      </c>
    </row>
    <row r="521" spans="2:6" ht="13.15">
      <c r="B521" s="108">
        <v>605</v>
      </c>
      <c r="D521" s="110" t="s">
        <v>391</v>
      </c>
      <c r="E521" s="110" t="s">
        <v>1162</v>
      </c>
      <c r="F521" s="110" t="s">
        <v>1162</v>
      </c>
    </row>
    <row r="522" spans="2:6" ht="26.25">
      <c r="B522" s="108">
        <v>606</v>
      </c>
      <c r="D522" s="110" t="s">
        <v>289</v>
      </c>
      <c r="E522" s="110" t="s">
        <v>1163</v>
      </c>
      <c r="F522" s="110" t="s">
        <v>1163</v>
      </c>
    </row>
    <row r="523" spans="2:6">
      <c r="B523" s="108">
        <v>607</v>
      </c>
      <c r="D523" s="110" t="s">
        <v>290</v>
      </c>
      <c r="E523" s="110" t="s">
        <v>290</v>
      </c>
      <c r="F523" s="110" t="s">
        <v>290</v>
      </c>
    </row>
    <row r="524" spans="2:6" ht="13.15">
      <c r="B524" s="108">
        <v>608</v>
      </c>
      <c r="D524" s="110" t="s">
        <v>552</v>
      </c>
      <c r="E524" s="110" t="s">
        <v>1164</v>
      </c>
      <c r="F524" s="110" t="s">
        <v>1164</v>
      </c>
    </row>
    <row r="525" spans="2:6" ht="13.15">
      <c r="B525" s="108">
        <v>609</v>
      </c>
      <c r="D525" s="110" t="s">
        <v>551</v>
      </c>
      <c r="E525" s="110" t="s">
        <v>1165</v>
      </c>
      <c r="F525" s="110" t="s">
        <v>1165</v>
      </c>
    </row>
    <row r="526" spans="2:6">
      <c r="B526" s="108">
        <v>610</v>
      </c>
      <c r="D526" s="110" t="s">
        <v>392</v>
      </c>
      <c r="F526" s="110"/>
    </row>
    <row r="527" spans="2:6" ht="13.15">
      <c r="B527" s="108">
        <v>611</v>
      </c>
      <c r="D527" s="110" t="s">
        <v>291</v>
      </c>
      <c r="E527" s="110" t="s">
        <v>1166</v>
      </c>
      <c r="F527" s="110" t="s">
        <v>1166</v>
      </c>
    </row>
    <row r="528" spans="2:6" ht="13.15">
      <c r="B528" s="108">
        <v>612</v>
      </c>
      <c r="C528" s="109" t="s">
        <v>469</v>
      </c>
      <c r="D528" s="110" t="s">
        <v>471</v>
      </c>
      <c r="E528" s="110" t="s">
        <v>1167</v>
      </c>
      <c r="F528" s="110" t="s">
        <v>1167</v>
      </c>
    </row>
    <row r="529" spans="2:6" ht="13.15">
      <c r="B529" s="108">
        <v>613</v>
      </c>
      <c r="D529" s="110" t="s">
        <v>393</v>
      </c>
      <c r="E529" s="110" t="s">
        <v>1168</v>
      </c>
      <c r="F529" s="110" t="s">
        <v>1168</v>
      </c>
    </row>
    <row r="530" spans="2:6" ht="13.15">
      <c r="B530" s="108">
        <v>614</v>
      </c>
      <c r="D530" s="110" t="s">
        <v>394</v>
      </c>
      <c r="E530" s="110" t="s">
        <v>1169</v>
      </c>
      <c r="F530" s="110" t="s">
        <v>1169</v>
      </c>
    </row>
    <row r="531" spans="2:6" ht="13.15">
      <c r="B531" s="108">
        <v>615</v>
      </c>
      <c r="D531" s="110" t="s">
        <v>395</v>
      </c>
      <c r="E531" s="110" t="s">
        <v>1168</v>
      </c>
      <c r="F531" s="110" t="s">
        <v>1168</v>
      </c>
    </row>
    <row r="532" spans="2:6">
      <c r="B532" s="108">
        <v>616</v>
      </c>
      <c r="D532" s="110" t="s">
        <v>1272</v>
      </c>
      <c r="E532" s="110" t="s">
        <v>1266</v>
      </c>
      <c r="F532" s="110" t="s">
        <v>1266</v>
      </c>
    </row>
    <row r="533" spans="2:6">
      <c r="B533" s="108">
        <v>617</v>
      </c>
      <c r="D533" s="110" t="s">
        <v>1273</v>
      </c>
      <c r="E533" s="110" t="s">
        <v>1267</v>
      </c>
      <c r="F533" s="110" t="s">
        <v>1267</v>
      </c>
    </row>
    <row r="534" spans="2:6">
      <c r="B534" s="108">
        <v>618</v>
      </c>
      <c r="D534" s="110" t="s">
        <v>1274</v>
      </c>
      <c r="E534" s="110" t="s">
        <v>1268</v>
      </c>
      <c r="F534" s="110" t="s">
        <v>1268</v>
      </c>
    </row>
    <row r="535" spans="2:6" ht="13.15">
      <c r="B535" s="108">
        <v>619</v>
      </c>
      <c r="D535" s="110" t="s">
        <v>571</v>
      </c>
      <c r="E535" s="110" t="s">
        <v>1170</v>
      </c>
      <c r="F535" s="110" t="s">
        <v>1170</v>
      </c>
    </row>
    <row r="536" spans="2:6" ht="13.15">
      <c r="B536" s="108">
        <v>620</v>
      </c>
      <c r="D536" s="110" t="s">
        <v>570</v>
      </c>
      <c r="E536" s="110" t="s">
        <v>1171</v>
      </c>
      <c r="F536" s="110" t="s">
        <v>1171</v>
      </c>
    </row>
    <row r="537" spans="2:6" ht="23.25">
      <c r="B537" s="108">
        <v>621</v>
      </c>
      <c r="C537" s="109" t="s">
        <v>500</v>
      </c>
      <c r="D537" s="110" t="s">
        <v>510</v>
      </c>
      <c r="E537" s="110" t="s">
        <v>1318</v>
      </c>
      <c r="F537" s="110" t="s">
        <v>1318</v>
      </c>
    </row>
    <row r="538" spans="2:6" ht="34.9">
      <c r="B538" s="108">
        <v>622</v>
      </c>
      <c r="C538" s="109" t="s">
        <v>500</v>
      </c>
      <c r="D538" s="110" t="s">
        <v>525</v>
      </c>
      <c r="E538" s="110" t="s">
        <v>1319</v>
      </c>
      <c r="F538" s="110" t="s">
        <v>1319</v>
      </c>
    </row>
    <row r="539" spans="2:6" ht="13.15">
      <c r="B539" s="108">
        <v>623</v>
      </c>
      <c r="D539" s="110" t="s">
        <v>292</v>
      </c>
      <c r="E539" s="110" t="s">
        <v>1172</v>
      </c>
      <c r="F539" s="110" t="s">
        <v>1172</v>
      </c>
    </row>
    <row r="540" spans="2:6" ht="13.15">
      <c r="B540" s="108">
        <v>624</v>
      </c>
      <c r="D540" s="110" t="s">
        <v>553</v>
      </c>
      <c r="E540" s="110" t="s">
        <v>1173</v>
      </c>
      <c r="F540" s="110" t="s">
        <v>1173</v>
      </c>
    </row>
    <row r="541" spans="2:6">
      <c r="B541" s="108">
        <v>625</v>
      </c>
      <c r="D541" s="110" t="s">
        <v>496</v>
      </c>
      <c r="E541" s="110" t="s">
        <v>496</v>
      </c>
      <c r="F541" s="110" t="s">
        <v>496</v>
      </c>
    </row>
    <row r="542" spans="2:6">
      <c r="B542" s="108">
        <v>626</v>
      </c>
      <c r="D542" s="110" t="s">
        <v>293</v>
      </c>
      <c r="F542" s="110"/>
    </row>
    <row r="543" spans="2:6">
      <c r="B543" s="108">
        <v>627</v>
      </c>
      <c r="D543" s="110" t="s">
        <v>294</v>
      </c>
      <c r="F543" s="110"/>
    </row>
    <row r="544" spans="2:6">
      <c r="B544" s="108">
        <v>628</v>
      </c>
      <c r="D544" s="110" t="s">
        <v>494</v>
      </c>
      <c r="E544" s="110" t="s">
        <v>495</v>
      </c>
      <c r="F544" s="110" t="s">
        <v>495</v>
      </c>
    </row>
    <row r="545" spans="1:6" ht="13.15">
      <c r="B545" s="108">
        <v>629</v>
      </c>
      <c r="D545" s="110" t="s">
        <v>295</v>
      </c>
      <c r="E545" s="110" t="s">
        <v>1174</v>
      </c>
      <c r="F545" s="110" t="s">
        <v>1174</v>
      </c>
    </row>
    <row r="546" spans="1:6" ht="13.15">
      <c r="B546" s="108">
        <v>630</v>
      </c>
      <c r="D546" s="110" t="s">
        <v>396</v>
      </c>
      <c r="E546" s="110" t="s">
        <v>1175</v>
      </c>
      <c r="F546" s="110" t="s">
        <v>1175</v>
      </c>
    </row>
    <row r="547" spans="1:6" ht="13.15">
      <c r="B547" s="108">
        <v>631</v>
      </c>
      <c r="D547" s="110" t="s">
        <v>296</v>
      </c>
      <c r="E547" s="110" t="s">
        <v>1176</v>
      </c>
      <c r="F547" s="110" t="s">
        <v>1176</v>
      </c>
    </row>
    <row r="548" spans="1:6" ht="13.15">
      <c r="B548" s="108">
        <v>632</v>
      </c>
      <c r="D548" s="110" t="s">
        <v>325</v>
      </c>
      <c r="E548" s="110" t="s">
        <v>1177</v>
      </c>
      <c r="F548" s="110" t="s">
        <v>1177</v>
      </c>
    </row>
    <row r="549" spans="1:6" ht="13.15">
      <c r="B549" s="108">
        <v>633</v>
      </c>
      <c r="D549" s="110" t="s">
        <v>297</v>
      </c>
      <c r="E549" s="110" t="s">
        <v>1444</v>
      </c>
      <c r="F549" s="110" t="s">
        <v>1444</v>
      </c>
    </row>
    <row r="550" spans="1:6" ht="26.25">
      <c r="A550" s="111"/>
      <c r="B550" s="108">
        <v>634</v>
      </c>
      <c r="C550" s="111"/>
      <c r="D550" s="111" t="s">
        <v>432</v>
      </c>
      <c r="E550" s="111" t="s">
        <v>1178</v>
      </c>
      <c r="F550" s="111" t="s">
        <v>1178</v>
      </c>
    </row>
    <row r="551" spans="1:6" ht="13.15">
      <c r="B551" s="108">
        <v>635</v>
      </c>
      <c r="C551" s="109" t="s">
        <v>500</v>
      </c>
      <c r="D551" s="110" t="s">
        <v>507</v>
      </c>
      <c r="E551" s="110" t="s">
        <v>1179</v>
      </c>
      <c r="F551" s="110" t="s">
        <v>1179</v>
      </c>
    </row>
    <row r="552" spans="1:6" ht="13.15">
      <c r="B552" s="108">
        <v>636</v>
      </c>
      <c r="C552" s="109" t="s">
        <v>500</v>
      </c>
      <c r="D552" s="110" t="s">
        <v>595</v>
      </c>
      <c r="E552" s="110" t="s">
        <v>1180</v>
      </c>
      <c r="F552" s="110" t="s">
        <v>1180</v>
      </c>
    </row>
    <row r="553" spans="1:6">
      <c r="B553" s="108">
        <v>637</v>
      </c>
      <c r="D553" s="110" t="s">
        <v>298</v>
      </c>
      <c r="E553" s="110" t="s">
        <v>298</v>
      </c>
      <c r="F553" s="110" t="s">
        <v>298</v>
      </c>
    </row>
    <row r="554" spans="1:6" ht="13.15">
      <c r="B554" s="108">
        <v>638</v>
      </c>
      <c r="D554" s="110" t="s">
        <v>299</v>
      </c>
      <c r="E554" s="110" t="s">
        <v>1181</v>
      </c>
      <c r="F554" s="110" t="s">
        <v>1181</v>
      </c>
    </row>
    <row r="555" spans="1:6" ht="13.15">
      <c r="B555" s="108">
        <v>639</v>
      </c>
      <c r="D555" s="110" t="s">
        <v>300</v>
      </c>
      <c r="E555" s="110" t="s">
        <v>1182</v>
      </c>
      <c r="F555" s="110" t="s">
        <v>1182</v>
      </c>
    </row>
    <row r="556" spans="1:6" ht="13.15">
      <c r="B556" s="108">
        <v>640</v>
      </c>
      <c r="D556" s="110" t="s">
        <v>397</v>
      </c>
      <c r="E556" s="110" t="s">
        <v>1183</v>
      </c>
      <c r="F556" s="110" t="s">
        <v>1183</v>
      </c>
    </row>
    <row r="557" spans="1:6" ht="23.25">
      <c r="B557" s="108">
        <v>641</v>
      </c>
      <c r="C557" s="109" t="s">
        <v>500</v>
      </c>
      <c r="D557" s="110" t="s">
        <v>526</v>
      </c>
      <c r="E557" s="110" t="s">
        <v>1184</v>
      </c>
      <c r="F557" s="110" t="s">
        <v>1184</v>
      </c>
    </row>
    <row r="558" spans="1:6" ht="13.15">
      <c r="B558" s="108">
        <v>642</v>
      </c>
      <c r="D558" s="110" t="s">
        <v>301</v>
      </c>
      <c r="E558" s="110" t="s">
        <v>1185</v>
      </c>
      <c r="F558" s="110" t="s">
        <v>1185</v>
      </c>
    </row>
    <row r="559" spans="1:6" ht="39.4">
      <c r="B559" s="108">
        <v>643</v>
      </c>
      <c r="C559" s="109" t="s">
        <v>500</v>
      </c>
      <c r="D559" s="110" t="s">
        <v>533</v>
      </c>
      <c r="E559" s="110" t="s">
        <v>1186</v>
      </c>
      <c r="F559" s="110" t="s">
        <v>1186</v>
      </c>
    </row>
    <row r="560" spans="1:6" ht="13.15">
      <c r="B560" s="108">
        <v>644</v>
      </c>
      <c r="D560" s="110" t="s">
        <v>302</v>
      </c>
      <c r="E560" s="110" t="s">
        <v>1187</v>
      </c>
      <c r="F560" s="110" t="s">
        <v>1187</v>
      </c>
    </row>
    <row r="561" spans="2:27" ht="13.15">
      <c r="B561" s="108">
        <v>645</v>
      </c>
      <c r="D561" s="110" t="s">
        <v>303</v>
      </c>
      <c r="E561" s="110" t="s">
        <v>1188</v>
      </c>
      <c r="F561" s="110" t="s">
        <v>1188</v>
      </c>
    </row>
    <row r="562" spans="2:27" ht="13.15">
      <c r="B562" s="108">
        <v>646</v>
      </c>
      <c r="D562" s="110" t="s">
        <v>398</v>
      </c>
      <c r="E562" s="110" t="s">
        <v>1189</v>
      </c>
      <c r="F562" s="110" t="s">
        <v>1189</v>
      </c>
    </row>
    <row r="563" spans="2:27" ht="26.25">
      <c r="B563" s="108">
        <v>647</v>
      </c>
      <c r="D563" s="110" t="s">
        <v>304</v>
      </c>
      <c r="E563" s="110" t="s">
        <v>1190</v>
      </c>
      <c r="F563" s="110" t="s">
        <v>1190</v>
      </c>
    </row>
    <row r="564" spans="2:27" ht="13.15">
      <c r="B564" s="108">
        <v>648</v>
      </c>
      <c r="D564" s="110" t="s">
        <v>305</v>
      </c>
      <c r="E564" s="110" t="s">
        <v>1188</v>
      </c>
      <c r="F564" s="110" t="s">
        <v>1188</v>
      </c>
    </row>
    <row r="565" spans="2:27" ht="13.15">
      <c r="B565" s="108">
        <v>649</v>
      </c>
      <c r="D565" s="110" t="s">
        <v>306</v>
      </c>
      <c r="E565" s="110" t="s">
        <v>1191</v>
      </c>
      <c r="F565" s="110" t="s">
        <v>1191</v>
      </c>
    </row>
    <row r="566" spans="2:27" ht="13.15">
      <c r="B566" s="108">
        <v>650</v>
      </c>
      <c r="D566" s="110" t="s">
        <v>307</v>
      </c>
      <c r="E566" s="110" t="s">
        <v>1192</v>
      </c>
      <c r="F566" s="110" t="s">
        <v>1192</v>
      </c>
    </row>
    <row r="567" spans="2:27" ht="13.15">
      <c r="B567" s="108">
        <v>651</v>
      </c>
      <c r="D567" s="110" t="s">
        <v>308</v>
      </c>
      <c r="E567" s="110" t="s">
        <v>1193</v>
      </c>
      <c r="F567" s="110" t="s">
        <v>1193</v>
      </c>
    </row>
    <row r="568" spans="2:27" ht="13.15">
      <c r="B568" s="108">
        <v>652</v>
      </c>
      <c r="D568" s="110" t="s">
        <v>309</v>
      </c>
      <c r="E568" s="110" t="s">
        <v>1194</v>
      </c>
      <c r="F568" s="110" t="s">
        <v>1194</v>
      </c>
      <c r="H568" s="111"/>
      <c r="I568" s="111"/>
      <c r="J568" s="111"/>
      <c r="K568" s="111"/>
      <c r="L568" s="111"/>
      <c r="M568" s="111"/>
      <c r="N568" s="111"/>
      <c r="O568" s="111"/>
      <c r="P568" s="111"/>
      <c r="Q568" s="111"/>
      <c r="R568" s="111"/>
      <c r="S568" s="111"/>
      <c r="T568" s="111"/>
      <c r="U568" s="111"/>
      <c r="V568" s="111"/>
      <c r="W568" s="111"/>
      <c r="X568" s="111"/>
      <c r="Y568" s="111"/>
      <c r="Z568" s="111"/>
      <c r="AA568" s="111"/>
    </row>
    <row r="569" spans="2:27" ht="13.15">
      <c r="B569" s="108">
        <v>653</v>
      </c>
      <c r="D569" s="110" t="s">
        <v>310</v>
      </c>
      <c r="E569" s="110" t="s">
        <v>1195</v>
      </c>
      <c r="F569" s="110" t="s">
        <v>1195</v>
      </c>
      <c r="H569" s="111"/>
      <c r="I569" s="111"/>
      <c r="J569" s="111"/>
      <c r="K569" s="111"/>
      <c r="L569" s="111"/>
      <c r="M569" s="111"/>
      <c r="N569" s="111"/>
      <c r="O569" s="111"/>
      <c r="P569" s="111"/>
      <c r="Q569" s="111"/>
      <c r="R569" s="111"/>
      <c r="S569" s="111"/>
      <c r="T569" s="111"/>
      <c r="U569" s="111"/>
      <c r="V569" s="111"/>
      <c r="W569" s="111"/>
      <c r="X569" s="111"/>
      <c r="Y569" s="111"/>
      <c r="Z569" s="111"/>
      <c r="AA569" s="111"/>
    </row>
    <row r="570" spans="2:27" ht="13.15">
      <c r="B570" s="108">
        <v>654</v>
      </c>
      <c r="D570" s="110" t="s">
        <v>311</v>
      </c>
      <c r="E570" s="110" t="s">
        <v>1187</v>
      </c>
      <c r="F570" s="110" t="s">
        <v>1187</v>
      </c>
      <c r="H570" s="112"/>
      <c r="I570" s="112"/>
      <c r="J570" s="112"/>
      <c r="K570" s="112"/>
      <c r="L570" s="112"/>
      <c r="M570" s="112"/>
      <c r="N570" s="112"/>
      <c r="O570" s="112"/>
      <c r="P570" s="112"/>
      <c r="Q570" s="112"/>
      <c r="R570" s="112"/>
      <c r="S570" s="112"/>
      <c r="T570" s="112"/>
      <c r="U570" s="112"/>
      <c r="V570" s="112"/>
      <c r="W570" s="112"/>
      <c r="X570" s="112"/>
      <c r="Y570" s="112"/>
      <c r="Z570" s="112"/>
      <c r="AA570" s="112"/>
    </row>
    <row r="571" spans="2:27">
      <c r="B571" s="108">
        <v>655</v>
      </c>
      <c r="C571" s="109" t="s">
        <v>500</v>
      </c>
      <c r="D571" s="110" t="s">
        <v>527</v>
      </c>
      <c r="E571" s="110" t="s">
        <v>1320</v>
      </c>
      <c r="F571" s="110" t="s">
        <v>1320</v>
      </c>
    </row>
    <row r="572" spans="2:27" ht="26.25">
      <c r="B572" s="108">
        <v>656</v>
      </c>
      <c r="D572" s="110" t="s">
        <v>312</v>
      </c>
      <c r="E572" s="110" t="s">
        <v>1196</v>
      </c>
      <c r="F572" s="110" t="s">
        <v>1196</v>
      </c>
      <c r="H572" s="112"/>
      <c r="I572" s="112"/>
      <c r="J572" s="112"/>
      <c r="K572" s="112"/>
      <c r="L572" s="112"/>
      <c r="M572" s="112"/>
      <c r="N572" s="112"/>
      <c r="O572" s="112"/>
      <c r="P572" s="112"/>
      <c r="Q572" s="112"/>
      <c r="R572" s="112"/>
      <c r="S572" s="112"/>
      <c r="T572" s="112"/>
      <c r="U572" s="112"/>
      <c r="V572" s="112"/>
      <c r="W572" s="112"/>
      <c r="X572" s="112"/>
      <c r="Y572" s="112"/>
      <c r="Z572" s="112"/>
      <c r="AA572" s="112"/>
    </row>
    <row r="573" spans="2:27" ht="39.4">
      <c r="B573" s="108">
        <v>657</v>
      </c>
      <c r="D573" s="110" t="s">
        <v>313</v>
      </c>
      <c r="E573" s="110" t="s">
        <v>1197</v>
      </c>
      <c r="F573" s="110" t="s">
        <v>1197</v>
      </c>
      <c r="H573" s="112"/>
      <c r="I573" s="112"/>
      <c r="J573" s="112"/>
      <c r="K573" s="112"/>
      <c r="L573" s="112"/>
      <c r="M573" s="112"/>
      <c r="N573" s="112"/>
      <c r="O573" s="112"/>
      <c r="P573" s="112"/>
      <c r="Q573" s="112"/>
      <c r="R573" s="112"/>
      <c r="S573" s="112"/>
      <c r="T573" s="112"/>
      <c r="U573" s="112"/>
      <c r="V573" s="112"/>
      <c r="W573" s="112"/>
      <c r="X573" s="112"/>
      <c r="Y573" s="112"/>
      <c r="Z573" s="112"/>
      <c r="AA573" s="112"/>
    </row>
    <row r="574" spans="2:27" ht="13.15">
      <c r="B574" s="108">
        <v>658</v>
      </c>
      <c r="D574" s="110" t="s">
        <v>314</v>
      </c>
      <c r="E574" s="110" t="s">
        <v>1198</v>
      </c>
      <c r="F574" s="110" t="s">
        <v>1198</v>
      </c>
      <c r="H574" s="112"/>
      <c r="I574" s="112"/>
      <c r="J574" s="112"/>
      <c r="K574" s="112"/>
      <c r="L574" s="112"/>
      <c r="M574" s="112"/>
      <c r="N574" s="112"/>
      <c r="O574" s="112"/>
      <c r="P574" s="112"/>
      <c r="Q574" s="112"/>
      <c r="R574" s="112"/>
      <c r="S574" s="112"/>
      <c r="T574" s="112"/>
      <c r="U574" s="112"/>
      <c r="V574" s="112"/>
      <c r="W574" s="112"/>
      <c r="X574" s="112"/>
      <c r="Y574" s="112"/>
      <c r="Z574" s="112"/>
      <c r="AA574" s="112"/>
    </row>
    <row r="575" spans="2:27" ht="39.4">
      <c r="B575" s="108">
        <v>659</v>
      </c>
      <c r="D575" s="110" t="s">
        <v>315</v>
      </c>
      <c r="E575" s="110" t="s">
        <v>1199</v>
      </c>
      <c r="F575" s="110" t="s">
        <v>1199</v>
      </c>
      <c r="H575" s="112"/>
      <c r="I575" s="112"/>
      <c r="J575" s="112"/>
      <c r="K575" s="112"/>
      <c r="L575" s="112"/>
      <c r="M575" s="112"/>
      <c r="N575" s="112"/>
      <c r="O575" s="112"/>
      <c r="P575" s="112"/>
      <c r="Q575" s="112"/>
      <c r="R575" s="112"/>
      <c r="S575" s="112"/>
      <c r="T575" s="112"/>
      <c r="U575" s="112"/>
      <c r="V575" s="112"/>
      <c r="W575" s="112"/>
      <c r="X575" s="112"/>
      <c r="Y575" s="112"/>
      <c r="Z575" s="112"/>
      <c r="AA575" s="112"/>
    </row>
    <row r="576" spans="2:27" ht="13.15">
      <c r="B576" s="108">
        <v>660</v>
      </c>
      <c r="D576" s="110" t="s">
        <v>316</v>
      </c>
      <c r="E576" s="110" t="s">
        <v>1200</v>
      </c>
      <c r="F576" s="110" t="s">
        <v>1200</v>
      </c>
      <c r="H576" s="112"/>
      <c r="I576" s="112"/>
      <c r="J576" s="112"/>
      <c r="K576" s="112"/>
      <c r="L576" s="112"/>
      <c r="M576" s="112"/>
      <c r="N576" s="112"/>
      <c r="O576" s="112"/>
      <c r="P576" s="112"/>
      <c r="Q576" s="112"/>
      <c r="R576" s="112"/>
      <c r="S576" s="112"/>
      <c r="T576" s="112"/>
      <c r="U576" s="112"/>
      <c r="V576" s="112"/>
      <c r="W576" s="112"/>
      <c r="X576" s="112"/>
      <c r="Y576" s="112"/>
      <c r="Z576" s="112"/>
      <c r="AA576" s="112"/>
    </row>
    <row r="577" spans="2:27" ht="13.15">
      <c r="B577" s="108">
        <v>661</v>
      </c>
      <c r="D577" s="110" t="s">
        <v>317</v>
      </c>
      <c r="E577" s="110" t="s">
        <v>1201</v>
      </c>
      <c r="F577" s="110" t="s">
        <v>1201</v>
      </c>
      <c r="H577" s="112"/>
      <c r="I577" s="112"/>
      <c r="J577" s="112"/>
      <c r="K577" s="112"/>
      <c r="L577" s="112"/>
      <c r="M577" s="112"/>
      <c r="N577" s="112"/>
      <c r="O577" s="112"/>
      <c r="P577" s="112"/>
      <c r="Q577" s="112"/>
      <c r="R577" s="112"/>
      <c r="S577" s="112"/>
      <c r="T577" s="112"/>
      <c r="U577" s="112"/>
      <c r="V577" s="112"/>
      <c r="W577" s="112"/>
      <c r="X577" s="112"/>
      <c r="Y577" s="112"/>
      <c r="Z577" s="112"/>
      <c r="AA577" s="112"/>
    </row>
    <row r="578" spans="2:27" ht="13.15">
      <c r="B578" s="108">
        <v>662</v>
      </c>
      <c r="D578" s="110" t="s">
        <v>318</v>
      </c>
      <c r="E578" s="110" t="s">
        <v>1202</v>
      </c>
      <c r="F578" s="110" t="s">
        <v>1202</v>
      </c>
      <c r="H578" s="112"/>
      <c r="I578" s="112"/>
      <c r="J578" s="112"/>
      <c r="K578" s="112"/>
      <c r="L578" s="112"/>
      <c r="M578" s="112"/>
      <c r="N578" s="112"/>
      <c r="O578" s="112"/>
      <c r="P578" s="112"/>
      <c r="Q578" s="112"/>
      <c r="R578" s="112"/>
      <c r="S578" s="112"/>
      <c r="T578" s="112"/>
      <c r="U578" s="112"/>
      <c r="V578" s="112"/>
      <c r="W578" s="112"/>
      <c r="X578" s="112"/>
      <c r="Y578" s="112"/>
      <c r="Z578" s="112"/>
      <c r="AA578" s="112"/>
    </row>
    <row r="579" spans="2:27" ht="13.15">
      <c r="B579" s="108">
        <v>663</v>
      </c>
      <c r="D579" s="110" t="s">
        <v>319</v>
      </c>
      <c r="E579" s="110" t="s">
        <v>1203</v>
      </c>
      <c r="F579" s="110" t="s">
        <v>1203</v>
      </c>
      <c r="H579" s="112"/>
      <c r="I579" s="112"/>
      <c r="J579" s="112"/>
      <c r="K579" s="112"/>
      <c r="L579" s="112"/>
      <c r="M579" s="112"/>
      <c r="N579" s="112"/>
      <c r="O579" s="112"/>
      <c r="P579" s="112"/>
      <c r="Q579" s="112"/>
      <c r="R579" s="112"/>
      <c r="S579" s="112"/>
      <c r="T579" s="112"/>
      <c r="U579" s="112"/>
      <c r="V579" s="112"/>
      <c r="W579" s="112"/>
      <c r="X579" s="112"/>
      <c r="Y579" s="112"/>
      <c r="Z579" s="112"/>
      <c r="AA579" s="112"/>
    </row>
    <row r="580" spans="2:27" ht="13.15">
      <c r="B580" s="108">
        <v>664</v>
      </c>
      <c r="D580" s="110" t="s">
        <v>320</v>
      </c>
      <c r="E580" s="110" t="s">
        <v>1204</v>
      </c>
      <c r="F580" s="110" t="s">
        <v>1204</v>
      </c>
      <c r="H580" s="112"/>
      <c r="I580" s="112"/>
      <c r="J580" s="112"/>
      <c r="K580" s="112"/>
      <c r="L580" s="112"/>
      <c r="M580" s="112"/>
      <c r="N580" s="112"/>
      <c r="O580" s="112"/>
      <c r="P580" s="112"/>
      <c r="Q580" s="112"/>
      <c r="R580" s="112"/>
      <c r="S580" s="112"/>
      <c r="T580" s="112"/>
      <c r="U580" s="112"/>
      <c r="V580" s="112"/>
      <c r="W580" s="112"/>
      <c r="X580" s="112"/>
      <c r="Y580" s="112"/>
      <c r="Z580" s="112"/>
      <c r="AA580" s="112"/>
    </row>
    <row r="581" spans="2:27" ht="13.15">
      <c r="B581" s="108">
        <v>665</v>
      </c>
      <c r="D581" s="110" t="s">
        <v>321</v>
      </c>
      <c r="E581" s="110" t="s">
        <v>1205</v>
      </c>
      <c r="F581" s="110" t="s">
        <v>1205</v>
      </c>
      <c r="H581" s="112"/>
      <c r="I581" s="112"/>
      <c r="J581" s="112"/>
      <c r="K581" s="112"/>
      <c r="L581" s="112"/>
      <c r="M581" s="112"/>
      <c r="N581" s="112"/>
      <c r="O581" s="112"/>
      <c r="P581" s="112"/>
      <c r="Q581" s="112"/>
      <c r="R581" s="112"/>
      <c r="S581" s="112"/>
      <c r="T581" s="112"/>
      <c r="U581" s="112"/>
      <c r="V581" s="112"/>
      <c r="W581" s="112"/>
      <c r="X581" s="112"/>
      <c r="Y581" s="112"/>
      <c r="Z581" s="112"/>
      <c r="AA581" s="112"/>
    </row>
    <row r="582" spans="2:27" ht="13.15">
      <c r="B582" s="108">
        <v>666</v>
      </c>
      <c r="D582" s="110" t="s">
        <v>603</v>
      </c>
      <c r="E582" s="110" t="s">
        <v>1206</v>
      </c>
      <c r="F582" s="110" t="s">
        <v>1206</v>
      </c>
    </row>
    <row r="583" spans="2:27" ht="13.15">
      <c r="B583" s="108">
        <v>667</v>
      </c>
      <c r="D583" s="110" t="s">
        <v>604</v>
      </c>
      <c r="E583" s="110" t="s">
        <v>1207</v>
      </c>
      <c r="F583" s="110" t="s">
        <v>1207</v>
      </c>
    </row>
    <row r="584" spans="2:27" ht="13.15">
      <c r="B584" s="108">
        <v>668</v>
      </c>
      <c r="D584" s="110" t="s">
        <v>596</v>
      </c>
      <c r="E584" s="110" t="s">
        <v>1208</v>
      </c>
      <c r="F584" s="110" t="s">
        <v>1208</v>
      </c>
    </row>
    <row r="585" spans="2:27" ht="13.15">
      <c r="B585" s="108">
        <v>669</v>
      </c>
      <c r="D585" s="110" t="s">
        <v>602</v>
      </c>
      <c r="E585" s="110" t="s">
        <v>1209</v>
      </c>
      <c r="F585" s="110" t="s">
        <v>1209</v>
      </c>
    </row>
    <row r="586" spans="2:27" ht="13.15">
      <c r="B586" s="108">
        <v>670</v>
      </c>
      <c r="D586" s="110" t="s">
        <v>599</v>
      </c>
      <c r="E586" s="110" t="s">
        <v>1210</v>
      </c>
      <c r="F586" s="110" t="s">
        <v>1210</v>
      </c>
    </row>
    <row r="587" spans="2:27" ht="13.15">
      <c r="B587" s="108">
        <v>671</v>
      </c>
      <c r="D587" s="110" t="s">
        <v>600</v>
      </c>
      <c r="E587" s="110" t="s">
        <v>1211</v>
      </c>
      <c r="F587" s="110" t="s">
        <v>1211</v>
      </c>
    </row>
    <row r="588" spans="2:27" ht="13.15">
      <c r="B588" s="108">
        <v>672</v>
      </c>
      <c r="D588" s="110" t="s">
        <v>601</v>
      </c>
      <c r="E588" s="110" t="s">
        <v>1212</v>
      </c>
      <c r="F588" s="110" t="s">
        <v>1212</v>
      </c>
    </row>
    <row r="589" spans="2:27" ht="13.15">
      <c r="B589" s="108">
        <v>673</v>
      </c>
      <c r="D589" s="110" t="s">
        <v>605</v>
      </c>
      <c r="E589" s="110" t="s">
        <v>1213</v>
      </c>
      <c r="F589" s="110" t="s">
        <v>1213</v>
      </c>
    </row>
    <row r="590" spans="2:27" ht="13.15">
      <c r="B590" s="108">
        <v>674</v>
      </c>
      <c r="D590" s="110" t="s">
        <v>689</v>
      </c>
      <c r="E590" s="110" t="s">
        <v>1214</v>
      </c>
      <c r="F590" s="110" t="s">
        <v>1214</v>
      </c>
    </row>
    <row r="591" spans="2:27" ht="13.15">
      <c r="B591" s="108">
        <v>675</v>
      </c>
      <c r="D591" s="110" t="s">
        <v>691</v>
      </c>
      <c r="E591" s="110" t="s">
        <v>1215</v>
      </c>
      <c r="F591" s="110" t="s">
        <v>1215</v>
      </c>
    </row>
    <row r="592" spans="2:27" ht="13.15">
      <c r="B592" s="108">
        <v>676</v>
      </c>
      <c r="D592" s="110" t="s">
        <v>692</v>
      </c>
      <c r="E592" s="110" t="s">
        <v>1216</v>
      </c>
      <c r="F592" s="110" t="s">
        <v>1216</v>
      </c>
    </row>
    <row r="593" spans="2:6" ht="13.15">
      <c r="B593" s="108">
        <v>677</v>
      </c>
      <c r="D593" s="110" t="s">
        <v>693</v>
      </c>
      <c r="E593" s="110" t="s">
        <v>1217</v>
      </c>
      <c r="F593" s="107" t="s">
        <v>1217</v>
      </c>
    </row>
    <row r="594" spans="2:6" ht="13.15">
      <c r="B594" s="108">
        <v>678</v>
      </c>
      <c r="D594" s="110" t="s">
        <v>694</v>
      </c>
      <c r="E594" s="110" t="s">
        <v>1218</v>
      </c>
      <c r="F594" s="110" t="s">
        <v>1218</v>
      </c>
    </row>
    <row r="595" spans="2:6" ht="13.15">
      <c r="B595" s="108">
        <v>679</v>
      </c>
      <c r="D595" s="110" t="s">
        <v>1219</v>
      </c>
      <c r="E595" s="110" t="s">
        <v>1220</v>
      </c>
      <c r="F595" s="110" t="s">
        <v>1220</v>
      </c>
    </row>
    <row r="596" spans="2:6" ht="13.15">
      <c r="B596" s="108">
        <v>680</v>
      </c>
      <c r="D596" s="110" t="s">
        <v>1221</v>
      </c>
      <c r="E596" s="125" t="s">
        <v>1223</v>
      </c>
      <c r="F596" s="125" t="s">
        <v>1223</v>
      </c>
    </row>
    <row r="597" spans="2:6" ht="13.15">
      <c r="B597" s="108">
        <v>681</v>
      </c>
      <c r="D597" s="110" t="s">
        <v>1222</v>
      </c>
      <c r="E597" s="125" t="s">
        <v>1224</v>
      </c>
      <c r="F597" s="125" t="s">
        <v>1224</v>
      </c>
    </row>
    <row r="598" spans="2:6">
      <c r="B598" s="108">
        <v>682</v>
      </c>
      <c r="D598" s="110" t="s">
        <v>1234</v>
      </c>
      <c r="E598" s="127" t="s">
        <v>1235</v>
      </c>
      <c r="F598" s="127" t="s">
        <v>1235</v>
      </c>
    </row>
    <row r="599" spans="2:6">
      <c r="B599" s="108">
        <v>683</v>
      </c>
      <c r="D599" s="110" t="s">
        <v>1236</v>
      </c>
      <c r="E599" s="127" t="s">
        <v>1238</v>
      </c>
      <c r="F599" s="127" t="s">
        <v>1238</v>
      </c>
    </row>
    <row r="600" spans="2:6">
      <c r="B600" s="108">
        <v>684</v>
      </c>
      <c r="D600" s="110" t="s">
        <v>1300</v>
      </c>
      <c r="E600" s="110" t="s">
        <v>1237</v>
      </c>
      <c r="F600" s="110" t="s">
        <v>1237</v>
      </c>
    </row>
    <row r="601" spans="2:6" ht="13.15">
      <c r="B601" s="108">
        <v>685</v>
      </c>
      <c r="D601" s="110" t="s">
        <v>1241</v>
      </c>
      <c r="E601" s="126" t="s">
        <v>1242</v>
      </c>
      <c r="F601" s="126" t="s">
        <v>1242</v>
      </c>
    </row>
    <row r="602" spans="2:6" ht="13.15">
      <c r="B602" s="108">
        <v>686</v>
      </c>
      <c r="D602" s="110" t="s">
        <v>1245</v>
      </c>
      <c r="E602" s="133" t="s">
        <v>1246</v>
      </c>
      <c r="F602" s="133" t="s">
        <v>1246</v>
      </c>
    </row>
    <row r="603" spans="2:6" ht="13.15">
      <c r="B603" s="108">
        <v>687</v>
      </c>
      <c r="D603" s="110" t="s">
        <v>1257</v>
      </c>
      <c r="E603" s="125" t="s">
        <v>1259</v>
      </c>
      <c r="F603" s="125" t="s">
        <v>1259</v>
      </c>
    </row>
    <row r="604" spans="2:6" ht="13.15">
      <c r="B604" s="108">
        <v>688</v>
      </c>
      <c r="D604" s="110" t="s">
        <v>1275</v>
      </c>
      <c r="E604" s="136" t="s">
        <v>1276</v>
      </c>
      <c r="F604" s="136" t="s">
        <v>1276</v>
      </c>
    </row>
    <row r="605" spans="2:6" ht="34.9">
      <c r="B605" s="108">
        <v>689</v>
      </c>
      <c r="D605" s="110" t="s">
        <v>1303</v>
      </c>
      <c r="E605" s="145" t="s">
        <v>1304</v>
      </c>
      <c r="F605" s="145" t="s">
        <v>1304</v>
      </c>
    </row>
    <row r="606" spans="2:6" ht="13.15">
      <c r="B606" s="108">
        <v>690</v>
      </c>
      <c r="D606" s="110" t="s">
        <v>1368</v>
      </c>
      <c r="E606" s="126" t="s">
        <v>1349</v>
      </c>
      <c r="F606" s="126" t="s">
        <v>1349</v>
      </c>
    </row>
    <row r="607" spans="2:6" ht="13.15">
      <c r="B607" s="108">
        <v>691</v>
      </c>
      <c r="D607" s="110" t="s">
        <v>1369</v>
      </c>
      <c r="E607" s="126" t="s">
        <v>1350</v>
      </c>
      <c r="F607" s="126" t="s">
        <v>1350</v>
      </c>
    </row>
    <row r="608" spans="2:6" ht="13.15">
      <c r="B608" s="108">
        <v>692</v>
      </c>
      <c r="D608" s="110" t="s">
        <v>1370</v>
      </c>
      <c r="E608" s="126" t="s">
        <v>1351</v>
      </c>
      <c r="F608" s="126" t="s">
        <v>1351</v>
      </c>
    </row>
    <row r="609" spans="2:6" ht="13.15">
      <c r="B609" s="108">
        <v>693</v>
      </c>
      <c r="D609" s="110" t="s">
        <v>1362</v>
      </c>
      <c r="E609" s="126" t="s">
        <v>1380</v>
      </c>
      <c r="F609" s="126" t="s">
        <v>1380</v>
      </c>
    </row>
    <row r="610" spans="2:6" ht="13.15">
      <c r="B610" s="108">
        <v>694</v>
      </c>
      <c r="D610" s="110" t="s">
        <v>1386</v>
      </c>
      <c r="E610" s="151" t="s">
        <v>1384</v>
      </c>
      <c r="F610" s="151" t="s">
        <v>1384</v>
      </c>
    </row>
    <row r="611" spans="2:6" ht="26.25">
      <c r="B611" s="108">
        <v>695</v>
      </c>
      <c r="D611" s="110" t="s">
        <v>1385</v>
      </c>
      <c r="E611" s="150" t="s">
        <v>1383</v>
      </c>
      <c r="F611" s="150" t="s">
        <v>1383</v>
      </c>
    </row>
    <row r="612" spans="2:6" ht="13.15">
      <c r="B612" s="108">
        <v>696</v>
      </c>
      <c r="D612" s="110" t="s">
        <v>1388</v>
      </c>
      <c r="E612" s="125" t="s">
        <v>1389</v>
      </c>
      <c r="F612" s="125" t="s">
        <v>1389</v>
      </c>
    </row>
    <row r="613" spans="2:6" ht="13.15">
      <c r="B613" s="108">
        <v>697</v>
      </c>
      <c r="D613" s="110" t="s">
        <v>1390</v>
      </c>
      <c r="E613" s="125" t="s">
        <v>1391</v>
      </c>
      <c r="F613" s="125" t="s">
        <v>1391</v>
      </c>
    </row>
    <row r="614" spans="2:6" ht="13.15">
      <c r="B614" s="108">
        <v>698</v>
      </c>
      <c r="D614" s="110" t="s">
        <v>1392</v>
      </c>
      <c r="E614" s="125" t="s">
        <v>1393</v>
      </c>
      <c r="F614" s="125" t="s">
        <v>1393</v>
      </c>
    </row>
    <row r="615" spans="2:6" ht="13.15">
      <c r="B615" s="108">
        <v>699</v>
      </c>
      <c r="D615" s="110" t="s">
        <v>1394</v>
      </c>
      <c r="E615" s="145" t="s">
        <v>1395</v>
      </c>
      <c r="F615" s="145" t="s">
        <v>1395</v>
      </c>
    </row>
    <row r="616" spans="2:6" ht="12">
      <c r="B616" s="108">
        <v>700</v>
      </c>
      <c r="D616" s="110" t="s">
        <v>1403</v>
      </c>
      <c r="E616" s="145" t="s">
        <v>1399</v>
      </c>
      <c r="F616" s="145" t="s">
        <v>1399</v>
      </c>
    </row>
    <row r="617" spans="2:6" ht="12">
      <c r="B617" s="108">
        <v>701</v>
      </c>
      <c r="D617" s="110" t="s">
        <v>1408</v>
      </c>
      <c r="E617" s="145" t="s">
        <v>1400</v>
      </c>
      <c r="F617" s="145" t="s">
        <v>1400</v>
      </c>
    </row>
    <row r="618" spans="2:6" ht="13.15">
      <c r="B618" s="108">
        <v>702</v>
      </c>
      <c r="D618" s="110" t="s">
        <v>1404</v>
      </c>
      <c r="E618" s="126" t="s">
        <v>1401</v>
      </c>
      <c r="F618" s="126" t="s">
        <v>1401</v>
      </c>
    </row>
    <row r="619" spans="2:6" ht="13.15">
      <c r="B619" s="108">
        <v>703</v>
      </c>
      <c r="D619" s="110" t="s">
        <v>1405</v>
      </c>
      <c r="E619" s="126" t="s">
        <v>1407</v>
      </c>
      <c r="F619" s="126" t="s">
        <v>1407</v>
      </c>
    </row>
    <row r="620" spans="2:6" ht="13.15">
      <c r="B620" s="108">
        <v>704</v>
      </c>
      <c r="D620" s="110" t="s">
        <v>1406</v>
      </c>
      <c r="E620" s="126" t="s">
        <v>1402</v>
      </c>
      <c r="F620" s="126" t="s">
        <v>1402</v>
      </c>
    </row>
    <row r="621" spans="2:6" ht="13.15">
      <c r="B621" s="108">
        <v>705</v>
      </c>
      <c r="D621" s="110" t="s">
        <v>1430</v>
      </c>
      <c r="E621" s="125" t="s">
        <v>1431</v>
      </c>
      <c r="F621" s="125" t="s">
        <v>1431</v>
      </c>
    </row>
    <row r="622" spans="2:6" ht="13.15">
      <c r="B622" s="108">
        <v>706</v>
      </c>
      <c r="D622" s="110" t="s">
        <v>1438</v>
      </c>
      <c r="E622" s="125" t="s">
        <v>1439</v>
      </c>
      <c r="F622" s="125" t="s">
        <v>1439</v>
      </c>
    </row>
    <row r="623" spans="2:6">
      <c r="B623" s="108">
        <v>707</v>
      </c>
      <c r="D623" s="110" t="s">
        <v>1432</v>
      </c>
      <c r="E623" s="110" t="s">
        <v>1435</v>
      </c>
      <c r="F623" s="110" t="s">
        <v>1435</v>
      </c>
    </row>
    <row r="624" spans="2:6">
      <c r="B624" s="108">
        <v>708</v>
      </c>
      <c r="D624" s="110" t="s">
        <v>1433</v>
      </c>
      <c r="E624" s="110" t="s">
        <v>1436</v>
      </c>
      <c r="F624" s="110" t="s">
        <v>1436</v>
      </c>
    </row>
    <row r="625" spans="2:6" ht="13.15">
      <c r="B625" s="108">
        <v>709</v>
      </c>
      <c r="D625" s="110" t="s">
        <v>1434</v>
      </c>
      <c r="E625" s="126" t="s">
        <v>1443</v>
      </c>
      <c r="F625" s="110" t="s">
        <v>1437</v>
      </c>
    </row>
    <row r="626" spans="2:6" ht="13.15">
      <c r="B626" s="108">
        <v>710</v>
      </c>
      <c r="D626" s="110" t="s">
        <v>1488</v>
      </c>
      <c r="E626" s="125" t="s">
        <v>1489</v>
      </c>
      <c r="F626" s="125" t="s">
        <v>1489</v>
      </c>
    </row>
    <row r="627" spans="2:6" ht="26.25">
      <c r="B627" s="108">
        <v>711</v>
      </c>
      <c r="D627" s="110" t="s">
        <v>1493</v>
      </c>
      <c r="E627" s="145" t="s">
        <v>1492</v>
      </c>
      <c r="F627" s="145" t="s">
        <v>1492</v>
      </c>
    </row>
    <row r="628" spans="2:6" s="162" customFormat="1" ht="13.15">
      <c r="B628" s="108">
        <v>712</v>
      </c>
      <c r="C628" s="163" t="s">
        <v>500</v>
      </c>
      <c r="D628" s="164" t="s">
        <v>516</v>
      </c>
      <c r="E628" s="164" t="s">
        <v>1604</v>
      </c>
      <c r="F628" s="164" t="s">
        <v>1604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3.15"/>
  <cols>
    <col min="1" max="1" width="6.1875" style="68" customWidth="1"/>
    <col min="2" max="2" width="33.1875" style="68" bestFit="1" customWidth="1"/>
    <col min="3" max="3" width="20.1875" style="67" customWidth="1"/>
    <col min="4" max="4" width="23.125" style="67" customWidth="1"/>
    <col min="5" max="5" width="10" style="67" customWidth="1"/>
    <col min="6" max="6" width="15.1875" style="67" customWidth="1"/>
    <col min="7" max="7" width="21.1875" style="67" bestFit="1" customWidth="1"/>
    <col min="8" max="8" width="40.375" style="68" customWidth="1"/>
    <col min="9" max="9" width="23.625" style="68" bestFit="1" customWidth="1"/>
    <col min="10" max="10" width="9.5" style="68" bestFit="1" customWidth="1"/>
    <col min="11" max="11" width="22.5" style="68" bestFit="1" customWidth="1"/>
    <col min="12" max="12" width="60.6875" style="68" bestFit="1" customWidth="1"/>
    <col min="13" max="13" width="25.125" style="68" bestFit="1" customWidth="1"/>
    <col min="14" max="14" width="4.6875" style="68" bestFit="1" customWidth="1"/>
    <col min="15" max="15" width="23" style="68" bestFit="1" customWidth="1"/>
    <col min="16" max="16" width="8" style="68" bestFit="1" customWidth="1"/>
    <col min="17" max="17" width="28.375" style="68" bestFit="1" customWidth="1"/>
    <col min="18" max="18" width="6" style="68" bestFit="1" customWidth="1"/>
    <col min="19" max="19" width="27.6875" style="68" bestFit="1" customWidth="1"/>
    <col min="20" max="20" width="4.6875" style="68" bestFit="1" customWidth="1"/>
    <col min="21" max="21" width="24.375" style="68" bestFit="1" customWidth="1"/>
    <col min="22" max="22" width="4.187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6875" style="68" bestFit="1" customWidth="1"/>
    <col min="30" max="30" width="4.1875" style="68" bestFit="1" customWidth="1"/>
    <col min="31" max="31" width="15.375" style="68" bestFit="1" customWidth="1"/>
    <col min="32" max="32" width="39.625" style="68" bestFit="1" customWidth="1"/>
    <col min="33" max="33" width="35.6875" style="68" bestFit="1" customWidth="1"/>
    <col min="34" max="34" width="4.875" style="68" bestFit="1" customWidth="1"/>
    <col min="35" max="35" width="24.1875" style="68" bestFit="1" customWidth="1"/>
    <col min="36" max="36" width="8.6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187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68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03" t="s">
        <v>608</v>
      </c>
      <c r="B2" s="103" t="s">
        <v>6</v>
      </c>
      <c r="C2" s="104" t="s">
        <v>7</v>
      </c>
      <c r="D2" s="104"/>
      <c r="E2" s="104"/>
      <c r="F2" s="104"/>
      <c r="G2" s="104"/>
      <c r="H2" s="104" t="s">
        <v>8</v>
      </c>
    </row>
    <row r="3" spans="1:8">
      <c r="A3" s="103" t="s">
        <v>608</v>
      </c>
      <c r="B3" s="103" t="s">
        <v>323</v>
      </c>
      <c r="C3" s="104" t="s">
        <v>7</v>
      </c>
      <c r="D3" s="104"/>
      <c r="E3" s="104"/>
      <c r="F3" s="104"/>
      <c r="G3" s="104"/>
      <c r="H3" s="104" t="s">
        <v>8</v>
      </c>
    </row>
    <row r="4" spans="1:8">
      <c r="A4" s="103" t="s">
        <v>608</v>
      </c>
      <c r="B4" s="103" t="s">
        <v>9</v>
      </c>
      <c r="C4" s="119" t="s">
        <v>324</v>
      </c>
      <c r="D4" s="104"/>
      <c r="E4" s="104"/>
      <c r="F4" s="104"/>
      <c r="G4" s="104"/>
      <c r="H4" s="104" t="s">
        <v>8</v>
      </c>
    </row>
    <row r="5" spans="1:8">
      <c r="A5" s="103" t="s">
        <v>608</v>
      </c>
      <c r="B5" s="103" t="s">
        <v>10</v>
      </c>
      <c r="C5" s="104" t="s">
        <v>11</v>
      </c>
      <c r="D5" s="104"/>
      <c r="E5" s="104"/>
      <c r="F5" s="104"/>
      <c r="G5" s="104"/>
      <c r="H5" s="104" t="s">
        <v>8</v>
      </c>
    </row>
    <row r="6" spans="1:8" ht="13.5">
      <c r="A6" s="103" t="s">
        <v>608</v>
      </c>
      <c r="B6" s="103" t="s">
        <v>12</v>
      </c>
      <c r="C6" s="120" t="s">
        <v>1301</v>
      </c>
      <c r="D6" s="104"/>
      <c r="E6" s="104"/>
      <c r="F6" s="104"/>
      <c r="G6" s="104"/>
      <c r="H6" s="104" t="s">
        <v>8</v>
      </c>
    </row>
    <row r="7" spans="1:8">
      <c r="A7" s="103" t="s">
        <v>608</v>
      </c>
      <c r="B7" s="103" t="s">
        <v>13</v>
      </c>
      <c r="C7" s="103" t="s">
        <v>7</v>
      </c>
      <c r="D7" s="104"/>
      <c r="E7" s="104"/>
      <c r="F7" s="104"/>
      <c r="G7" s="104"/>
      <c r="H7" s="104" t="s">
        <v>8</v>
      </c>
    </row>
    <row r="8" spans="1:8">
      <c r="A8" s="122" t="s">
        <v>608</v>
      </c>
      <c r="B8" s="122" t="s">
        <v>14</v>
      </c>
      <c r="C8" s="123" t="s">
        <v>1381</v>
      </c>
      <c r="D8" s="124" t="s">
        <v>1226</v>
      </c>
      <c r="E8" s="124">
        <v>82</v>
      </c>
      <c r="F8" s="124"/>
      <c r="G8" s="122"/>
      <c r="H8" s="124" t="s">
        <v>698</v>
      </c>
    </row>
    <row r="9" spans="1:8">
      <c r="A9" s="103" t="s">
        <v>608</v>
      </c>
      <c r="B9" s="103" t="s">
        <v>15</v>
      </c>
      <c r="C9" s="121">
        <v>46119</v>
      </c>
      <c r="D9" s="104"/>
      <c r="E9" s="104"/>
      <c r="F9" s="104"/>
      <c r="G9" s="104"/>
      <c r="H9" s="104" t="s">
        <v>8</v>
      </c>
    </row>
    <row r="10" spans="1:8">
      <c r="A10" s="103" t="s">
        <v>608</v>
      </c>
      <c r="B10" s="103" t="s">
        <v>16</v>
      </c>
      <c r="C10" s="104" t="s">
        <v>17</v>
      </c>
      <c r="D10" s="104"/>
      <c r="E10" s="104"/>
      <c r="F10" s="104"/>
      <c r="G10" s="104"/>
      <c r="H10" s="104" t="s">
        <v>8</v>
      </c>
    </row>
    <row r="11" spans="1:8">
      <c r="A11" s="68" t="s">
        <v>737</v>
      </c>
      <c r="B11" s="68" t="s">
        <v>713</v>
      </c>
      <c r="C11" s="67">
        <v>1</v>
      </c>
      <c r="G11" s="70">
        <v>46286.459305555552</v>
      </c>
    </row>
    <row r="12" spans="1:8">
      <c r="A12" s="68" t="s">
        <v>737</v>
      </c>
      <c r="B12" s="68" t="s">
        <v>712</v>
      </c>
      <c r="C12" s="67">
        <v>1</v>
      </c>
    </row>
    <row r="13" spans="1:8">
      <c r="A13" s="68" t="s">
        <v>737</v>
      </c>
      <c r="B13" s="68" t="s">
        <v>650</v>
      </c>
      <c r="C13" s="67">
        <v>1</v>
      </c>
      <c r="G13" s="70">
        <v>46286.459305555552</v>
      </c>
    </row>
    <row r="14" spans="1:8">
      <c r="A14" s="68" t="s">
        <v>737</v>
      </c>
      <c r="B14" s="68" t="s">
        <v>651</v>
      </c>
      <c r="C14" s="67">
        <v>0</v>
      </c>
      <c r="G14" s="70">
        <v>46286.459305555552</v>
      </c>
    </row>
    <row r="15" spans="1:8">
      <c r="A15" s="68" t="s">
        <v>737</v>
      </c>
      <c r="B15" s="68" t="s">
        <v>649</v>
      </c>
      <c r="C15" s="67">
        <v>1</v>
      </c>
      <c r="G15" s="70">
        <v>46286.459305555552</v>
      </c>
    </row>
    <row r="16" spans="1:8">
      <c r="A16" s="68" t="s">
        <v>737</v>
      </c>
      <c r="B16" s="68" t="s">
        <v>700</v>
      </c>
      <c r="C16" s="67">
        <v>1</v>
      </c>
      <c r="G16" s="70">
        <v>46286.459305555552</v>
      </c>
    </row>
    <row r="17" spans="1:7">
      <c r="A17" s="68" t="s">
        <v>737</v>
      </c>
      <c r="B17" s="68" t="s">
        <v>707</v>
      </c>
      <c r="C17" s="67">
        <v>1</v>
      </c>
      <c r="G17" s="70">
        <v>46286.459305555552</v>
      </c>
    </row>
    <row r="18" spans="1:7">
      <c r="A18" s="68" t="s">
        <v>737</v>
      </c>
      <c r="B18" s="68" t="s">
        <v>708</v>
      </c>
      <c r="C18" s="67">
        <v>1</v>
      </c>
      <c r="G18" s="70">
        <v>46286.459305555552</v>
      </c>
    </row>
    <row r="19" spans="1:7">
      <c r="A19" s="68" t="s">
        <v>737</v>
      </c>
      <c r="B19" s="68" t="s">
        <v>706</v>
      </c>
      <c r="C19" s="69" t="s">
        <v>1490</v>
      </c>
      <c r="G19" s="70">
        <v>46286.459305555552</v>
      </c>
    </row>
    <row r="20" spans="1:7">
      <c r="A20" s="68" t="s">
        <v>737</v>
      </c>
      <c r="B20" s="68" t="s">
        <v>652</v>
      </c>
      <c r="C20" s="67">
        <v>0</v>
      </c>
      <c r="G20" s="70">
        <v>46286.459305555552</v>
      </c>
    </row>
    <row r="21" spans="1:7">
      <c r="A21" s="68" t="s">
        <v>737</v>
      </c>
      <c r="B21" s="68" t="s">
        <v>705</v>
      </c>
      <c r="C21" s="67">
        <v>0</v>
      </c>
      <c r="G21" s="70">
        <v>46286.459305555552</v>
      </c>
    </row>
    <row r="22" spans="1:7">
      <c r="A22" s="68" t="s">
        <v>737</v>
      </c>
      <c r="B22" s="68" t="s">
        <v>709</v>
      </c>
      <c r="C22" s="67">
        <v>1</v>
      </c>
      <c r="G22" s="70">
        <v>46286.459305555552</v>
      </c>
    </row>
    <row r="23" spans="1:7">
      <c r="A23" s="68" t="s">
        <v>737</v>
      </c>
      <c r="B23" s="68" t="s">
        <v>654</v>
      </c>
      <c r="C23" s="67">
        <v>1</v>
      </c>
      <c r="G23" s="70">
        <v>46286.459305555552</v>
      </c>
    </row>
    <row r="24" spans="1:7">
      <c r="A24" s="68" t="s">
        <v>737</v>
      </c>
      <c r="B24" s="68" t="s">
        <v>702</v>
      </c>
      <c r="C24" s="69">
        <v>46527</v>
      </c>
      <c r="G24" s="70">
        <v>46293.59883101852</v>
      </c>
    </row>
    <row r="25" spans="1:7">
      <c r="A25" s="68" t="s">
        <v>737</v>
      </c>
      <c r="B25" s="68" t="s">
        <v>699</v>
      </c>
      <c r="C25" s="67" t="s">
        <v>1610</v>
      </c>
      <c r="G25" s="70">
        <v>46286.459305555552</v>
      </c>
    </row>
    <row r="26" spans="1:7">
      <c r="A26" s="68" t="s">
        <v>737</v>
      </c>
      <c r="B26" s="68" t="s">
        <v>701</v>
      </c>
      <c r="C26" s="69">
        <v>46153</v>
      </c>
      <c r="G26" s="70">
        <v>46293.59883101852</v>
      </c>
    </row>
    <row r="27" spans="1:7">
      <c r="A27" s="68" t="s">
        <v>737</v>
      </c>
      <c r="B27" s="68" t="s">
        <v>703</v>
      </c>
      <c r="C27" s="67" t="s">
        <v>1227</v>
      </c>
      <c r="G27" s="70">
        <v>46293.567048611112</v>
      </c>
    </row>
    <row r="28" spans="1:7">
      <c r="A28" s="68" t="s">
        <v>737</v>
      </c>
      <c r="B28" s="68" t="s">
        <v>704</v>
      </c>
      <c r="C28" s="67">
        <v>1</v>
      </c>
      <c r="G28" s="70">
        <v>46286.459305555552</v>
      </c>
    </row>
    <row r="29" spans="1:7">
      <c r="A29" s="68" t="s">
        <v>737</v>
      </c>
      <c r="B29" s="68" t="s">
        <v>710</v>
      </c>
      <c r="C29" s="67">
        <v>20</v>
      </c>
      <c r="G29" s="70">
        <v>46286.459305555552</v>
      </c>
    </row>
    <row r="30" spans="1:7">
      <c r="A30" s="68" t="s">
        <v>737</v>
      </c>
      <c r="B30" s="68" t="s">
        <v>711</v>
      </c>
      <c r="C30" s="67">
        <v>10</v>
      </c>
      <c r="G30" s="70">
        <v>46286.459305555552</v>
      </c>
    </row>
    <row r="31" spans="1:7">
      <c r="A31" s="68" t="s">
        <v>1230</v>
      </c>
      <c r="B31" s="68" t="s">
        <v>1231</v>
      </c>
      <c r="C31" s="67">
        <v>-4105</v>
      </c>
      <c r="F31" s="70"/>
      <c r="G31" s="70">
        <v>46293.59883101852</v>
      </c>
    </row>
    <row r="32" spans="1:7">
      <c r="A32" s="68" t="s">
        <v>738</v>
      </c>
      <c r="B32" s="68" t="s">
        <v>720</v>
      </c>
      <c r="C32" s="67">
        <v>1</v>
      </c>
      <c r="G32" s="70">
        <v>46286.459305555552</v>
      </c>
    </row>
    <row r="33" spans="1:7">
      <c r="A33" s="68" t="s">
        <v>738</v>
      </c>
      <c r="B33" s="68" t="s">
        <v>723</v>
      </c>
      <c r="C33" s="67">
        <v>0</v>
      </c>
    </row>
    <row r="34" spans="1:7">
      <c r="A34" s="68" t="s">
        <v>738</v>
      </c>
      <c r="B34" s="68" t="s">
        <v>655</v>
      </c>
      <c r="C34" s="67">
        <v>1</v>
      </c>
      <c r="G34" s="70">
        <v>46286.459305555552</v>
      </c>
    </row>
    <row r="35" spans="1:7">
      <c r="A35" s="68" t="s">
        <v>738</v>
      </c>
      <c r="B35" s="68" t="s">
        <v>657</v>
      </c>
      <c r="C35" s="67">
        <v>1</v>
      </c>
      <c r="G35" s="70">
        <v>46286.459305555552</v>
      </c>
    </row>
    <row r="36" spans="1:7">
      <c r="A36" s="68" t="s">
        <v>738</v>
      </c>
      <c r="B36" s="68" t="s">
        <v>656</v>
      </c>
      <c r="C36" s="67">
        <v>1</v>
      </c>
      <c r="G36" s="70">
        <v>46286.459305555552</v>
      </c>
    </row>
    <row r="37" spans="1:7">
      <c r="A37" s="68" t="s">
        <v>738</v>
      </c>
      <c r="B37" s="68" t="s">
        <v>714</v>
      </c>
      <c r="C37" s="67">
        <v>0</v>
      </c>
      <c r="G37" s="70">
        <v>46286.459305555552</v>
      </c>
    </row>
    <row r="38" spans="1:7">
      <c r="A38" s="68" t="s">
        <v>738</v>
      </c>
      <c r="B38" s="68" t="s">
        <v>717</v>
      </c>
      <c r="C38" s="67">
        <v>1</v>
      </c>
      <c r="G38" s="70">
        <v>46286.459305555552</v>
      </c>
    </row>
    <row r="39" spans="1:7">
      <c r="A39" s="68" t="s">
        <v>738</v>
      </c>
      <c r="B39" s="68" t="s">
        <v>728</v>
      </c>
      <c r="C39" s="67">
        <v>2</v>
      </c>
      <c r="G39" s="70">
        <v>46286.459305555552</v>
      </c>
    </row>
    <row r="40" spans="1:7">
      <c r="A40" s="68" t="s">
        <v>738</v>
      </c>
      <c r="B40" s="68" t="s">
        <v>718</v>
      </c>
      <c r="C40" s="67">
        <v>0.7</v>
      </c>
    </row>
    <row r="41" spans="1:7">
      <c r="A41" s="68" t="s">
        <v>738</v>
      </c>
      <c r="B41" s="68" t="s">
        <v>727</v>
      </c>
      <c r="C41" s="67">
        <v>1</v>
      </c>
      <c r="G41" s="70">
        <v>46286.459305555552</v>
      </c>
    </row>
    <row r="42" spans="1:7">
      <c r="A42" s="68" t="s">
        <v>738</v>
      </c>
      <c r="B42" s="68" t="s">
        <v>721</v>
      </c>
      <c r="C42" s="67">
        <v>1</v>
      </c>
      <c r="G42" s="70">
        <v>46286.459305555552</v>
      </c>
    </row>
    <row r="43" spans="1:7">
      <c r="A43" s="68" t="s">
        <v>738</v>
      </c>
      <c r="B43" s="68" t="s">
        <v>731</v>
      </c>
      <c r="C43" s="67">
        <v>-4131</v>
      </c>
      <c r="G43" s="70">
        <v>46286.459305555552</v>
      </c>
    </row>
    <row r="44" spans="1:7">
      <c r="A44" s="68" t="s">
        <v>738</v>
      </c>
      <c r="B44" s="68" t="s">
        <v>722</v>
      </c>
      <c r="C44" s="67">
        <v>7</v>
      </c>
      <c r="G44" s="70">
        <v>46286.459305555552</v>
      </c>
    </row>
    <row r="45" spans="1:7">
      <c r="A45" s="68" t="s">
        <v>738</v>
      </c>
      <c r="B45" s="68" t="s">
        <v>724</v>
      </c>
      <c r="C45" s="67">
        <v>0</v>
      </c>
      <c r="G45" s="70">
        <v>46286.459305555552</v>
      </c>
    </row>
    <row r="46" spans="1:7">
      <c r="A46" s="68" t="s">
        <v>738</v>
      </c>
      <c r="B46" s="68" t="s">
        <v>725</v>
      </c>
      <c r="C46" s="67">
        <v>1</v>
      </c>
      <c r="G46" s="70">
        <v>46286.459305555552</v>
      </c>
    </row>
    <row r="47" spans="1:7">
      <c r="A47" s="68" t="s">
        <v>738</v>
      </c>
      <c r="B47" s="68" t="s">
        <v>726</v>
      </c>
      <c r="C47" s="67">
        <v>1</v>
      </c>
      <c r="G47" s="70">
        <v>46286.459305555552</v>
      </c>
    </row>
    <row r="48" spans="1:7">
      <c r="A48" s="68" t="s">
        <v>738</v>
      </c>
      <c r="B48" s="68" t="s">
        <v>715</v>
      </c>
      <c r="C48" s="67">
        <v>1</v>
      </c>
    </row>
    <row r="49" spans="1:7">
      <c r="A49" s="68" t="s">
        <v>738</v>
      </c>
      <c r="B49" s="68" t="s">
        <v>716</v>
      </c>
      <c r="C49" s="67">
        <v>0</v>
      </c>
    </row>
    <row r="50" spans="1:7">
      <c r="A50" s="68" t="s">
        <v>738</v>
      </c>
      <c r="B50" s="68" t="s">
        <v>719</v>
      </c>
      <c r="C50" s="67">
        <v>2</v>
      </c>
      <c r="G50" s="70">
        <v>46286.459305555552</v>
      </c>
    </row>
    <row r="51" spans="1:7">
      <c r="A51" s="68" t="s">
        <v>738</v>
      </c>
      <c r="B51" s="68" t="s">
        <v>730</v>
      </c>
      <c r="C51" s="67" t="s">
        <v>1249</v>
      </c>
      <c r="G51" s="70">
        <v>45811.505787037036</v>
      </c>
    </row>
    <row r="52" spans="1:7">
      <c r="A52" s="68" t="s">
        <v>738</v>
      </c>
      <c r="B52" s="68" t="s">
        <v>653</v>
      </c>
      <c r="C52" s="67">
        <v>100</v>
      </c>
      <c r="G52" s="70">
        <v>46286.459305555552</v>
      </c>
    </row>
    <row r="53" spans="1:7">
      <c r="A53" s="68" t="s">
        <v>738</v>
      </c>
      <c r="B53" s="68" t="s">
        <v>729</v>
      </c>
      <c r="C53" s="67">
        <v>9</v>
      </c>
    </row>
    <row r="54" spans="1:7">
      <c r="A54" s="68" t="s">
        <v>1243</v>
      </c>
      <c r="B54" s="68" t="s">
        <v>1244</v>
      </c>
      <c r="C54" s="67">
        <v>1</v>
      </c>
      <c r="F54" s="70">
        <v>45811.009814814817</v>
      </c>
      <c r="G54" s="70">
        <v>46286.459305555552</v>
      </c>
    </row>
    <row r="55" spans="1:7">
      <c r="A55" s="68" t="s">
        <v>739</v>
      </c>
      <c r="B55" s="68" t="s">
        <v>616</v>
      </c>
      <c r="C55" s="67">
        <v>1</v>
      </c>
      <c r="G55" s="70">
        <v>46286.459305555552</v>
      </c>
    </row>
    <row r="56" spans="1:7">
      <c r="A56" s="68" t="s">
        <v>739</v>
      </c>
      <c r="B56" s="68" t="s">
        <v>732</v>
      </c>
      <c r="C56" s="67" t="s">
        <v>1491</v>
      </c>
      <c r="G56" s="70">
        <v>46286.459305555552</v>
      </c>
    </row>
    <row r="57" spans="1:7">
      <c r="A57" s="68" t="s">
        <v>739</v>
      </c>
      <c r="B57" s="68" t="s">
        <v>615</v>
      </c>
      <c r="C57" s="67" t="s">
        <v>658</v>
      </c>
      <c r="G57" s="70">
        <v>46116.969467592593</v>
      </c>
    </row>
    <row r="58" spans="1:7">
      <c r="A58" s="68" t="s">
        <v>739</v>
      </c>
      <c r="B58" s="68" t="s">
        <v>614</v>
      </c>
      <c r="C58" s="67" t="s">
        <v>658</v>
      </c>
      <c r="G58" s="70">
        <v>46286.459305555552</v>
      </c>
    </row>
    <row r="59" spans="1:7">
      <c r="A59" s="68" t="s">
        <v>688</v>
      </c>
      <c r="B59" s="68" t="s">
        <v>735</v>
      </c>
      <c r="C59" s="67">
        <v>82</v>
      </c>
      <c r="G59" s="70">
        <v>46286.459305555552</v>
      </c>
    </row>
    <row r="60" spans="1:7">
      <c r="A60" s="68" t="s">
        <v>688</v>
      </c>
      <c r="B60" s="68" t="s">
        <v>734</v>
      </c>
      <c r="C60" s="67">
        <v>1</v>
      </c>
      <c r="G60" s="70">
        <v>46286.459305555552</v>
      </c>
    </row>
    <row r="61" spans="1:7">
      <c r="A61" s="68" t="s">
        <v>688</v>
      </c>
      <c r="B61" s="68" t="s">
        <v>733</v>
      </c>
      <c r="C61" s="67">
        <v>82</v>
      </c>
      <c r="G61" s="70">
        <v>46118.934374999997</v>
      </c>
    </row>
    <row r="62" spans="1:7">
      <c r="A62" s="68" t="s">
        <v>688</v>
      </c>
      <c r="B62" s="68" t="s">
        <v>736</v>
      </c>
      <c r="C62" s="67" t="s">
        <v>569</v>
      </c>
      <c r="G62" s="70">
        <v>46286.459305555552</v>
      </c>
    </row>
    <row r="63" spans="1:7">
      <c r="A63" s="68" t="s">
        <v>740</v>
      </c>
      <c r="B63" s="68" t="s">
        <v>643</v>
      </c>
      <c r="C63" s="67" t="b">
        <v>0</v>
      </c>
      <c r="G63" s="70">
        <v>46286.459305555552</v>
      </c>
    </row>
    <row r="64" spans="1:7">
      <c r="A64" s="68" t="s">
        <v>740</v>
      </c>
      <c r="B64" s="68" t="s">
        <v>644</v>
      </c>
      <c r="C64" s="67" t="b">
        <v>0</v>
      </c>
      <c r="G64" s="70">
        <v>46286.459305555552</v>
      </c>
    </row>
    <row r="65" spans="1:7">
      <c r="A65" s="68" t="s">
        <v>740</v>
      </c>
      <c r="B65" s="68" t="s">
        <v>645</v>
      </c>
      <c r="C65" s="67" t="b">
        <v>1</v>
      </c>
      <c r="G65" s="70">
        <v>46286.459305555552</v>
      </c>
    </row>
    <row r="66" spans="1:7">
      <c r="A66" s="68" t="s">
        <v>740</v>
      </c>
      <c r="B66" s="68" t="s">
        <v>627</v>
      </c>
      <c r="C66" s="67" t="b">
        <v>1</v>
      </c>
      <c r="G66" s="70">
        <v>46286.459305555552</v>
      </c>
    </row>
    <row r="67" spans="1:7">
      <c r="A67" s="68" t="s">
        <v>740</v>
      </c>
      <c r="B67" s="68" t="s">
        <v>628</v>
      </c>
      <c r="C67" s="67" t="b">
        <v>1</v>
      </c>
      <c r="G67" s="70">
        <v>46286.459305555552</v>
      </c>
    </row>
    <row r="68" spans="1:7">
      <c r="A68" s="68" t="s">
        <v>740</v>
      </c>
      <c r="B68" s="68" t="s">
        <v>629</v>
      </c>
      <c r="C68" s="67" t="b">
        <v>1</v>
      </c>
      <c r="G68" s="70">
        <v>46286.459305555552</v>
      </c>
    </row>
    <row r="69" spans="1:7">
      <c r="A69" s="68" t="s">
        <v>740</v>
      </c>
      <c r="B69" s="68" t="s">
        <v>630</v>
      </c>
      <c r="C69" s="67" t="b">
        <v>1</v>
      </c>
      <c r="G69" s="70">
        <v>46286.459305555552</v>
      </c>
    </row>
    <row r="70" spans="1:7">
      <c r="A70" s="68" t="s">
        <v>740</v>
      </c>
      <c r="B70" s="68" t="s">
        <v>631</v>
      </c>
      <c r="G70" s="70">
        <v>46286.459305555552</v>
      </c>
    </row>
    <row r="71" spans="1:7">
      <c r="A71" s="68" t="s">
        <v>740</v>
      </c>
      <c r="B71" s="68" t="s">
        <v>646</v>
      </c>
      <c r="C71" s="67" t="s">
        <v>668</v>
      </c>
      <c r="G71" s="70">
        <v>46286.459305555552</v>
      </c>
    </row>
    <row r="72" spans="1:7">
      <c r="A72" s="68" t="s">
        <v>740</v>
      </c>
      <c r="B72" s="68" t="s">
        <v>648</v>
      </c>
      <c r="C72" s="67" t="s">
        <v>670</v>
      </c>
      <c r="G72" s="70">
        <v>46286.459305555552</v>
      </c>
    </row>
    <row r="73" spans="1:7">
      <c r="A73" s="68" t="s">
        <v>740</v>
      </c>
      <c r="B73" s="68" t="s">
        <v>647</v>
      </c>
      <c r="C73" s="67" t="s">
        <v>669</v>
      </c>
      <c r="G73" s="70">
        <v>46286.459305555552</v>
      </c>
    </row>
    <row r="74" spans="1:7">
      <c r="A74" s="68" t="s">
        <v>740</v>
      </c>
      <c r="B74" s="68" t="s">
        <v>633</v>
      </c>
      <c r="C74" s="67" t="s">
        <v>665</v>
      </c>
      <c r="G74" s="70">
        <v>46286.459305555552</v>
      </c>
    </row>
    <row r="75" spans="1:7">
      <c r="A75" s="68" t="s">
        <v>740</v>
      </c>
      <c r="B75" s="68" t="s">
        <v>636</v>
      </c>
      <c r="C75" s="67" t="s">
        <v>667</v>
      </c>
      <c r="G75" s="70">
        <v>46286.459305555552</v>
      </c>
    </row>
    <row r="76" spans="1:7">
      <c r="A76" s="68" t="s">
        <v>740</v>
      </c>
      <c r="B76" s="68" t="s">
        <v>635</v>
      </c>
      <c r="C76" s="67" t="s">
        <v>666</v>
      </c>
      <c r="G76" s="70">
        <v>46286.459305555552</v>
      </c>
    </row>
    <row r="77" spans="1:7">
      <c r="A77" s="68" t="s">
        <v>740</v>
      </c>
      <c r="B77" s="68" t="s">
        <v>634</v>
      </c>
      <c r="C77" s="67" t="s">
        <v>1232</v>
      </c>
      <c r="G77" s="70">
        <v>46286.459305555552</v>
      </c>
    </row>
    <row r="78" spans="1:7">
      <c r="A78" s="68" t="s">
        <v>740</v>
      </c>
      <c r="B78" s="68" t="s">
        <v>632</v>
      </c>
      <c r="G78" s="70">
        <v>46286.459305555552</v>
      </c>
    </row>
    <row r="79" spans="1:7">
      <c r="A79" s="68" t="s">
        <v>740</v>
      </c>
      <c r="B79" s="68" t="s">
        <v>637</v>
      </c>
      <c r="C79" s="67" t="s">
        <v>1606</v>
      </c>
      <c r="G79" s="70">
        <v>46286.459305555552</v>
      </c>
    </row>
    <row r="80" spans="1:7">
      <c r="A80" s="68" t="s">
        <v>740</v>
      </c>
      <c r="B80" s="68" t="s">
        <v>642</v>
      </c>
      <c r="C80" s="67" t="s">
        <v>1608</v>
      </c>
      <c r="G80" s="70">
        <v>46286.459305555552</v>
      </c>
    </row>
    <row r="81" spans="1:7">
      <c r="A81" s="68" t="s">
        <v>740</v>
      </c>
      <c r="B81" s="68" t="s">
        <v>641</v>
      </c>
      <c r="C81" s="67" t="s">
        <v>1609</v>
      </c>
      <c r="G81" s="70">
        <v>46286.459305555552</v>
      </c>
    </row>
    <row r="82" spans="1:7">
      <c r="A82" s="68" t="s">
        <v>740</v>
      </c>
      <c r="B82" s="68" t="s">
        <v>622</v>
      </c>
      <c r="C82" s="67" t="s">
        <v>662</v>
      </c>
      <c r="G82" s="70">
        <v>46286.459305555552</v>
      </c>
    </row>
    <row r="83" spans="1:7">
      <c r="A83" s="68" t="s">
        <v>740</v>
      </c>
      <c r="B83" s="68" t="s">
        <v>626</v>
      </c>
      <c r="C83" s="67" t="s">
        <v>664</v>
      </c>
      <c r="G83" s="70">
        <v>46286.459305555552</v>
      </c>
    </row>
    <row r="84" spans="1:7">
      <c r="A84" s="68" t="s">
        <v>740</v>
      </c>
      <c r="B84" s="68" t="s">
        <v>625</v>
      </c>
      <c r="C84" s="67" t="s">
        <v>663</v>
      </c>
      <c r="G84" s="70">
        <v>46286.459305555552</v>
      </c>
    </row>
    <row r="85" spans="1:7">
      <c r="A85" s="68" t="s">
        <v>740</v>
      </c>
      <c r="B85" s="68" t="s">
        <v>624</v>
      </c>
      <c r="C85" s="67" t="s">
        <v>1239</v>
      </c>
      <c r="G85" s="70">
        <v>46286.459305555552</v>
      </c>
    </row>
    <row r="86" spans="1:7">
      <c r="A86" s="68" t="s">
        <v>740</v>
      </c>
      <c r="B86" s="68" t="s">
        <v>623</v>
      </c>
      <c r="G86" s="70">
        <v>46286.459305555552</v>
      </c>
    </row>
    <row r="87" spans="1:7">
      <c r="A87" s="68" t="s">
        <v>740</v>
      </c>
      <c r="B87" s="68" t="s">
        <v>638</v>
      </c>
      <c r="C87" s="67" t="s">
        <v>1607</v>
      </c>
      <c r="G87" s="70">
        <v>46286.459305555552</v>
      </c>
    </row>
    <row r="88" spans="1:7">
      <c r="A88" s="68" t="s">
        <v>740</v>
      </c>
      <c r="B88" s="68" t="s">
        <v>639</v>
      </c>
      <c r="C88" s="67" t="s">
        <v>1607</v>
      </c>
      <c r="G88" s="70">
        <v>46286.459305555552</v>
      </c>
    </row>
    <row r="89" spans="1:7">
      <c r="A89" s="68" t="s">
        <v>740</v>
      </c>
      <c r="B89" s="68" t="s">
        <v>640</v>
      </c>
      <c r="C89" s="67" t="s">
        <v>1607</v>
      </c>
      <c r="G89" s="70">
        <v>46286.459305555552</v>
      </c>
    </row>
    <row r="90" spans="1:7">
      <c r="A90" s="68" t="s">
        <v>740</v>
      </c>
      <c r="B90" s="68" t="s">
        <v>617</v>
      </c>
      <c r="C90" s="67" t="s">
        <v>659</v>
      </c>
      <c r="G90" s="70">
        <v>46286.459305555552</v>
      </c>
    </row>
    <row r="91" spans="1:7">
      <c r="A91" s="68" t="s">
        <v>740</v>
      </c>
      <c r="B91" s="68" t="s">
        <v>618</v>
      </c>
      <c r="C91" s="67" t="s">
        <v>660</v>
      </c>
      <c r="G91" s="70">
        <v>46286.459305555552</v>
      </c>
    </row>
    <row r="92" spans="1:7">
      <c r="A92" s="68" t="s">
        <v>740</v>
      </c>
      <c r="B92" s="68" t="s">
        <v>619</v>
      </c>
      <c r="C92" s="67" t="s">
        <v>661</v>
      </c>
      <c r="G92" s="70">
        <v>46286.459305555552</v>
      </c>
    </row>
    <row r="93" spans="1:7">
      <c r="A93" s="68" t="s">
        <v>740</v>
      </c>
      <c r="B93" s="68" t="s">
        <v>620</v>
      </c>
      <c r="C93" s="67" t="s">
        <v>1233</v>
      </c>
      <c r="G93" s="70">
        <v>46286.459305555552</v>
      </c>
    </row>
    <row r="94" spans="1:7">
      <c r="A94" s="68" t="s">
        <v>740</v>
      </c>
      <c r="B94" s="68" t="s">
        <v>621</v>
      </c>
      <c r="G94" s="70">
        <v>46286.459305555552</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46286.459305555552</v>
      </c>
    </row>
    <row r="112" spans="1:7">
      <c r="A112" s="68" t="s">
        <v>1243</v>
      </c>
      <c r="B112" s="68" t="s">
        <v>1250</v>
      </c>
      <c r="C112" s="67">
        <v>1</v>
      </c>
      <c r="F112" s="70">
        <v>45811.536481481482</v>
      </c>
      <c r="G112" s="70">
        <v>46286.459305555552</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1361</v>
      </c>
      <c r="C118" s="67">
        <v>1</v>
      </c>
      <c r="F118" s="70">
        <v>46096.867928240739</v>
      </c>
      <c r="G118" s="70">
        <v>46286.459305555552</v>
      </c>
    </row>
    <row r="119" spans="1:7">
      <c r="A119" s="68" t="s">
        <v>1230</v>
      </c>
      <c r="B119" s="68" t="s">
        <v>1396</v>
      </c>
      <c r="C119" s="67">
        <v>1</v>
      </c>
      <c r="F119" s="70">
        <v>46103.788634259261</v>
      </c>
      <c r="G119" s="70">
        <v>46286.459305555552</v>
      </c>
    </row>
  </sheetData>
  <sortState xmlns:xlrd2="http://schemas.microsoft.com/office/spreadsheetml/2017/richdata2" ref="A55:AB94">
    <sortCondition ref="A55:A94"/>
    <sortCondition ref="B55:B94"/>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권 석구</cp:lastModifiedBy>
  <cp:lastPrinted>2022-06-05T11:24:31Z</cp:lastPrinted>
  <dcterms:created xsi:type="dcterms:W3CDTF">2018-02-18T09:45:14Z</dcterms:created>
  <dcterms:modified xsi:type="dcterms:W3CDTF">2026-09-28T05:22:22Z</dcterms:modified>
</cp:coreProperties>
</file>